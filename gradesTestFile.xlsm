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L3" i="1" l="1"/>
  <c r="L4" i="1" s="1"/>
  <c r="L6" i="1" s="1"/>
  <c r="L8" i="1" s="1"/>
  <c r="L5" i="1"/>
  <c r="L7" i="1" s="1"/>
  <c r="D5" i="1" l="1"/>
  <c r="D7" i="1" s="1"/>
  <c r="D3" i="1"/>
  <c r="D4" i="1" s="1"/>
  <c r="D6" i="1" s="1"/>
  <c r="D8" i="1" s="1"/>
  <c r="AY365" i="1" l="1"/>
  <c r="AR365" i="1"/>
  <c r="AP365" i="1"/>
  <c r="AO365" i="1"/>
  <c r="X365" i="1" a="1"/>
  <c r="X365" i="1" s="1"/>
  <c r="AS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P36" i="1"/>
  <c r="AO36" i="1"/>
  <c r="X36" i="1" a="1"/>
  <c r="X36" i="1" s="1"/>
  <c r="W36" i="1" a="1"/>
  <c r="W36" i="1" s="1"/>
  <c r="V36" i="1" a="1"/>
  <c r="V36" i="1" s="1"/>
  <c r="U36" i="1" a="1"/>
  <c r="U36" i="1" s="1"/>
  <c r="AS36" i="1" l="1"/>
  <c r="Z36" i="1"/>
  <c r="AY231" i="1"/>
  <c r="AR231" i="1"/>
  <c r="AP231" i="1"/>
  <c r="AO231" i="1"/>
  <c r="X231" i="1" a="1"/>
  <c r="X231" i="1" s="1"/>
  <c r="AS231" i="1" s="1"/>
  <c r="W231" i="1" a="1"/>
  <c r="W231" i="1" s="1"/>
  <c r="V231" i="1" a="1"/>
  <c r="V231" i="1" s="1"/>
  <c r="U231" i="1" a="1"/>
  <c r="U231" i="1" s="1"/>
  <c r="Z231" i="1" l="1"/>
  <c r="X142" i="1" a="1"/>
  <c r="X142" i="1" s="1"/>
  <c r="AS142" i="1" s="1"/>
  <c r="W142" i="1" a="1"/>
  <c r="W142" i="1" s="1"/>
  <c r="V142" i="1" a="1"/>
  <c r="V142" i="1" s="1"/>
  <c r="U142" i="1" a="1"/>
  <c r="U142" i="1" s="1"/>
  <c r="AY142" i="1"/>
  <c r="AR142" i="1"/>
  <c r="AP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P57" i="1"/>
  <c r="AO57" i="1"/>
  <c r="X57" i="1" a="1"/>
  <c r="X57" i="1" s="1"/>
  <c r="AS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P197" i="1"/>
  <c r="AO197" i="1"/>
  <c r="X197" i="1" a="1"/>
  <c r="X197" i="1" s="1"/>
  <c r="AS197" i="1" s="1"/>
  <c r="W197" i="1" a="1"/>
  <c r="W197" i="1" s="1"/>
  <c r="V197" i="1" a="1"/>
  <c r="V197" i="1" s="1"/>
  <c r="U197" i="1" a="1"/>
  <c r="U197" i="1" s="1"/>
  <c r="AY519" i="1"/>
  <c r="AR519" i="1"/>
  <c r="AP519" i="1"/>
  <c r="AO519" i="1"/>
  <c r="X519" i="1" a="1"/>
  <c r="X519" i="1" s="1"/>
  <c r="AS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P333" i="1"/>
  <c r="AO333" i="1"/>
  <c r="X333" i="1" a="1"/>
  <c r="X333" i="1" s="1"/>
  <c r="AS333" i="1" s="1"/>
  <c r="W333" i="1" a="1"/>
  <c r="W333" i="1" s="1"/>
  <c r="V333" i="1" a="1"/>
  <c r="V333" i="1" s="1"/>
  <c r="AY490" i="1"/>
  <c r="AR490" i="1"/>
  <c r="AP490" i="1"/>
  <c r="AO490" i="1"/>
  <c r="X490" i="1" a="1"/>
  <c r="X490" i="1" s="1"/>
  <c r="AS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P275" i="1"/>
  <c r="AO275" i="1"/>
  <c r="X275" i="1" a="1"/>
  <c r="X275" i="1" s="1"/>
  <c r="AS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P148" i="1"/>
  <c r="AO148" i="1"/>
  <c r="X148" i="1" a="1"/>
  <c r="X148" i="1" s="1"/>
  <c r="AS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P300" i="1"/>
  <c r="AO300" i="1"/>
  <c r="X300" i="1" a="1"/>
  <c r="X300" i="1" s="1"/>
  <c r="AS300" i="1" s="1"/>
  <c r="W300" i="1" a="1"/>
  <c r="W300" i="1" s="1"/>
  <c r="V300" i="1" a="1"/>
  <c r="V300" i="1" s="1"/>
  <c r="U300" i="1" a="1"/>
  <c r="U300" i="1" s="1"/>
  <c r="AY93" i="1"/>
  <c r="AR93" i="1"/>
  <c r="AP93" i="1"/>
  <c r="AO93" i="1"/>
  <c r="X93" i="1" a="1"/>
  <c r="X93" i="1" s="1"/>
  <c r="AS93" i="1" s="1"/>
  <c r="W93" i="1" a="1"/>
  <c r="W93" i="1" s="1"/>
  <c r="V93" i="1" a="1"/>
  <c r="V93" i="1" s="1"/>
  <c r="U93" i="1" a="1"/>
  <c r="U93" i="1" s="1"/>
  <c r="AY277" i="1"/>
  <c r="AR277" i="1"/>
  <c r="AP277" i="1"/>
  <c r="AO277" i="1"/>
  <c r="X277" i="1" a="1"/>
  <c r="X277" i="1" s="1"/>
  <c r="AS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P251" i="1"/>
  <c r="AO251" i="1"/>
  <c r="X251" i="1" a="1"/>
  <c r="X251" i="1" s="1"/>
  <c r="AS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S302" i="1"/>
  <c r="AS397" i="1"/>
  <c r="AY217" i="1"/>
  <c r="AR8" i="1"/>
  <c r="X8" i="1"/>
  <c r="AS8" i="1" s="1"/>
  <c r="AN8" i="1"/>
  <c r="AY13" i="1"/>
  <c r="AR13" i="1"/>
  <c r="AP13" i="1"/>
  <c r="AY396" i="1"/>
  <c r="AR396" i="1"/>
  <c r="AP396" i="1"/>
  <c r="AO396" i="1"/>
  <c r="AS396" i="1"/>
  <c r="AY75" i="1"/>
  <c r="AR75" i="1"/>
  <c r="AP75" i="1"/>
  <c r="AO75" i="1"/>
  <c r="AS75" i="1"/>
  <c r="AS9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P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P256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/>
  <c r="A153" i="2" s="1"/>
  <c r="A15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/>
  <c r="A209" i="4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/>
  <c r="A79" i="2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P476" i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354" i="1"/>
  <c r="AP26" i="1"/>
  <c r="AP280" i="1"/>
  <c r="AP347" i="1"/>
  <c r="AP494" i="1"/>
  <c r="AP495" i="1"/>
  <c r="AP213" i="1"/>
  <c r="AP214" i="1"/>
  <c r="AP342" i="1"/>
  <c r="AP185" i="1"/>
  <c r="AP129" i="1"/>
  <c r="AP430" i="1"/>
  <c r="AP516" i="1"/>
  <c r="AP292" i="1"/>
  <c r="AP55" i="1"/>
  <c r="AP193" i="1"/>
  <c r="AP309" i="1"/>
  <c r="AP71" i="1"/>
  <c r="AP106" i="1"/>
  <c r="AP446" i="1"/>
  <c r="AP474" i="1"/>
  <c r="AP408" i="1"/>
  <c r="AP22" i="1"/>
  <c r="AP288" i="1"/>
  <c r="AP305" i="1"/>
  <c r="AP355" i="1"/>
  <c r="AP348" i="1"/>
  <c r="AP123" i="1"/>
  <c r="AP73" i="1"/>
  <c r="AP364" i="1"/>
  <c r="AP187" i="1"/>
  <c r="AP21" i="1"/>
  <c r="AP296" i="1"/>
  <c r="AP100" i="1"/>
  <c r="AP107" i="1"/>
  <c r="AP225" i="1"/>
  <c r="AP191" i="1"/>
  <c r="AP513" i="1"/>
  <c r="AP340" i="1"/>
  <c r="AP190" i="1"/>
  <c r="AP496" i="1"/>
  <c r="AP235" i="1"/>
  <c r="AP322" i="1"/>
  <c r="AP504" i="1"/>
  <c r="AP135" i="1"/>
  <c r="AP156" i="1"/>
  <c r="AP238" i="1"/>
  <c r="AP87" i="1"/>
  <c r="AP459" i="1"/>
  <c r="AP341" i="1"/>
  <c r="AP505" i="1"/>
  <c r="AP344" i="1"/>
  <c r="AP285" i="1"/>
  <c r="AP145" i="1"/>
  <c r="AP362" i="1"/>
  <c r="AP143" i="1"/>
  <c r="AP216" i="1"/>
  <c r="AP357" i="1"/>
  <c r="AP125" i="1"/>
  <c r="AP491" i="1"/>
  <c r="AP521" i="1"/>
  <c r="AP113" i="1"/>
  <c r="AP391" i="1"/>
  <c r="AP49" i="1"/>
  <c r="AP392" i="1"/>
  <c r="AP147" i="1"/>
  <c r="AP317" i="1"/>
  <c r="AP470" i="1"/>
  <c r="AP40" i="1"/>
  <c r="AP336" i="1"/>
  <c r="AP50" i="1"/>
  <c r="AP350" i="1"/>
  <c r="AP308" i="1"/>
  <c r="AP368" i="1"/>
  <c r="AP67" i="1"/>
  <c r="AP406" i="1"/>
  <c r="AP149" i="1"/>
  <c r="AP508" i="1"/>
  <c r="AP514" i="1"/>
  <c r="AP463" i="1"/>
  <c r="AP274" i="1"/>
  <c r="AP484" i="1"/>
  <c r="AP439" i="1"/>
  <c r="AP60" i="1"/>
  <c r="AP366" i="1"/>
  <c r="AP386" i="1"/>
  <c r="AP492" i="1"/>
  <c r="AP271" i="1"/>
  <c r="AP222" i="1"/>
  <c r="AP485" i="1"/>
  <c r="AP33" i="1"/>
  <c r="AP427" i="1"/>
  <c r="AP426" i="1"/>
  <c r="AP316" i="1"/>
  <c r="AP24" i="1"/>
  <c r="AP79" i="1"/>
  <c r="AP72" i="1"/>
  <c r="AP376" i="1"/>
  <c r="AP253" i="1"/>
  <c r="AP301" i="1"/>
  <c r="AP377" i="1"/>
  <c r="AP420" i="1"/>
  <c r="AP480" i="1"/>
  <c r="AP369" i="1"/>
  <c r="AP168" i="1"/>
  <c r="AP219" i="1"/>
  <c r="AP358" i="1"/>
  <c r="AP92" i="1"/>
  <c r="AP220" i="1"/>
  <c r="AP267" i="1"/>
  <c r="AP279" i="1"/>
  <c r="AP259" i="1"/>
  <c r="AP394" i="1"/>
  <c r="AP511" i="1"/>
  <c r="AP122" i="1"/>
  <c r="AP433" i="1"/>
  <c r="AP319" i="1"/>
  <c r="AP175" i="1"/>
  <c r="AP503" i="1"/>
  <c r="AP250" i="1"/>
  <c r="AP23" i="1"/>
  <c r="AP502" i="1"/>
  <c r="AP518" i="1"/>
  <c r="AP117" i="1"/>
  <c r="AP31" i="1"/>
  <c r="AP243" i="1"/>
  <c r="AP500" i="1"/>
  <c r="AP269" i="1"/>
  <c r="AP375" i="1"/>
  <c r="AP173" i="1"/>
  <c r="AP326" i="1"/>
  <c r="AP524" i="1"/>
  <c r="AP89" i="1"/>
  <c r="AP429" i="1"/>
  <c r="AP382" i="1"/>
  <c r="AP78" i="1"/>
  <c r="AP457" i="1"/>
  <c r="AP37" i="1"/>
  <c r="AP361" i="1"/>
  <c r="AP442" i="1"/>
  <c r="AP325" i="1"/>
  <c r="AP273" i="1"/>
  <c r="AP331" i="1"/>
  <c r="AP205" i="1"/>
  <c r="AP29" i="1"/>
  <c r="AP478" i="1"/>
  <c r="AP451" i="1"/>
  <c r="AP409" i="1"/>
  <c r="AP378" i="1"/>
  <c r="AP20" i="1"/>
  <c r="AP276" i="1"/>
  <c r="AP453" i="1"/>
  <c r="AP116" i="1"/>
  <c r="AP176" i="1"/>
  <c r="AP509" i="1"/>
  <c r="AP506" i="1"/>
  <c r="AP321" i="1"/>
  <c r="AP52" i="1"/>
  <c r="AP9" i="1"/>
  <c r="AP302" i="1"/>
  <c r="AP397" i="1"/>
  <c r="AP131" i="1"/>
  <c r="AP221" i="1"/>
  <c r="AP110" i="1"/>
  <c r="AP212" i="1"/>
  <c r="AP488" i="1"/>
  <c r="AP227" i="1"/>
  <c r="AP94" i="1"/>
  <c r="AP468" i="1"/>
  <c r="AP59" i="1"/>
  <c r="AP91" i="1"/>
  <c r="AP351" i="1"/>
  <c r="AP196" i="1"/>
  <c r="AP264" i="1"/>
  <c r="AP239" i="1"/>
  <c r="AP441" i="1"/>
  <c r="AP473" i="1"/>
  <c r="AP418" i="1"/>
  <c r="AP189" i="1"/>
  <c r="AP69" i="1"/>
  <c r="AP338" i="1"/>
  <c r="AP80" i="1"/>
  <c r="AP294" i="1"/>
  <c r="AP464" i="1"/>
  <c r="AP84" i="1"/>
  <c r="AP374" i="1"/>
  <c r="AP46" i="1"/>
  <c r="AP188" i="1"/>
  <c r="AP236" i="1"/>
  <c r="AP424" i="1"/>
  <c r="AP82" i="1"/>
  <c r="AP141" i="1"/>
  <c r="AP19" i="1"/>
  <c r="AP167" i="1"/>
  <c r="AP393" i="1"/>
  <c r="AP134" i="1"/>
  <c r="AP286" i="1"/>
  <c r="AP66" i="1"/>
  <c r="AP159" i="1"/>
  <c r="AP284" i="1"/>
  <c r="AP405" i="1"/>
  <c r="AP53" i="1"/>
  <c r="AP385" i="1"/>
  <c r="AP180" i="1"/>
  <c r="AP194" i="1"/>
  <c r="AP32" i="1"/>
  <c r="AP18" i="1"/>
  <c r="AP466" i="1"/>
  <c r="AP515" i="1"/>
  <c r="AP443" i="1"/>
  <c r="AP234" i="1"/>
  <c r="AN494" i="1"/>
  <c r="AS476" i="1"/>
  <c r="AS383" i="1"/>
  <c r="AS26" i="1"/>
  <c r="AS280" i="1"/>
  <c r="AS49" i="1"/>
  <c r="AS269" i="1"/>
  <c r="AS392" i="1"/>
  <c r="AS46" i="1"/>
  <c r="AS443" i="1"/>
  <c r="AS393" i="1"/>
  <c r="AS91" i="1"/>
  <c r="AS168" i="1"/>
  <c r="AS496" i="1"/>
  <c r="AS478" i="1"/>
  <c r="AS406" i="1"/>
  <c r="AS358" i="1"/>
  <c r="AS159" i="1"/>
  <c r="AS426" i="1"/>
  <c r="AS225" i="1"/>
  <c r="AS427" i="1"/>
  <c r="AS378" i="1"/>
  <c r="AS470" i="1"/>
  <c r="AS424" i="1"/>
  <c r="AS24" i="1"/>
  <c r="AS342" i="1"/>
  <c r="AS405" i="1"/>
  <c r="AS31" i="1"/>
  <c r="AS37" i="1"/>
  <c r="AS214" i="1"/>
  <c r="AS250" i="1"/>
  <c r="AS221" i="1"/>
  <c r="AS196" i="1"/>
  <c r="AS94" i="1"/>
  <c r="AS376" i="1"/>
  <c r="AS296" i="1"/>
  <c r="AS194" i="1"/>
  <c r="AS173" i="1"/>
  <c r="AS317" i="1"/>
  <c r="AS149" i="1"/>
  <c r="AS19" i="1"/>
  <c r="AS366" i="1"/>
  <c r="AS73" i="1"/>
  <c r="AS143" i="1"/>
  <c r="AS325" i="1"/>
  <c r="AS216" i="1"/>
  <c r="AS459" i="1"/>
  <c r="AS52" i="1"/>
  <c r="AS492" i="1"/>
  <c r="AS22" i="1"/>
  <c r="AS506" i="1"/>
  <c r="AS220" i="1"/>
  <c r="AS430" i="1"/>
  <c r="AS239" i="1"/>
  <c r="AS442" i="1"/>
  <c r="AS326" i="1"/>
  <c r="AS259" i="1"/>
  <c r="AS238" i="1"/>
  <c r="AS53" i="1"/>
  <c r="AS500" i="1"/>
  <c r="AS382" i="1"/>
  <c r="AS116" i="1"/>
  <c r="AS439" i="1"/>
  <c r="AS355" i="1"/>
  <c r="AS286" i="1"/>
  <c r="AS502" i="1"/>
  <c r="AS521" i="1"/>
  <c r="AS236" i="1"/>
  <c r="AS508" i="1"/>
  <c r="AS474" i="1"/>
  <c r="AS322" i="1"/>
  <c r="AS89" i="1"/>
  <c r="AS505" i="1"/>
  <c r="AS123" i="1"/>
  <c r="AS20" i="1"/>
  <c r="AS463" i="1"/>
  <c r="AS55" i="1"/>
  <c r="AS391" i="1"/>
  <c r="AS518" i="1"/>
  <c r="AS369" i="1"/>
  <c r="AS190" i="1"/>
  <c r="AS227" i="1"/>
  <c r="AS79" i="1"/>
  <c r="AS503" i="1"/>
  <c r="AS29" i="1"/>
  <c r="AS67" i="1"/>
  <c r="AS82" i="1"/>
  <c r="AS72" i="1"/>
  <c r="AS305" i="1"/>
  <c r="AS480" i="1"/>
  <c r="AS350" i="1"/>
  <c r="AS271" i="1"/>
  <c r="AS457" i="1"/>
  <c r="AS368" i="1"/>
  <c r="AS188" i="1"/>
  <c r="AS219" i="1"/>
  <c r="AS87" i="1"/>
  <c r="AS338" i="1"/>
  <c r="AS113" i="1"/>
  <c r="AS32" i="1"/>
  <c r="AS284" i="1"/>
  <c r="AS377" i="1"/>
  <c r="AS191" i="1"/>
  <c r="AS243" i="1"/>
  <c r="AS357" i="1"/>
  <c r="AS21" i="1"/>
  <c r="AS189" i="1"/>
  <c r="AS433" i="1"/>
  <c r="AS276" i="1"/>
  <c r="AS340" i="1"/>
  <c r="AS71" i="1"/>
  <c r="AS292" i="1"/>
  <c r="AS473" i="1"/>
  <c r="AS453" i="1"/>
  <c r="AS222" i="1"/>
  <c r="AS309" i="1"/>
  <c r="AS274" i="1"/>
  <c r="AS288" i="1"/>
  <c r="AS125" i="1"/>
  <c r="AS180" i="1"/>
  <c r="AS375" i="1"/>
  <c r="AS491" i="1"/>
  <c r="AS464" i="1"/>
  <c r="AS253" i="1"/>
  <c r="AS235" i="1"/>
  <c r="AS409" i="1"/>
  <c r="AS351" i="1"/>
  <c r="AS441" i="1"/>
  <c r="AS386" i="1"/>
  <c r="AS364" i="1"/>
  <c r="AS66" i="1"/>
  <c r="AS175" i="1"/>
  <c r="AS344" i="1"/>
  <c r="AS524" i="1"/>
  <c r="AS316" i="1"/>
  <c r="AS509" i="1"/>
  <c r="AS117" i="1"/>
  <c r="AS485" i="1"/>
  <c r="AS495" i="1"/>
  <c r="AS331" i="1"/>
  <c r="AS205" i="1"/>
  <c r="AS484" i="1"/>
  <c r="AS294" i="1"/>
  <c r="AS134" i="1"/>
  <c r="AS23" i="1"/>
  <c r="AS145" i="1"/>
  <c r="AS69" i="1"/>
  <c r="AS33" i="1"/>
  <c r="AS100" i="1"/>
  <c r="AS92" i="1"/>
  <c r="AS341" i="1"/>
  <c r="AS361" i="1"/>
  <c r="AS59" i="1"/>
  <c r="AS514" i="1"/>
  <c r="AS468" i="1"/>
  <c r="AS515" i="1"/>
  <c r="AS267" i="1"/>
  <c r="AS156" i="1"/>
  <c r="AS147" i="1"/>
  <c r="AS110" i="1"/>
  <c r="AS129" i="1"/>
  <c r="AS187" i="1"/>
  <c r="AS279" i="1"/>
  <c r="AS78" i="1"/>
  <c r="AS106" i="1"/>
  <c r="AS504" i="1"/>
  <c r="AS336" i="1"/>
  <c r="AS420" i="1"/>
  <c r="AS374" i="1"/>
  <c r="AS347" i="1"/>
  <c r="AS308" i="1"/>
  <c r="AS185" i="1"/>
  <c r="AS516" i="1"/>
  <c r="AS135" i="1"/>
  <c r="AS50" i="1"/>
  <c r="AS429" i="1"/>
  <c r="AS212" i="1"/>
  <c r="AS513" i="1"/>
  <c r="AS451" i="1"/>
  <c r="AS285" i="1"/>
  <c r="AS141" i="1"/>
  <c r="AS107" i="1"/>
  <c r="AS213" i="1"/>
  <c r="AS446" i="1"/>
  <c r="AS176" i="1"/>
  <c r="AS18" i="1"/>
  <c r="AS122" i="1"/>
  <c r="AS301" i="1"/>
  <c r="AS385" i="1"/>
  <c r="AS511" i="1"/>
  <c r="AS84" i="1"/>
  <c r="AS466" i="1"/>
  <c r="AS494" i="1"/>
  <c r="AS348" i="1"/>
  <c r="AS264" i="1"/>
  <c r="AS60" i="1"/>
  <c r="AS488" i="1"/>
  <c r="AS167" i="1"/>
  <c r="AS418" i="1"/>
  <c r="AS80" i="1"/>
  <c r="AS321" i="1"/>
  <c r="AS408" i="1"/>
  <c r="AS193" i="1"/>
  <c r="AS394" i="1"/>
  <c r="AS362" i="1"/>
  <c r="AS40" i="1"/>
  <c r="AS319" i="1"/>
  <c r="AS273" i="1"/>
  <c r="AQ494" i="1"/>
  <c r="AT494" i="1"/>
  <c r="AO444" i="1"/>
  <c r="A191" i="2"/>
  <c r="A192" i="2" s="1"/>
  <c r="A193" i="2" s="1"/>
  <c r="A194" i="2" s="1"/>
  <c r="A155" i="2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80" i="2"/>
  <c r="A81" i="2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N521" i="1" l="1"/>
  <c r="AN67" i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404" i="1" s="1"/>
  <c r="Z461" i="1"/>
  <c r="AS475" i="1"/>
  <c r="AP458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AP160" i="1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AQ521" i="1" s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B159" i="2" l="1"/>
  <c r="B154" i="2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T365" i="1" l="1"/>
  <c r="AT521" i="1"/>
  <c r="AA36" i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65" i="4" s="1" a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H24" i="3" s="1" a="1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G32" i="2"/>
  <c r="B213" i="2"/>
  <c r="G215" i="2" s="1"/>
  <c r="B34" i="2" a="1"/>
  <c r="B139" i="2"/>
  <c r="G67" i="2"/>
  <c r="B71" i="2" s="1" a="1"/>
  <c r="G293" i="2"/>
  <c r="G104" i="2"/>
  <c r="B108" i="2" s="1" a="1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G97" i="4" s="1"/>
  <c r="G98" i="4" s="1"/>
  <c r="G99" i="4" s="1"/>
  <c r="B99" i="4" a="1"/>
  <c r="G130" i="4"/>
  <c r="G131" i="4" s="1"/>
  <c r="G132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G133" i="4"/>
  <c r="B133" i="4" s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H24" i="3" s="1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182" i="2"/>
  <c r="H182" i="2"/>
  <c r="AJ36" i="1" l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H219" i="2"/>
  <c r="B219" i="2"/>
  <c r="B71" i="2"/>
  <c r="H71" i="2"/>
  <c r="G217" i="2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BI335" i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AK365" i="1" l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65" i="4" s="1"/>
  <c r="B120" i="3"/>
  <c r="B145" i="3"/>
  <c r="AA7" i="1"/>
  <c r="F244" i="3"/>
  <c r="F241" i="3"/>
  <c r="F242" i="3"/>
  <c r="F240" i="3"/>
  <c r="B244" i="3" s="1" a="1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AX4" i="1" l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s="1" a="1"/>
  <c r="B31" i="4" l="1"/>
  <c r="B31" i="4" a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182" i="3" s="1" a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F213" i="3"/>
  <c r="F210" i="3"/>
  <c r="F212" i="3"/>
  <c r="F211" i="3"/>
  <c r="F180" i="3"/>
  <c r="F179" i="3"/>
  <c r="B234" i="4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P63" authorId="0">
      <text>
        <r>
          <rPr>
            <b/>
            <sz val="8"/>
            <color indexed="81"/>
            <rFont val="Tahoma"/>
            <family val="2"/>
          </rPr>
          <t>Arranged Late Take: All correct</t>
        </r>
      </text>
    </comment>
    <comment ref="P69" authorId="0">
      <text>
        <r>
          <rPr>
            <b/>
            <sz val="8"/>
            <color indexed="81"/>
            <rFont val="Tahoma"/>
            <family val="2"/>
          </rPr>
          <t>61-&gt;91
Corrected syntax errors by name rechange in two problems</t>
        </r>
      </text>
    </comment>
    <comment ref="D112" authorId="0">
      <text>
        <r>
          <rPr>
            <b/>
            <sz val="8"/>
            <color indexed="81"/>
            <rFont val="Tahoma"/>
            <family val="2"/>
          </rPr>
          <t>25-13=12
-13: 3 hours and 15 minutes late; next time not graded</t>
        </r>
      </text>
    </comment>
    <comment ref="D115" authorId="0">
      <text>
        <r>
          <rPr>
            <b/>
            <sz val="8"/>
            <color indexed="81"/>
            <rFont val="Tahoma"/>
            <family val="2"/>
          </rPr>
          <t>22-3=19
-3: 45 minutes late; next time not graded</t>
        </r>
      </text>
    </commen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P146" authorId="0">
      <text>
        <r>
          <rPr>
            <b/>
            <sz val="8"/>
            <color indexed="81"/>
            <rFont val="Tahoma"/>
            <family val="2"/>
          </rPr>
          <t>Arranged Late Take: missed last 2 of 5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D273" authorId="0">
      <text>
        <r>
          <rPr>
            <b/>
            <sz val="8"/>
            <color indexed="81"/>
            <rFont val="Tahoma"/>
            <family val="2"/>
          </rPr>
          <t>25-2=23
-2: extra import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K301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L322" authorId="0">
      <text>
        <r>
          <rPr>
            <b/>
            <sz val="8"/>
            <color indexed="81"/>
            <rFont val="Tahoma"/>
            <family val="2"/>
          </rPr>
          <t>Rich Pattis:
13 minutes late (but see other spreadsheet for why 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33" authorId="0">
      <text>
        <r>
          <rPr>
            <b/>
            <sz val="8"/>
            <color indexed="81"/>
            <rFont val="Tahoma"/>
            <family val="2"/>
          </rPr>
          <t>37-1=36
-1: 9 minutes late
next time not graded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K347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D382" authorId="0">
      <text>
        <r>
          <rPr>
            <b/>
            <sz val="8"/>
            <color indexed="81"/>
            <rFont val="Tahoma"/>
            <family val="2"/>
          </rPr>
          <t>25-7=18
-7: over 1 hour and 45 minutes late; next time not graded</t>
        </r>
      </text>
    </comment>
    <comment ref="P387" authorId="0">
      <text>
        <r>
          <rPr>
            <b/>
            <sz val="8"/>
            <color indexed="81"/>
            <rFont val="Tahoma"/>
            <family val="2"/>
          </rPr>
          <t>Arranged Late Take: missed 1last problem of 5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D479" authorId="0">
      <text>
        <r>
          <rPr>
            <b/>
            <sz val="8"/>
            <color indexed="81"/>
            <rFont val="Tahoma"/>
            <family val="2"/>
          </rPr>
          <t>22-2=20
-2 removed old but not submit new; graded old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</commentList>
</comments>
</file>

<file path=xl/sharedStrings.xml><?xml version="1.0" encoding="utf-8"?>
<sst xmlns="http://schemas.openxmlformats.org/spreadsheetml/2006/main" count="867" uniqueCount="87">
  <si>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</si>
  <si>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</si>
  <si>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</si>
  <si>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</si>
  <si>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</si>
  <si>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</si>
  <si>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</si>
  <si>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</si>
  <si>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</si>
  <si>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</si>
  <si>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</si>
  <si>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</si>
  <si>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</si>
  <si>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</si>
  <si>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</si>
  <si>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</si>
  <si>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</si>
  <si>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</si>
  <si>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</si>
  <si>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</si>
  <si>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</si>
  <si>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</si>
  <si>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</si>
  <si>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</si>
  <si>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</si>
  <si>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</si>
  <si>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</si>
  <si>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</si>
  <si>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</si>
  <si>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</si>
  <si>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</si>
  <si>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</si>
  <si>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</si>
  <si>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</si>
  <si>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</si>
  <si>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</si>
  <si>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</si>
  <si>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</si>
  <si>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</si>
  <si>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</si>
  <si>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</si>
  <si>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</si>
  <si>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</si>
  <si>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</si>
  <si>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</si>
  <si>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</si>
  <si>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</si>
  <si>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</si>
  <si>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</si>
  <si>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</si>
  <si>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</si>
  <si>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</si>
  <si>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</si>
  <si>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</si>
  <si>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</si>
  <si>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</si>
  <si>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</si>
  <si>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</si>
  <si>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</si>
  <si>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</si>
  <si>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</si>
  <si>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</si>
  <si>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</si>
  <si>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</si>
  <si>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</si>
  <si>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</si>
  <si>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</si>
  <si>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</si>
  <si>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</si>
  <si>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</si>
  <si>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</si>
  <si>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</si>
  <si>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</si>
  <si>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</si>
  <si>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</si>
  <si>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</si>
  <si>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</si>
  <si>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</si>
  <si>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</si>
  <si>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</si>
  <si>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</si>
  <si>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</si>
  <si>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</si>
  <si>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</si>
  <si>
    <t>32A</t>
  </si>
  <si>
    <t>None</t>
  </si>
  <si>
    <t>Prior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</si>
</sst>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8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164" fontId="5" fillId="0" borderId="0" xfId="0" applyNumberFormat="1" applyFont="1" applyBorder="1" applyAlignment="1">
      <alignment horizontal="center"/>
    </xf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4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086656"/>
        <c:axId val="202675264"/>
      </c:barChart>
      <c:catAx>
        <c:axId val="1980866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675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6752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086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17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10</c:v>
                </c:pt>
                <c:pt idx="15">
                  <c:v>100</c:v>
                </c:pt>
                <c:pt idx="16">
                  <c:v>61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42400"/>
        <c:axId val="202677568"/>
      </c:barChart>
      <c:catAx>
        <c:axId val="2023424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677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677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424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11</c:v>
                </c:pt>
                <c:pt idx="15">
                  <c:v>38</c:v>
                </c:pt>
                <c:pt idx="16">
                  <c:v>12</c:v>
                </c:pt>
                <c:pt idx="17">
                  <c:v>57</c:v>
                </c:pt>
                <c:pt idx="18">
                  <c:v>10</c:v>
                </c:pt>
                <c:pt idx="19">
                  <c:v>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43424"/>
        <c:axId val="202244672"/>
      </c:barChart>
      <c:catAx>
        <c:axId val="2023434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2446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244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43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44960"/>
        <c:axId val="202246400"/>
      </c:barChart>
      <c:catAx>
        <c:axId val="2023449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246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246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449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45472"/>
        <c:axId val="202248128"/>
      </c:barChart>
      <c:catAx>
        <c:axId val="2023454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248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248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454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43936"/>
        <c:axId val="202249856"/>
      </c:barChart>
      <c:catAx>
        <c:axId val="2023439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2498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249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439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01088"/>
        <c:axId val="202251584"/>
      </c:barChart>
      <c:catAx>
        <c:axId val="2038010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2515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251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10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02112"/>
        <c:axId val="203678848"/>
      </c:barChart>
      <c:catAx>
        <c:axId val="2038021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678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678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21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6</c:v>
                </c:pt>
                <c:pt idx="11">
                  <c:v>12</c:v>
                </c:pt>
                <c:pt idx="12">
                  <c:v>11</c:v>
                </c:pt>
                <c:pt idx="13">
                  <c:v>12</c:v>
                </c:pt>
                <c:pt idx="14">
                  <c:v>25</c:v>
                </c:pt>
                <c:pt idx="15">
                  <c:v>30</c:v>
                </c:pt>
                <c:pt idx="16">
                  <c:v>33</c:v>
                </c:pt>
                <c:pt idx="17">
                  <c:v>33</c:v>
                </c:pt>
                <c:pt idx="18">
                  <c:v>69</c:v>
                </c:pt>
                <c:pt idx="19">
                  <c:v>125</c:v>
                </c:pt>
                <c:pt idx="20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02624"/>
        <c:axId val="203680576"/>
      </c:barChart>
      <c:catAx>
        <c:axId val="2038026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6805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68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26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03648"/>
        <c:axId val="203682304"/>
      </c:barChart>
      <c:catAx>
        <c:axId val="2038036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6823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682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3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03136"/>
        <c:axId val="203684032"/>
      </c:barChart>
      <c:catAx>
        <c:axId val="2038031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684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684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3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45.436507936507937</c:v>
                </c:pt>
                <c:pt idx="1">
                  <c:v>19.246031746031747</c:v>
                </c:pt>
                <c:pt idx="2">
                  <c:v>21.825396825396826</c:v>
                </c:pt>
                <c:pt idx="3">
                  <c:v>1.3888888888888888</c:v>
                </c:pt>
                <c:pt idx="4">
                  <c:v>12.103174603174603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48.732943469785575</c:v>
                </c:pt>
                <c:pt idx="1">
                  <c:v>19.883040935672515</c:v>
                </c:pt>
                <c:pt idx="2">
                  <c:v>12.280701754385964</c:v>
                </c:pt>
                <c:pt idx="3">
                  <c:v>7.2124756335282649</c:v>
                </c:pt>
                <c:pt idx="4">
                  <c:v>11.890838206627679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66.33064516129032</c:v>
                </c:pt>
                <c:pt idx="1">
                  <c:v>13.911290322580644</c:v>
                </c:pt>
                <c:pt idx="2">
                  <c:v>9.879032258064516</c:v>
                </c:pt>
                <c:pt idx="3">
                  <c:v>3.4274193548387095</c:v>
                </c:pt>
                <c:pt idx="4">
                  <c:v>6.4516129032258061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089728"/>
        <c:axId val="204417856"/>
      </c:barChart>
      <c:catAx>
        <c:axId val="1980897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178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417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089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16</c:v>
                </c:pt>
                <c:pt idx="14">
                  <c:v>9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93</c:v>
                </c:pt>
                <c:pt idx="20">
                  <c:v>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34880"/>
        <c:axId val="204419008"/>
      </c:barChart>
      <c:catAx>
        <c:axId val="2038348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190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419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48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3</c:v>
                </c:pt>
                <c:pt idx="13">
                  <c:v>12</c:v>
                </c:pt>
                <c:pt idx="14">
                  <c:v>5</c:v>
                </c:pt>
                <c:pt idx="15">
                  <c:v>13</c:v>
                </c:pt>
                <c:pt idx="16">
                  <c:v>6</c:v>
                </c:pt>
                <c:pt idx="17">
                  <c:v>17</c:v>
                </c:pt>
                <c:pt idx="18">
                  <c:v>16</c:v>
                </c:pt>
                <c:pt idx="19">
                  <c:v>183</c:v>
                </c:pt>
                <c:pt idx="20">
                  <c:v>219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35392"/>
        <c:axId val="204420736"/>
      </c:barChart>
      <c:catAx>
        <c:axId val="2038353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207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420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5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35904"/>
        <c:axId val="203210752"/>
      </c:barChart>
      <c:catAx>
        <c:axId val="2038359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210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210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5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36416"/>
        <c:axId val="203211904"/>
      </c:barChart>
      <c:catAx>
        <c:axId val="203836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211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211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6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9</c:v>
                </c:pt>
                <c:pt idx="12">
                  <c:v>14</c:v>
                </c:pt>
                <c:pt idx="13">
                  <c:v>11</c:v>
                </c:pt>
                <c:pt idx="14">
                  <c:v>12</c:v>
                </c:pt>
                <c:pt idx="15">
                  <c:v>22</c:v>
                </c:pt>
                <c:pt idx="16">
                  <c:v>20</c:v>
                </c:pt>
                <c:pt idx="17">
                  <c:v>40</c:v>
                </c:pt>
                <c:pt idx="18">
                  <c:v>40</c:v>
                </c:pt>
                <c:pt idx="19">
                  <c:v>121</c:v>
                </c:pt>
                <c:pt idx="20">
                  <c:v>189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836928"/>
        <c:axId val="203214784"/>
      </c:barChart>
      <c:catAx>
        <c:axId val="2038369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214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214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3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299712"/>
        <c:axId val="203216512"/>
      </c:barChart>
      <c:catAx>
        <c:axId val="2052997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216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216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2997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66.197183098591552</c:v>
                </c:pt>
                <c:pt idx="1">
                  <c:v>9.6579476861166995</c:v>
                </c:pt>
                <c:pt idx="2">
                  <c:v>7.2434607645875246</c:v>
                </c:pt>
                <c:pt idx="3">
                  <c:v>3.4205231388329906</c:v>
                </c:pt>
                <c:pt idx="4">
                  <c:v>13.078470824949704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84.8</c:v>
                </c:pt>
                <c:pt idx="1">
                  <c:v>4.4000000000000057</c:v>
                </c:pt>
                <c:pt idx="2">
                  <c:v>3.6000000000000085</c:v>
                </c:pt>
                <c:pt idx="3">
                  <c:v>2.3999999999999773</c:v>
                </c:pt>
                <c:pt idx="4">
                  <c:v>4.8000000000000114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67.961165048543691</c:v>
                </c:pt>
                <c:pt idx="1">
                  <c:v>11.650485436893204</c:v>
                </c:pt>
                <c:pt idx="2">
                  <c:v>6.6019417475728162</c:v>
                </c:pt>
                <c:pt idx="3">
                  <c:v>4.8543689320388346</c:v>
                </c:pt>
                <c:pt idx="4">
                  <c:v>8.9320388349514559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303296"/>
        <c:axId val="205348160"/>
      </c:barChart>
      <c:catAx>
        <c:axId val="205303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348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34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3032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88160"/>
        <c:axId val="205685888"/>
      </c:barChart>
      <c:catAx>
        <c:axId val="2057881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68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88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89184"/>
        <c:axId val="205687616"/>
      </c:barChart>
      <c:catAx>
        <c:axId val="2057891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7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687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891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88672"/>
        <c:axId val="205689344"/>
      </c:barChart>
      <c:catAx>
        <c:axId val="2057886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689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88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89696"/>
        <c:axId val="205691072"/>
      </c:barChart>
      <c:catAx>
        <c:axId val="2057896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91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691072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89696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90720"/>
        <c:axId val="206200832"/>
      </c:barChart>
      <c:catAx>
        <c:axId val="2057907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008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200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90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278656"/>
        <c:axId val="206202560"/>
      </c:barChart>
      <c:catAx>
        <c:axId val="2062786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02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202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78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279168"/>
        <c:axId val="206204288"/>
      </c:barChart>
      <c:catAx>
        <c:axId val="2062791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04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204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791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279680"/>
        <c:axId val="206206016"/>
      </c:barChart>
      <c:catAx>
        <c:axId val="2062796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06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206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79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790208"/>
        <c:axId val="206207744"/>
      </c:barChart>
      <c:catAx>
        <c:axId val="2057902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07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20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90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280192"/>
        <c:axId val="206428352"/>
      </c:barChart>
      <c:catAx>
        <c:axId val="2062801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28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428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2801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K650"/>
  <sheetViews>
    <sheetView tabSelected="1" zoomScale="80" zoomScaleNormal="80" workbookViewId="0">
      <selection activeCell="T17" sqref="T17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6" width="9.140625" customWidth="1"/>
    <col min="57" max="57" width="12" bestFit="1" customWidth="1"/>
    <col min="58" max="59" width="9.140625" customWidth="1"/>
  </cols>
  <sheetData>
    <row r="1" spans="1:58" s="4" customFormat="1" ht="13.5" thickBot="1" x14ac:dyDescent="0.25">
      <c r="A1" s="70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80" t="s">
        <v>60</v>
      </c>
      <c r="K1" s="63" t="s">
        <v>7</v>
      </c>
      <c r="L1" s="63" t="s">
        <v>8</v>
      </c>
      <c r="M1" s="8" t="s">
        <v>9</v>
      </c>
      <c r="N1" s="8" t="s">
        <v>10</v>
      </c>
      <c r="O1" s="19" t="s">
        <v>11</v>
      </c>
      <c r="P1" s="63" t="s">
        <v>76</v>
      </c>
      <c r="Q1" s="63" t="s">
        <v>77</v>
      </c>
      <c r="R1" s="80" t="s">
        <v>65</v>
      </c>
      <c r="S1" s="63" t="s">
        <v>68</v>
      </c>
      <c r="T1" s="66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6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3" t="s">
        <v>71</v>
      </c>
      <c r="AO1" s="63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7" t="s">
        <v>51</v>
      </c>
      <c r="AU1" s="8" t="s">
        <v>12</v>
      </c>
      <c r="AV1" s="8"/>
      <c r="AW1" s="4" t="s">
        <v>52</v>
      </c>
      <c r="AY1" s="70" t="s">
        <v>78</v>
      </c>
      <c r="AZ1" s="70"/>
      <c r="BA1" s="70" t="s">
        <v>82</v>
      </c>
      <c r="BB1" s="70" t="s">
        <v>83</v>
      </c>
      <c r="BC1" s="70"/>
      <c r="BD1" s="105"/>
      <c r="BE1" s="105" t="s">
        <v>86</v>
      </c>
      <c r="BF1" s="70"/>
    </row>
    <row r="2" spans="1:58" ht="12.75" customHeight="1" x14ac:dyDescent="0.2">
      <c r="A2" s="40" t="s">
        <v>13</v>
      </c>
      <c r="B2" s="2">
        <v>25</v>
      </c>
      <c r="C2" s="23">
        <v>25</v>
      </c>
      <c r="D2" s="23">
        <v>25</v>
      </c>
      <c r="E2" s="23"/>
      <c r="F2" s="23"/>
      <c r="G2" s="23"/>
      <c r="H2" s="23"/>
      <c r="I2" s="23"/>
      <c r="J2" s="2">
        <v>30</v>
      </c>
      <c r="K2" s="23">
        <v>50</v>
      </c>
      <c r="L2" s="23">
        <v>50</v>
      </c>
      <c r="M2" s="23"/>
      <c r="N2" s="23"/>
      <c r="O2" s="61"/>
      <c r="P2" s="2">
        <v>100</v>
      </c>
      <c r="Q2" s="61"/>
      <c r="R2" s="2"/>
      <c r="S2" s="10"/>
      <c r="T2" s="23"/>
      <c r="U2" s="2">
        <f>SUM(B2:I2)</f>
        <v>75</v>
      </c>
      <c r="V2" s="23">
        <f>SUM(J2:O2)</f>
        <v>130</v>
      </c>
      <c r="W2" s="23">
        <f>SUM(P2:Q2)</f>
        <v>100</v>
      </c>
      <c r="X2" s="23">
        <f>SUM(R2,T2)</f>
        <v>0</v>
      </c>
      <c r="Y2" s="61">
        <f>MAX(Y9:Y607)</f>
        <v>2</v>
      </c>
      <c r="Z2" s="13">
        <f>SUM(U2:X2)</f>
        <v>305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4">
        <f>U2</f>
        <v>75</v>
      </c>
      <c r="AM2" s="24">
        <f>V2</f>
        <v>130</v>
      </c>
      <c r="AN2" s="24">
        <f>P2</f>
        <v>100</v>
      </c>
      <c r="AO2" s="24">
        <f>Q2</f>
        <v>0</v>
      </c>
      <c r="AP2" s="24">
        <f>R2</f>
        <v>0</v>
      </c>
      <c r="AQ2" s="29">
        <f>W2</f>
        <v>100</v>
      </c>
      <c r="AR2" s="29">
        <f>T2</f>
        <v>0</v>
      </c>
      <c r="AS2" s="29">
        <f>X2</f>
        <v>0</v>
      </c>
      <c r="AT2" s="88">
        <f>SUM(W2,X2)</f>
        <v>100</v>
      </c>
      <c r="AU2" s="22">
        <v>100</v>
      </c>
    </row>
    <row r="3" spans="1:58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504</v>
      </c>
      <c r="D3" s="10">
        <f>COUNTIF(D9:D607,"&gt;=0")</f>
        <v>496</v>
      </c>
      <c r="E3" s="10"/>
      <c r="F3" s="10"/>
      <c r="G3" s="10"/>
      <c r="H3" s="10"/>
      <c r="I3" s="10"/>
      <c r="J3" s="2">
        <f>COUNTIF(J9:J607,"&gt;=0")</f>
        <v>510</v>
      </c>
      <c r="K3" s="10">
        <f>COUNTIF(K9:K607,"&gt;=0")</f>
        <v>495</v>
      </c>
      <c r="L3" s="10">
        <f>COUNTIF(L9:L607,"&gt;=0")</f>
        <v>500</v>
      </c>
      <c r="M3" s="10"/>
      <c r="N3" s="10"/>
      <c r="O3" s="13"/>
      <c r="P3" s="2">
        <f>COUNTIF(P9:P607,"&gt;=0")</f>
        <v>508</v>
      </c>
      <c r="Q3" s="13"/>
      <c r="R3" s="2"/>
      <c r="S3" s="10"/>
      <c r="T3" s="13"/>
      <c r="U3" s="2">
        <f>COUNTIF(U9:U607,"&gt;=0")</f>
        <v>512</v>
      </c>
      <c r="V3" s="10">
        <f>COUNTIF(V9:V607,"&gt;=0")</f>
        <v>515</v>
      </c>
      <c r="W3" s="10">
        <f>COUNTIF(W9:W607,"&gt;=0")</f>
        <v>508</v>
      </c>
      <c r="X3" s="10">
        <f>COUNTIF(X9:X607,"&gt;=0")</f>
        <v>0</v>
      </c>
      <c r="Y3" s="13">
        <f>COUNTIF(Y9:Y607,"&gt;=0")</f>
        <v>509</v>
      </c>
      <c r="Z3" s="13"/>
      <c r="AA3" s="2">
        <f>COUNTIF(AA9:AA607,"&gt;0")</f>
        <v>515</v>
      </c>
      <c r="AB3" s="10"/>
      <c r="AC3" s="7"/>
      <c r="AD3" s="7"/>
      <c r="AE3" s="10">
        <f>COUNTIF(AE9:AE607,"&gt;0")</f>
        <v>507</v>
      </c>
      <c r="AF3" s="45"/>
      <c r="AG3" s="45"/>
      <c r="AH3" s="10">
        <f>COUNTIF(AH9:AH607,"&gt;0")</f>
        <v>515</v>
      </c>
      <c r="AL3" s="84">
        <f>COUNTIF(AL9:AL607,"&gt;0")</f>
        <v>511</v>
      </c>
      <c r="AM3" s="24">
        <f>COUNTIF(AM9:AM607,"&gt;0")</f>
        <v>515</v>
      </c>
      <c r="AN3" s="29">
        <f>COUNTIF(AN9:AN607,"&gt;=0")</f>
        <v>508</v>
      </c>
      <c r="AO3" s="24">
        <f>COUNTIF(AO9:AO607,"&gt;0")</f>
        <v>0</v>
      </c>
      <c r="AP3" s="24">
        <f>COUNTIF(AP9:AP607,"&gt;0")</f>
        <v>0</v>
      </c>
      <c r="AQ3" s="29">
        <f>COUNTIF(AQ9:AQ607,"&gt;00")</f>
        <v>507</v>
      </c>
      <c r="AR3" s="10">
        <f>COUNTIF(AR9:AR607,"&gt;0")</f>
        <v>0</v>
      </c>
      <c r="AS3" s="9"/>
      <c r="AT3" s="88"/>
      <c r="AU3" s="22">
        <f>COUNTIF(AU9:AU607,"&gt;0")</f>
        <v>515</v>
      </c>
      <c r="BA3" s="69">
        <v>72.5</v>
      </c>
      <c r="BB3" s="115">
        <v>0.69499999999999995</v>
      </c>
    </row>
    <row r="4" spans="1:58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20.700396825396826</v>
      </c>
      <c r="D4" s="56">
        <f>SUMIF(D9:D607,"&gt;=0")/D3</f>
        <v>22.572580645161292</v>
      </c>
      <c r="E4" s="56"/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43.660606060606064</v>
      </c>
      <c r="L4" s="56">
        <f>SUMIF(L9:L607,"&gt;=0")/L3</f>
        <v>47.582000000000001</v>
      </c>
      <c r="M4" s="56"/>
      <c r="N4" s="56"/>
      <c r="O4" s="13"/>
      <c r="P4" s="55">
        <f>SUMIF(P9:P607,"&gt;=0")/P3</f>
        <v>92.777559055118104</v>
      </c>
      <c r="Q4" s="72"/>
      <c r="R4" s="55"/>
      <c r="S4" s="56"/>
      <c r="T4" s="13"/>
      <c r="U4" s="55">
        <f>SUMIF(U9:U607,"&gt;0")/U3</f>
        <v>61.810546875</v>
      </c>
      <c r="V4" s="56">
        <f>SUMIF(V9:V607,"&gt;0")/V3</f>
        <v>116.46601941747574</v>
      </c>
      <c r="W4" s="56">
        <f>SUMIF(W9:W607,"&gt;0")/W3</f>
        <v>92.777559055118104</v>
      </c>
      <c r="X4" s="56" t="e">
        <f>SUMIF(X9:X607,"&gt;0")/X3</f>
        <v>#DIV/0!</v>
      </c>
      <c r="Y4" s="72">
        <f>SUMIF(Y9:Y607,"&gt;0")/Y3</f>
        <v>1.0019646365422397</v>
      </c>
      <c r="Z4" s="51">
        <f>AVERAGE(Z9:Z286)</f>
        <v>267.01798561151077</v>
      </c>
      <c r="AA4" s="55">
        <f>SUM(AA9:AA607)/AA3</f>
        <v>88.662104090402678</v>
      </c>
      <c r="AB4" s="7"/>
      <c r="AE4" s="56">
        <f>SUM(AE9:AE607)/AE3</f>
        <v>92.96055226824457</v>
      </c>
      <c r="AH4" s="26">
        <f>SUM(AH9:AH607)/AH3</f>
        <v>94.303358268343089</v>
      </c>
      <c r="AL4" s="84">
        <f>SUMIF(AL9:AL607,"&gt;0")/AL3</f>
        <v>82.575342465753437</v>
      </c>
      <c r="AM4" s="24">
        <f>SUMIF(AM9:AM607,"&gt;0")/AM3</f>
        <v>89.589245705750486</v>
      </c>
      <c r="AN4" s="29">
        <f>SUMIF(AN9:AN607,"&gt;0")/AN3</f>
        <v>92.777559055118104</v>
      </c>
      <c r="AO4" s="24" t="e">
        <f>SUMIF(AO9:AO607,"&gt;0")/AO3</f>
        <v>#DIV/0!</v>
      </c>
      <c r="AP4" s="24" t="e">
        <f>SUMIF(AP9:AP607,"&gt;0")/AP3</f>
        <v>#DIV/0!</v>
      </c>
      <c r="AQ4" s="29">
        <f>AVERAGE(AQ9:AQ607)</f>
        <v>92.777559055118104</v>
      </c>
      <c r="AR4" s="10" t="e">
        <f>SUMIF(AR9:AR607,"&gt;0")/AR3</f>
        <v>#DIV/0!</v>
      </c>
      <c r="AS4" s="24" t="e">
        <f>AVERAGE(AS9:AS607)</f>
        <v>#DIV/0!</v>
      </c>
      <c r="AT4" s="89">
        <f>AVERAGE(AT9:AT607)</f>
        <v>92.777559055118104</v>
      </c>
      <c r="AU4" s="29">
        <f>AVERAGE(AU9:AU607)</f>
        <v>88.490278307281741</v>
      </c>
      <c r="AW4" t="s">
        <v>57</v>
      </c>
      <c r="AX4" t="e">
        <f>#REF!</f>
        <v>#REF!</v>
      </c>
    </row>
    <row r="5" spans="1:58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>
        <f>MEDIAN(D9:D607)</f>
        <v>25</v>
      </c>
      <c r="E5" s="10"/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>
        <f>MEDIAN(L9:L607)</f>
        <v>50</v>
      </c>
      <c r="M5" s="10"/>
      <c r="N5" s="10"/>
      <c r="O5" s="13"/>
      <c r="P5" s="2">
        <f>MEDIAN(P9:P607)</f>
        <v>101</v>
      </c>
      <c r="Q5" s="13"/>
      <c r="R5" s="2"/>
      <c r="S5" s="10"/>
      <c r="T5" s="13"/>
      <c r="U5" s="2">
        <f>MEDIAN(U9:U607)</f>
        <v>67</v>
      </c>
      <c r="V5" s="10">
        <f>MEDIAN(V9:V607)</f>
        <v>128</v>
      </c>
      <c r="W5" s="10">
        <f>MEDIAN(W9:W607)</f>
        <v>101</v>
      </c>
      <c r="X5" s="10" t="e">
        <f>MEDIAN(X9:X607)</f>
        <v>#NUM!</v>
      </c>
      <c r="Y5" s="13">
        <f>MEDIAN(Y9:Y607)</f>
        <v>1</v>
      </c>
      <c r="Z5" s="51"/>
      <c r="AA5" s="2">
        <f>MEDIAN(AA9:AA607)</f>
        <v>96.06557377049181</v>
      </c>
      <c r="AB5" s="7"/>
      <c r="AE5" s="10">
        <f>MEDIAN(AE9:AE607)</f>
        <v>101</v>
      </c>
      <c r="AH5" s="26">
        <f>MEDIAN(AH9:AH607)</f>
        <v>101</v>
      </c>
      <c r="AL5" s="84">
        <f t="shared" ref="AL5:AR5" si="0">MEDIAN(AL9:AL607)</f>
        <v>89.333333333333329</v>
      </c>
      <c r="AM5" s="24">
        <f t="shared" si="0"/>
        <v>98.461538461538467</v>
      </c>
      <c r="AN5" s="29">
        <f t="shared" si="0"/>
        <v>101</v>
      </c>
      <c r="AO5" s="24" t="e">
        <f t="shared" si="0"/>
        <v>#NUM!</v>
      </c>
      <c r="AP5" s="24" t="e">
        <f t="shared" si="0"/>
        <v>#NUM!</v>
      </c>
      <c r="AQ5" s="29">
        <f t="shared" si="0"/>
        <v>101</v>
      </c>
      <c r="AR5" s="10" t="e">
        <f t="shared" si="0"/>
        <v>#NUM!</v>
      </c>
      <c r="AS5" s="24" t="e">
        <f>MEDIAN(AS9:AS196)</f>
        <v>#NUM!</v>
      </c>
      <c r="AT5" s="89">
        <f>MEDIAN(AT9:AT196)</f>
        <v>101</v>
      </c>
      <c r="AU5" s="29">
        <f>MEDIAN(AU9:AU607)</f>
        <v>96.06557377049181</v>
      </c>
      <c r="AW5" t="s">
        <v>58</v>
      </c>
      <c r="AX5" t="e">
        <f>#REF!</f>
        <v>#REF!</v>
      </c>
    </row>
    <row r="6" spans="1:58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:D6" si="2">C4*100/C2</f>
        <v>82.80158730158729</v>
      </c>
      <c r="D6" s="15">
        <f t="shared" si="2"/>
        <v>90.290322580645167</v>
      </c>
      <c r="E6" s="15"/>
      <c r="F6" s="15"/>
      <c r="G6" s="15"/>
      <c r="H6" s="15"/>
      <c r="I6" s="15"/>
      <c r="J6" s="14">
        <f t="shared" ref="J6:K6" si="3">J4*100/J2</f>
        <v>95.326797385620921</v>
      </c>
      <c r="K6" s="15">
        <f t="shared" si="3"/>
        <v>87.321212121212113</v>
      </c>
      <c r="L6" s="15">
        <f t="shared" ref="L6" si="4">L4*100/L2</f>
        <v>95.164000000000001</v>
      </c>
      <c r="M6" s="15"/>
      <c r="N6" s="15"/>
      <c r="O6" s="65"/>
      <c r="P6" s="14">
        <f t="shared" ref="P6" si="5">P4*100/P2</f>
        <v>92.777559055118104</v>
      </c>
      <c r="Q6" s="65"/>
      <c r="R6" s="14"/>
      <c r="S6" s="15"/>
      <c r="T6" s="15"/>
      <c r="U6" s="14">
        <f t="shared" ref="U6:Y6" si="6">U4*100/U2</f>
        <v>82.4140625</v>
      </c>
      <c r="V6" s="15">
        <f t="shared" si="6"/>
        <v>89.589245705750557</v>
      </c>
      <c r="W6" s="15">
        <f t="shared" si="6"/>
        <v>92.777559055118104</v>
      </c>
      <c r="X6" s="15" t="e">
        <f t="shared" si="6"/>
        <v>#DIV/0!</v>
      </c>
      <c r="Y6" s="65">
        <f t="shared" si="6"/>
        <v>50.098231827111981</v>
      </c>
      <c r="Z6" s="51" t="e">
        <f>AVERAGE(U6:Y6)</f>
        <v>#DIV/0!</v>
      </c>
      <c r="AA6" s="14">
        <f>AA4*100/AA2</f>
        <v>88.662104090402678</v>
      </c>
      <c r="AB6" s="15"/>
      <c r="AE6" s="15">
        <f>AE4*100/AE2</f>
        <v>92.96055226824457</v>
      </c>
      <c r="AH6" s="26">
        <f>AH4*100/AH2</f>
        <v>94.303358268343089</v>
      </c>
      <c r="AL6" s="84"/>
      <c r="AM6" s="24"/>
      <c r="AN6" s="24"/>
      <c r="AO6" s="24"/>
      <c r="AP6" s="24"/>
      <c r="AR6" s="15"/>
      <c r="AT6" s="88"/>
    </row>
    <row r="7" spans="1:58" ht="12.75" customHeight="1" x14ac:dyDescent="0.2">
      <c r="A7" s="53" t="s">
        <v>44</v>
      </c>
      <c r="B7" s="14">
        <f t="shared" ref="B7" si="7">B5*100/B2</f>
        <v>88</v>
      </c>
      <c r="C7" s="15">
        <f t="shared" ref="C7:D7" si="8">C5*100/C2</f>
        <v>88</v>
      </c>
      <c r="D7" s="15">
        <f t="shared" si="8"/>
        <v>100</v>
      </c>
      <c r="E7" s="15"/>
      <c r="F7" s="15"/>
      <c r="G7" s="15"/>
      <c r="H7" s="15"/>
      <c r="I7" s="15"/>
      <c r="J7" s="14">
        <f t="shared" ref="J7:K7" si="9">J5*100/J2</f>
        <v>100</v>
      </c>
      <c r="K7" s="15">
        <f t="shared" si="9"/>
        <v>100</v>
      </c>
      <c r="L7" s="15">
        <f t="shared" ref="L7" si="10">L5*100/L2</f>
        <v>100</v>
      </c>
      <c r="M7" s="15"/>
      <c r="N7" s="15"/>
      <c r="O7" s="65"/>
      <c r="P7" s="14">
        <f t="shared" ref="P7" si="11">P5*100/P2</f>
        <v>101</v>
      </c>
      <c r="Q7" s="65"/>
      <c r="R7" s="14"/>
      <c r="S7" s="15"/>
      <c r="T7" s="15"/>
      <c r="U7" s="14">
        <f t="shared" ref="U7:Y7" si="12">U5*100/U2</f>
        <v>89.333333333333329</v>
      </c>
      <c r="V7" s="15">
        <f t="shared" si="12"/>
        <v>98.461538461538467</v>
      </c>
      <c r="W7" s="15">
        <f t="shared" si="12"/>
        <v>101</v>
      </c>
      <c r="X7" s="15" t="e">
        <f t="shared" si="12"/>
        <v>#NUM!</v>
      </c>
      <c r="Y7" s="65">
        <f t="shared" si="12"/>
        <v>50</v>
      </c>
      <c r="Z7" s="51"/>
      <c r="AA7" s="14">
        <f>AA5*100/AA2</f>
        <v>96.06557377049181</v>
      </c>
      <c r="AB7" s="15"/>
      <c r="AC7" s="62"/>
      <c r="AE7" s="15">
        <f>AE5*100/AE2</f>
        <v>101</v>
      </c>
      <c r="AH7" s="26">
        <f>AH5*100/AH2</f>
        <v>101</v>
      </c>
      <c r="AL7" s="84"/>
      <c r="AM7" s="24"/>
      <c r="AN7" s="24"/>
      <c r="AO7" s="24"/>
      <c r="AP7" s="24"/>
      <c r="AR7" s="15"/>
      <c r="AT7" s="88"/>
    </row>
    <row r="8" spans="1:58" s="4" customFormat="1" ht="12.75" customHeight="1" thickBot="1" x14ac:dyDescent="0.25">
      <c r="A8" s="39" t="s">
        <v>42</v>
      </c>
      <c r="B8" s="73">
        <f t="shared" ref="B8" si="13">IF(B6&lt;75,(75-B6)/100*B2,0)</f>
        <v>0</v>
      </c>
      <c r="C8" s="28">
        <f t="shared" ref="C8:D8" si="14">IF(C6&lt;75,(75-C6)/100*C2,0)</f>
        <v>0</v>
      </c>
      <c r="D8" s="28">
        <f t="shared" si="14"/>
        <v>0</v>
      </c>
      <c r="E8" s="28"/>
      <c r="F8" s="28"/>
      <c r="G8" s="28"/>
      <c r="H8" s="28"/>
      <c r="I8" s="28"/>
      <c r="J8" s="73">
        <f t="shared" ref="J8:K8" si="15">IF(J6&lt;75,(75-J6)/100*J2,0)</f>
        <v>0</v>
      </c>
      <c r="K8" s="28">
        <f t="shared" si="15"/>
        <v>0</v>
      </c>
      <c r="L8" s="28">
        <f t="shared" ref="L8" si="16">IF(L6&lt;75,(75-L6)/100*L2,0)</f>
        <v>0</v>
      </c>
      <c r="M8" s="28"/>
      <c r="N8" s="28"/>
      <c r="O8" s="113"/>
      <c r="P8" s="73">
        <f t="shared" ref="P8" si="17">IF(P6&lt;75,(75-P6)/100*P2,0)</f>
        <v>0</v>
      </c>
      <c r="Q8" s="113"/>
      <c r="R8" s="73"/>
      <c r="S8" s="28"/>
      <c r="T8" s="28"/>
      <c r="U8" s="73">
        <f>SUM(B8:I8)</f>
        <v>0</v>
      </c>
      <c r="V8" s="28">
        <f>SUM(J8:O8)</f>
        <v>0</v>
      </c>
      <c r="W8" s="28">
        <f>SUM(P8:Q8)</f>
        <v>0</v>
      </c>
      <c r="X8" s="28">
        <f>SUM(R8,T8)</f>
        <v>0</v>
      </c>
      <c r="Y8" s="113">
        <v>0</v>
      </c>
      <c r="Z8" s="52">
        <f>SUM(U8:X8)</f>
        <v>0</v>
      </c>
      <c r="AA8" s="6"/>
      <c r="AB8" s="6"/>
      <c r="AF8" s="42"/>
      <c r="AG8" s="42"/>
      <c r="AH8" s="74">
        <v>100</v>
      </c>
      <c r="AI8" s="8"/>
      <c r="AJ8" s="8"/>
      <c r="AK8" s="8"/>
      <c r="AL8" s="92">
        <f>U8</f>
        <v>0</v>
      </c>
      <c r="AM8" s="33">
        <f>V8</f>
        <v>0</v>
      </c>
      <c r="AN8" s="68">
        <f>P8</f>
        <v>0</v>
      </c>
      <c r="AO8" s="33">
        <f>Q8</f>
        <v>0</v>
      </c>
      <c r="AP8" s="33">
        <f>R8</f>
        <v>0</v>
      </c>
      <c r="AQ8" s="68">
        <f>SUM(P8:Q8)</f>
        <v>0</v>
      </c>
      <c r="AR8" s="68">
        <f>T8</f>
        <v>0</v>
      </c>
      <c r="AS8" s="33">
        <f>X8</f>
        <v>0</v>
      </c>
      <c r="AT8" s="90">
        <f>SUM(W8,X8)</f>
        <v>0</v>
      </c>
      <c r="AU8" s="8"/>
      <c r="AV8" s="8"/>
    </row>
    <row r="9" spans="1:58" s="27" customFormat="1" ht="12.75" customHeight="1" x14ac:dyDescent="0.2">
      <c r="A9" s="10">
        <v>1989</v>
      </c>
      <c r="B9" s="2">
        <v>24</v>
      </c>
      <c r="C9" s="10">
        <v>23</v>
      </c>
      <c r="D9" s="10">
        <v>25</v>
      </c>
      <c r="E9" s="10"/>
      <c r="F9" s="10"/>
      <c r="G9" s="10"/>
      <c r="H9" s="10"/>
      <c r="I9" s="10"/>
      <c r="J9" s="2">
        <v>31</v>
      </c>
      <c r="K9" s="10">
        <v>50</v>
      </c>
      <c r="L9" s="10">
        <v>50</v>
      </c>
      <c r="M9" s="10"/>
      <c r="N9" s="93"/>
      <c r="O9" s="61"/>
      <c r="P9" s="10">
        <v>100</v>
      </c>
      <c r="Q9" s="10"/>
      <c r="R9" s="64"/>
      <c r="S9" s="10"/>
      <c r="T9" s="13"/>
      <c r="U9" s="16">
        <f t="array" ref="U9">IF(AND(A9&lt;&gt;"",OR(ISNUMBER(B9:I9))),SUM(B9:I9),"")</f>
        <v>72</v>
      </c>
      <c r="V9" s="23">
        <f t="array" ref="V9">IF(AND(A9&lt;&gt;"",OR(ISNUMBER(J9:O9))),SUM(J9:O9),"")</f>
        <v>131</v>
      </c>
      <c r="W9" s="23">
        <f t="array" ref="W9">IF(AND(A9&lt;&gt;"",OR(ISNUMBER(P9),ISNUMBER(Q9))),SUM(MAX(P9:Q9),Q9),"")</f>
        <v>100</v>
      </c>
      <c r="X9" s="23" t="str">
        <f t="array" ref="X9">IF(AND(A9&lt;&gt;"",OR(ISNUMBER(S9),ISNUMBER(T9))),SUM(S9,T9),"")</f>
        <v/>
      </c>
      <c r="Y9" s="13">
        <v>1</v>
      </c>
      <c r="Z9" s="13">
        <f>IF(A9&lt;&gt;"",SUM(U9:Y9),"")</f>
        <v>304</v>
      </c>
      <c r="AA9" s="27">
        <f>IF(A9&lt;&gt;"",(Z9+Normalize_To_Add)/(Point_Total_So_Far)*100,"")</f>
        <v>99.672131147540995</v>
      </c>
      <c r="AB9" s="10">
        <f>IF(A9&lt;&gt;"",RANK(AA9,All_Student_XC),"")</f>
        <v>124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>
        <f>IF(A9&lt;&gt;"",SUM(W9:X9,$W$8:$X$8)/SUM($W$2:$X$2)*100,"")</f>
        <v>100</v>
      </c>
      <c r="AF9" s="32" t="str">
        <f>IF(A9&lt;&gt;"",CHOOSE(10-MIN(9,TRUNC((AE9+0.5)/10)),"A","B","C","D","F","F","F","F","F","F"),"")</f>
        <v>A</v>
      </c>
      <c r="AG9" s="32" t="str">
        <f>IF(A9&lt;&gt;"",IF(OR(AE9+0.5&gt;=93,AE9+0.5&lt;60),"",IF(MOD(AE9+0.5,10)&gt;=7,"+",IF(MOD(AE9+0.5,10)&lt;3,"-",""))),"")</f>
        <v/>
      </c>
      <c r="AH9" s="36">
        <f>IF(A9&lt;&gt;"",MIN(MAX(AA9,AE9),AA9+$AH$8,AE9+$AH$8),"")</f>
        <v>100</v>
      </c>
      <c r="AI9" s="32" t="str">
        <f>IF(A9&lt;&gt;"",CHOOSE(10-MIN(9,TRUNC((AH9+0.5)/10)),"A","B","C","D","F","F","F","F","F","F"),"")</f>
        <v>A</v>
      </c>
      <c r="AJ9" s="32" t="str">
        <f>IF(A9&lt;&gt;"",IF(OR(AH9+0.5&gt;=93,AH9+0.5&lt;60),"",IF(MOD(AH9+0.5,10)&gt;=7,"+",IF(MOD(AH9+0.5,10)&lt;3,"-",""))),"")</f>
        <v/>
      </c>
      <c r="AK9" s="71" t="b">
        <f>IF(A9&lt;&gt;"",OR(AI9&lt;&gt;AC9,AJ9&lt;&gt;AD9),"")</f>
        <v>0</v>
      </c>
      <c r="AL9" s="86">
        <f>IF(AND(A9&lt;&gt;"",U9&lt;&gt;""),SUM(U9,$AL$8)/$AL$2*100,"")</f>
        <v>96</v>
      </c>
      <c r="AM9" s="71">
        <f>IF(AND(A9&lt;&gt;"",V9&lt;&gt;""),SUM(V9,$AM$8)/$AM$2*100,"")</f>
        <v>100.76923076923077</v>
      </c>
      <c r="AN9" s="71">
        <f>IF(AND(A9&lt;&gt;"",ISNUMBER(P9),P9&gt;=0),SUM(P9,$AN$8)/$AN$2*100,"")</f>
        <v>100</v>
      </c>
      <c r="AO9" s="71" t="str">
        <f>IF(AND(A9&lt;&gt;"",ISNUMBER(Q9),Q9&gt;=0),SUM(Q9,$AO$8)/$AO$2*100,"")</f>
        <v/>
      </c>
      <c r="AP9" s="24" t="str">
        <f>IF(AND(A9&lt;&gt;"",R9&lt;&gt;""),SUM(R9,$AP$8)/$AP$2*100,"")</f>
        <v/>
      </c>
      <c r="AQ9" s="24">
        <f>IF(AND(A9&lt;&gt;"",ISNUMBER(W9),W9&gt;=0),SUM(W9,$AQ$8)/$AQ$2*100,"")</f>
        <v>100</v>
      </c>
      <c r="AR9" s="24" t="str">
        <f>IF(AND(A9&lt;&gt;"",T9&gt;0,ISNUMBER(T9)),SUM(T9,$AR$8)/$AR$2*100,"")</f>
        <v/>
      </c>
      <c r="AS9" s="24" t="str">
        <f>IF(AND(A9&lt;&gt;"",X9&lt;&gt;""),SUM(X9,$AS$8)/$AS$2*100,"")</f>
        <v/>
      </c>
      <c r="AT9" s="89">
        <f>IF(AND(A9&lt;&gt;"",OR(ISNUMBER(W9),ISNUMBER(X9))),SUM(W9:X9,$AT$8)/$AT$2*100,"")</f>
        <v>100</v>
      </c>
      <c r="AU9" s="24">
        <f>AA9</f>
        <v>99.672131147540995</v>
      </c>
      <c r="AV9" s="71"/>
      <c r="AW9" s="27">
        <f>IF(A9&lt;&gt;"",AE9-AA9,"")</f>
        <v>0.32786885245900521</v>
      </c>
      <c r="AY9" s="27" t="b">
        <f>S9&gt;R9</f>
        <v>0</v>
      </c>
      <c r="BA9" s="27" t="e">
        <f>AND(AA9&gt;$BA$3,(W9+$W$8)/$W$2&lt;$BB$3,(X9+$X$8)/$X$2&lt;$BB$3)</f>
        <v>#VALUE!</v>
      </c>
      <c r="BB9" s="27" t="e">
        <f>AND(AA9&lt;$BA$3,AND(W9/$W$2&gt;$BB$3,X9/$X$2&gt;$BB$3))</f>
        <v>#VALUE!</v>
      </c>
      <c r="BC9" s="27" t="e">
        <f>AND(AA9&lt;$BA$3,OR(W9/$W$2&gt;$BB$3,X9/$X$2&gt;$BB$3))</f>
        <v>#VALUE!</v>
      </c>
      <c r="BE9" s="32" t="s">
        <v>84</v>
      </c>
    </row>
    <row r="10" spans="1:58" s="27" customFormat="1" ht="12.75" customHeight="1" x14ac:dyDescent="0.2">
      <c r="A10" s="10">
        <v>4208</v>
      </c>
      <c r="B10" s="2">
        <v>23</v>
      </c>
      <c r="C10" s="10">
        <v>20</v>
      </c>
      <c r="D10" s="10">
        <v>25</v>
      </c>
      <c r="E10" s="10"/>
      <c r="F10" s="10"/>
      <c r="G10" s="3"/>
      <c r="H10" s="10"/>
      <c r="I10" s="10"/>
      <c r="J10" s="2">
        <v>32</v>
      </c>
      <c r="K10" s="10">
        <v>48</v>
      </c>
      <c r="L10" s="10">
        <v>50</v>
      </c>
      <c r="M10" s="10"/>
      <c r="N10" s="10"/>
      <c r="O10" s="12"/>
      <c r="P10" s="41">
        <v>91</v>
      </c>
      <c r="Q10" s="41"/>
      <c r="R10" s="2"/>
      <c r="S10" s="10"/>
      <c r="T10" s="13"/>
      <c r="U10" s="7">
        <f t="array" ref="U10">IF(AND(A10&lt;&gt;"",OR(ISNUMBER(B10:I10))),SUM(B10:I10),"")</f>
        <v>68</v>
      </c>
      <c r="V10" s="10">
        <f t="array" ref="V10">IF(AND(A10&lt;&gt;"",OR(ISNUMBER(J10:O10))),SUM(J10:O10),"")</f>
        <v>130</v>
      </c>
      <c r="W10" s="10">
        <f t="array" ref="W10">IF(AND(A10&lt;&gt;"",OR(ISNUMBER(P10),ISNUMBER(Q10))),SUM(MAX(P10:Q10),Q10),"")</f>
        <v>91</v>
      </c>
      <c r="X10" s="10" t="str">
        <f t="array" ref="X10">IF(AND(A10&lt;&gt;"",OR(ISNUMBER(S10),ISNUMBER(T10))),SUM(S10,T10),"")</f>
        <v/>
      </c>
      <c r="Y10" s="13">
        <v>1</v>
      </c>
      <c r="Z10" s="13">
        <f>IF(A10&lt;&gt;"",SUM(U10:Y10),"")</f>
        <v>290</v>
      </c>
      <c r="AA10" s="27">
        <f>IF(A10&lt;&gt;"",(Z10+Normalize_To_Add)/(Point_Total_So_Far)*100,"")</f>
        <v>95.081967213114751</v>
      </c>
      <c r="AB10" s="10">
        <f>IF(A10&lt;&gt;"",RANK(AA10,All_Student_XC),"")</f>
        <v>269</v>
      </c>
      <c r="AC10" s="32" t="str">
        <f>IF(A10&lt;&gt;"",CHOOSE(10-MIN(9,TRUNC((AA10+0.5)/10)),"A","B","C","D","F","F","F","F","F","F"),"")</f>
        <v>A</v>
      </c>
      <c r="AD10" s="32" t="str">
        <f>IF(A10&lt;&gt;"",IF(OR(AA10+0.5&gt;=93,AA10+0.5&lt;60),"",IF(MOD(AA10+0.5,10)&gt;=7,"+",IF(MOD(AA10+0.5,10)&lt;3,"-",""))),"")</f>
        <v/>
      </c>
      <c r="AE10" s="32">
        <f>IF(A10&lt;&gt;"",SUM(W10:X10,$W$8:$X$8)/SUM($W$2:$X$2)*100,"")</f>
        <v>91</v>
      </c>
      <c r="AF10" s="32" t="str">
        <f>IF(A10&lt;&gt;"",CHOOSE(10-MIN(9,TRUNC((AE10+0.5)/10)),"A","B","C","D","F","F","F","F","F","F"),"")</f>
        <v>A</v>
      </c>
      <c r="AG10" s="32" t="str">
        <f>IF(A10&lt;&gt;"",IF(OR(AE10+0.5&gt;=93,AE10+0.5&lt;60),"",IF(MOD(AE10+0.5,10)&gt;=7,"+",IF(MOD(AE10+0.5,10)&lt;3,"-",""))),"")</f>
        <v>-</v>
      </c>
      <c r="AH10" s="36">
        <f>IF(A10&lt;&gt;"",MIN(MAX(AA10,AE10),AA10+$AH$8,AE10+$AH$8),"")</f>
        <v>95.081967213114751</v>
      </c>
      <c r="AI10" s="32" t="str">
        <f>IF(A10&lt;&gt;"",CHOOSE(10-MIN(9,TRUNC((AH10+0.5)/10)),"A","B","C","D","F","F","F","F","F","F"),"")</f>
        <v>A</v>
      </c>
      <c r="AJ10" s="32" t="str">
        <f>IF(A10&lt;&gt;"",IF(OR(AH10+0.5&gt;=93,AH10+0.5&lt;60),"",IF(MOD(AH10+0.5,10)&gt;=7,"+",IF(MOD(AH10+0.5,10)&lt;3,"-",""))),"")</f>
        <v/>
      </c>
      <c r="AK10" s="32" t="b">
        <f>IF(A10&lt;&gt;"",OR(AI10&lt;&gt;AC10,AJ10&lt;&gt;AD10),"")</f>
        <v>0</v>
      </c>
      <c r="AL10" s="84">
        <f>IF(AND(A10&lt;&gt;"",U10&lt;&gt;""),SUM(U10,$AL$8)/$AL$2*100,"")</f>
        <v>90.666666666666657</v>
      </c>
      <c r="AM10" s="24">
        <f>IF(AND(A10&lt;&gt;"",V10&lt;&gt;""),SUM(V10,$AM$8)/$AM$2*100,"")</f>
        <v>100</v>
      </c>
      <c r="AN10" s="24">
        <f>IF(AND(A10&lt;&gt;"",ISNUMBER(P10),P10&gt;=0),SUM(P10,$AN$8)/$AN$2*100,"")</f>
        <v>91</v>
      </c>
      <c r="AO10" s="24" t="str">
        <f>IF(AND(A10&lt;&gt;"",ISNUMBER(Q10),Q10&gt;=0),SUM(Q10,$AO$8)/$AO$2*100,"")</f>
        <v/>
      </c>
      <c r="AP10" s="24" t="str">
        <f>IF(AND(A10&lt;&gt;"",R10&lt;&gt;""),SUM(R10,$AP$8)/$AP$2*100,"")</f>
        <v/>
      </c>
      <c r="AQ10" s="24">
        <f>IF(AND(A10&lt;&gt;"",ISNUMBER(W10),W10&gt;=0),SUM(W10,$AQ$8)/$AQ$2*100,"")</f>
        <v>91</v>
      </c>
      <c r="AR10" s="24" t="str">
        <f>IF(AND(A10&lt;&gt;"",T10&gt;0,ISNUMBER(T10)),SUM(T10,$AR$8)/$AR$2*100,"")</f>
        <v/>
      </c>
      <c r="AS10" s="24" t="str">
        <f>IF(AND(A10&lt;&gt;"",X10&lt;&gt;""),SUM(X10,$AS$8)/$AS$2*100,"")</f>
        <v/>
      </c>
      <c r="AT10" s="89">
        <f>IF(AND(A10&lt;&gt;"",OR(ISNUMBER(W10),ISNUMBER(X10))),SUM(W10:X10,$AT$8)/$AT$2*100,"")</f>
        <v>91</v>
      </c>
      <c r="AU10" s="24">
        <f>AA10</f>
        <v>95.081967213114751</v>
      </c>
      <c r="AV10" s="24"/>
      <c r="AW10" s="27">
        <f>IF(A10&lt;&gt;"",AE10-AA10,"")</f>
        <v>-4.0819672131147513</v>
      </c>
      <c r="AY10" s="27" t="b">
        <f>S10&gt;R10</f>
        <v>0</v>
      </c>
      <c r="BA10" s="27" t="e">
        <f>AND(AA10&gt;$BA$3,(W10+$W$8)/$W$2&lt;$BB$3,(X10+$X$8)/$X$2&lt;$BB$3)</f>
        <v>#VALUE!</v>
      </c>
      <c r="BB10" s="27" t="e">
        <f>AND(AA10&lt;$BA$3,AND(W10/$W$2&gt;$BB$3,X10/$X$2&gt;$BB$3))</f>
        <v>#VALUE!</v>
      </c>
      <c r="BC10" s="27" t="e">
        <f>AND(AA10&lt;$BA$3,OR(W10/$W$2&gt;$BB$3,X10/$X$2&gt;$BB$3))</f>
        <v>#VALUE!</v>
      </c>
      <c r="BE10" s="32" t="s">
        <v>84</v>
      </c>
    </row>
    <row r="11" spans="1:58" s="27" customFormat="1" ht="12.75" customHeight="1" x14ac:dyDescent="0.2">
      <c r="A11" s="10">
        <v>4920</v>
      </c>
      <c r="B11" s="2">
        <v>21</v>
      </c>
      <c r="C11" s="10">
        <v>20</v>
      </c>
      <c r="D11" s="10">
        <v>22</v>
      </c>
      <c r="E11" s="10"/>
      <c r="F11" s="10"/>
      <c r="G11" s="3"/>
      <c r="H11" s="10"/>
      <c r="I11" s="10"/>
      <c r="J11" s="2">
        <v>30</v>
      </c>
      <c r="K11" s="10">
        <v>49</v>
      </c>
      <c r="L11" s="10">
        <v>40</v>
      </c>
      <c r="M11" s="10"/>
      <c r="N11" s="10"/>
      <c r="O11" s="12"/>
      <c r="P11" s="7">
        <v>101</v>
      </c>
      <c r="Q11" s="7"/>
      <c r="R11" s="2"/>
      <c r="S11" s="10"/>
      <c r="T11" s="13"/>
      <c r="U11" s="35">
        <f t="array" ref="U11">IF(AND(A11&lt;&gt;"",OR(ISNUMBER(B11:I11))),SUM(B11:I11),"")</f>
        <v>63</v>
      </c>
      <c r="V11" s="10">
        <f t="array" ref="V11">IF(AND(A11&lt;&gt;"",OR(ISNUMBER(J11:O11))),SUM(J11:O11),"")</f>
        <v>119</v>
      </c>
      <c r="W11" s="10">
        <f t="array" ref="W11">IF(AND(A11&lt;&gt;"",OR(ISNUMBER(P11),ISNUMBER(Q11))),SUM(MAX(P11:Q11),Q11),"")</f>
        <v>101</v>
      </c>
      <c r="X11" s="10" t="str">
        <f t="array" ref="X11">IF(AND(A11&lt;&gt;"",OR(ISNUMBER(S11),ISNUMBER(T11))),SUM(S11,T11),"")</f>
        <v/>
      </c>
      <c r="Y11" s="13">
        <v>1</v>
      </c>
      <c r="Z11" s="13">
        <f>IF(A11&lt;&gt;"",SUM(U11:Y11),"")</f>
        <v>284</v>
      </c>
      <c r="AA11" s="27">
        <f>IF(A11&lt;&gt;"",(Z11+Normalize_To_Add)/(Point_Total_So_Far)*100,"")</f>
        <v>93.114754098360649</v>
      </c>
      <c r="AB11" s="10">
        <f>IF(A11&lt;&gt;"",RANK(AA11,All_Student_XC),"")</f>
        <v>297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/>
      </c>
      <c r="AE11" s="32">
        <f>IF(A11&lt;&gt;"",SUM(W11:X11,$W$8:$X$8)/SUM($W$2:$X$2)*100,"")</f>
        <v>101</v>
      </c>
      <c r="AF11" s="32" t="str">
        <f>IF(A11&lt;&gt;"",CHOOSE(10-MIN(9,TRUNC((AE11+0.5)/10)),"A","B","C","D","F","F","F","F","F","F"),"")</f>
        <v>A</v>
      </c>
      <c r="AG11" s="32" t="str">
        <f>IF(A11&lt;&gt;"",IF(OR(AE11+0.5&gt;=93,AE11+0.5&lt;60),"",IF(MOD(AE11+0.5,10)&gt;=7,"+",IF(MOD(AE11+0.5,10)&lt;3,"-",""))),"")</f>
        <v/>
      </c>
      <c r="AH11" s="36">
        <f>IF(A11&lt;&gt;"",MIN(MAX(AA11,AE11),AA11+$AH$8,AE11+$AH$8),"")</f>
        <v>101</v>
      </c>
      <c r="AI11" s="32" t="str">
        <f>IF(A11&lt;&gt;"",CHOOSE(10-MIN(9,TRUNC((AH11+0.5)/10)),"A","B","C","D","F","F","F","F","F","F"),"")</f>
        <v>A</v>
      </c>
      <c r="AJ11" s="32" t="str">
        <f>IF(A11&lt;&gt;"",IF(OR(AH11+0.5&gt;=93,AH11+0.5&lt;60),"",IF(MOD(AH11+0.5,10)&gt;=7,"+",IF(MOD(AH11+0.5,10)&lt;3,"-",""))),"")</f>
        <v/>
      </c>
      <c r="AK11" s="32" t="b">
        <f>IF(A11&lt;&gt;"",OR(AI11&lt;&gt;AC11,AJ11&lt;&gt;AD11),"")</f>
        <v>0</v>
      </c>
      <c r="AL11" s="84">
        <f>IF(AND(A11&lt;&gt;"",U11&lt;&gt;""),SUM(U11,$AL$8)/$AL$2*100,"")</f>
        <v>84</v>
      </c>
      <c r="AM11" s="24">
        <f>IF(AND(A11&lt;&gt;"",V11&lt;&gt;""),SUM(V11,$AM$8)/$AM$2*100,"")</f>
        <v>91.538461538461533</v>
      </c>
      <c r="AN11" s="24">
        <f>IF(AND(A11&lt;&gt;"",ISNUMBER(P11),P11&gt;=0),SUM(P11,$AN$8)/$AN$2*100,"")</f>
        <v>101</v>
      </c>
      <c r="AO11" s="24" t="str">
        <f>IF(AND(A11&lt;&gt;"",ISNUMBER(Q11),Q11&gt;=0),SUM(Q11,$AO$8)/$AO$2*100,"")</f>
        <v/>
      </c>
      <c r="AP11" s="24" t="str">
        <f>IF(AND(A11&lt;&gt;"",R11&lt;&gt;""),SUM(R11,$AP$8)/$AP$2*100,"")</f>
        <v/>
      </c>
      <c r="AQ11" s="24">
        <f>IF(AND(A11&lt;&gt;"",ISNUMBER(W11),W11&gt;=0),SUM(W11,$AQ$8)/$AQ$2*100,"")</f>
        <v>101</v>
      </c>
      <c r="AR11" s="24" t="str">
        <f>IF(AND(A11&lt;&gt;"",T11&gt;0,ISNUMBER(T11)),SUM(T11,$AR$8)/$AR$2*100,"")</f>
        <v/>
      </c>
      <c r="AS11" s="24" t="str">
        <f>IF(AND(A11&lt;&gt;"",X11&lt;&gt;""),SUM(X11,$AS$8)/$AS$2*100,"")</f>
        <v/>
      </c>
      <c r="AT11" s="89">
        <f>IF(AND(A11&lt;&gt;"",OR(ISNUMBER(W11),ISNUMBER(X11))),SUM(W11:X11,$AT$8)/$AT$2*100,"")</f>
        <v>101</v>
      </c>
      <c r="AU11" s="24">
        <f>AA11</f>
        <v>93.114754098360649</v>
      </c>
      <c r="AV11" s="24"/>
      <c r="AW11" s="27">
        <f>IF(A11&lt;&gt;"",AE11-AA11,"")</f>
        <v>7.885245901639351</v>
      </c>
      <c r="AY11" s="27" t="b">
        <f>S11&gt;R11</f>
        <v>0</v>
      </c>
      <c r="BA11" s="27" t="e">
        <f>AND(AA11&gt;$BA$3,(W11+$W$8)/$W$2&lt;$BB$3,(X11+$X$8)/$X$2&lt;$BB$3)</f>
        <v>#VALUE!</v>
      </c>
      <c r="BB11" s="27" t="e">
        <f>AND(AA11&lt;$BA$3,AND(W11/$W$2&gt;$BB$3,X11/$X$2&gt;$BB$3))</f>
        <v>#VALUE!</v>
      </c>
      <c r="BC11" s="27" t="e">
        <f>AND(AA11&lt;$BA$3,OR(W11/$W$2&gt;$BB$3,X11/$X$2&gt;$BB$3))</f>
        <v>#VALUE!</v>
      </c>
      <c r="BE11" s="32" t="s">
        <v>84</v>
      </c>
    </row>
    <row r="12" spans="1:58" s="27" customFormat="1" ht="12.75" customHeight="1" x14ac:dyDescent="0.2">
      <c r="A12" s="10">
        <v>5800</v>
      </c>
      <c r="B12" s="2">
        <v>14</v>
      </c>
      <c r="C12" s="10">
        <v>19</v>
      </c>
      <c r="D12" s="10">
        <v>23</v>
      </c>
      <c r="E12" s="10"/>
      <c r="F12" s="10"/>
      <c r="G12" s="10"/>
      <c r="H12" s="10"/>
      <c r="I12" s="10"/>
      <c r="J12" s="2">
        <v>30</v>
      </c>
      <c r="K12" s="10">
        <v>46</v>
      </c>
      <c r="L12" s="10">
        <v>41</v>
      </c>
      <c r="M12" s="10"/>
      <c r="N12" s="10"/>
      <c r="O12" s="12"/>
      <c r="P12" s="41">
        <v>91</v>
      </c>
      <c r="Q12" s="41"/>
      <c r="R12" s="2"/>
      <c r="S12" s="10"/>
      <c r="T12" s="13"/>
      <c r="U12" s="7">
        <f t="array" ref="U12">IF(AND(A12&lt;&gt;"",OR(ISNUMBER(B12:I12))),SUM(B12:I12),"")</f>
        <v>56</v>
      </c>
      <c r="V12" s="10">
        <f t="array" ref="V12">IF(AND(A12&lt;&gt;"",OR(ISNUMBER(J12:O12))),SUM(J12:O12),"")</f>
        <v>117</v>
      </c>
      <c r="W12" s="10">
        <f t="array" ref="W12">IF(AND(A12&lt;&gt;"",OR(ISNUMBER(P12),ISNUMBER(Q12))),SUM(MAX(P12:Q12),Q12),"")</f>
        <v>91</v>
      </c>
      <c r="X12" s="10" t="str">
        <f t="array" ref="X12">IF(AND(A12&lt;&gt;"",OR(ISNUMBER(S12),ISNUMBER(T12))),SUM(S12,T12),"")</f>
        <v/>
      </c>
      <c r="Y12" s="13">
        <v>1</v>
      </c>
      <c r="Z12" s="13">
        <f>IF(A12&lt;&gt;"",SUM(U12:Y12),"")</f>
        <v>265</v>
      </c>
      <c r="AA12" s="27">
        <f>IF(A12&lt;&gt;"",(Z12+Normalize_To_Add)/(Point_Total_So_Far)*100,"")</f>
        <v>86.885245901639337</v>
      </c>
      <c r="AB12" s="10">
        <f>IF(A12&lt;&gt;"",RANK(AA12,All_Student_XC),"")</f>
        <v>365</v>
      </c>
      <c r="AC12" s="32" t="str">
        <f>IF(A12&lt;&gt;"",CHOOSE(10-MIN(9,TRUNC((AA12+0.5)/10)),"A","B","C","D","F","F","F","F","F","F"),"")</f>
        <v>B</v>
      </c>
      <c r="AD12" s="32" t="str">
        <f>IF(A12&lt;&gt;"",IF(OR(AA12+0.5&gt;=93,AA12+0.5&lt;60),"",IF(MOD(AA12+0.5,10)&gt;=7,"+",IF(MOD(AA12+0.5,10)&lt;3,"-",""))),"")</f>
        <v>+</v>
      </c>
      <c r="AE12" s="32">
        <f>IF(A12&lt;&gt;"",SUM(W12:X12,$W$8:$X$8)/SUM($W$2:$X$2)*100,"")</f>
        <v>91</v>
      </c>
      <c r="AF12" s="32" t="str">
        <f>IF(A12&lt;&gt;"",CHOOSE(10-MIN(9,TRUNC((AE12+0.5)/10)),"A","B","C","D","F","F","F","F","F","F"),"")</f>
        <v>A</v>
      </c>
      <c r="AG12" s="32" t="str">
        <f>IF(A12&lt;&gt;"",IF(OR(AE12+0.5&gt;=93,AE12+0.5&lt;60),"",IF(MOD(AE12+0.5,10)&gt;=7,"+",IF(MOD(AE12+0.5,10)&lt;3,"-",""))),"")</f>
        <v>-</v>
      </c>
      <c r="AH12" s="36">
        <f>IF(A12&lt;&gt;"",MIN(MAX(AA12,AE12),AA12+$AH$8,AE12+$AH$8),"")</f>
        <v>91</v>
      </c>
      <c r="AI12" s="32" t="str">
        <f>IF(A12&lt;&gt;"",CHOOSE(10-MIN(9,TRUNC((AH12+0.5)/10)),"A","B","C","D","F","F","F","F","F","F"),"")</f>
        <v>A</v>
      </c>
      <c r="AJ12" s="32" t="str">
        <f>IF(A12&lt;&gt;"",IF(OR(AH12+0.5&gt;=93,AH12+0.5&lt;60),"",IF(MOD(AH12+0.5,10)&gt;=7,"+",IF(MOD(AH12+0.5,10)&lt;3,"-",""))),"")</f>
        <v>-</v>
      </c>
      <c r="AK12" s="32" t="b">
        <f>IF(A12&lt;&gt;"",OR(AI12&lt;&gt;AC12,AJ12&lt;&gt;AD12),"")</f>
        <v>1</v>
      </c>
      <c r="AL12" s="84">
        <f>IF(AND(A12&lt;&gt;"",U12&lt;&gt;""),SUM(U12,$AL$8)/$AL$2*100,"")</f>
        <v>74.666666666666671</v>
      </c>
      <c r="AM12" s="24">
        <f>IF(AND(A12&lt;&gt;"",V12&lt;&gt;""),SUM(V12,$AM$8)/$AM$2*100,"")</f>
        <v>90</v>
      </c>
      <c r="AN12" s="24">
        <f>IF(AND(A12&lt;&gt;"",ISNUMBER(P12),P12&gt;=0),SUM(P12,$AN$8)/$AN$2*100,"")</f>
        <v>91</v>
      </c>
      <c r="AO12" s="24" t="str">
        <f>IF(AND(A12&lt;&gt;"",ISNUMBER(Q12),Q12&gt;=0),SUM(Q12,$AO$8)/$AO$2*100,"")</f>
        <v/>
      </c>
      <c r="AP12" s="24" t="str">
        <f>IF(AND(A12&lt;&gt;"",R12&lt;&gt;""),SUM(R12,$AP$8)/$AP$2*100,"")</f>
        <v/>
      </c>
      <c r="AQ12" s="24">
        <f>IF(AND(A12&lt;&gt;"",ISNUMBER(W12),W12&gt;=0),SUM(W12,$AQ$8)/$AQ$2*100,"")</f>
        <v>91</v>
      </c>
      <c r="AR12" s="24" t="str">
        <f>IF(AND(A12&lt;&gt;"",T12&gt;0,ISNUMBER(T12)),SUM(T12,$AR$8)/$AR$2*100,"")</f>
        <v/>
      </c>
      <c r="AS12" s="24" t="str">
        <f>IF(AND(A12&lt;&gt;"",X12&lt;&gt;""),SUM(X12,$AS$8)/$AS$2*100,"")</f>
        <v/>
      </c>
      <c r="AT12" s="89">
        <f>IF(AND(A12&lt;&gt;"",OR(ISNUMBER(W12),ISNUMBER(X12))),SUM(W12:X12,$AT$8)/$AT$2*100,"")</f>
        <v>91</v>
      </c>
      <c r="AU12" s="24">
        <f>AA12</f>
        <v>86.885245901639337</v>
      </c>
      <c r="AV12" s="24"/>
      <c r="AW12" s="27">
        <f>IF(A12&lt;&gt;"",AE12-AA12,"")</f>
        <v>4.1147540983606632</v>
      </c>
      <c r="AY12" s="27" t="b">
        <f>S12&gt;R12</f>
        <v>0</v>
      </c>
      <c r="BA12" s="27" t="e">
        <f>AND(AA12&gt;$BA$3,(W12+$W$8)/$W$2&lt;$BB$3,(X12+$X$8)/$X$2&lt;$BB$3)</f>
        <v>#VALUE!</v>
      </c>
      <c r="BB12" s="27" t="e">
        <f>AND(AA12&lt;$BA$3,AND(W12/$W$2&gt;$BB$3,X12/$X$2&gt;$BB$3))</f>
        <v>#VALUE!</v>
      </c>
      <c r="BC12" s="27" t="e">
        <f>AND(AA12&lt;$BA$3,OR(W12/$W$2&gt;$BB$3,X12/$X$2&gt;$BB$3))</f>
        <v>#VALUE!</v>
      </c>
      <c r="BE12" s="32">
        <v>32</v>
      </c>
    </row>
    <row r="13" spans="1:58" s="27" customFormat="1" ht="12.75" customHeight="1" x14ac:dyDescent="0.2">
      <c r="A13" s="10">
        <v>10163</v>
      </c>
      <c r="B13" s="2">
        <v>17</v>
      </c>
      <c r="C13" s="10">
        <v>21</v>
      </c>
      <c r="D13" s="10">
        <v>25</v>
      </c>
      <c r="E13" s="10"/>
      <c r="F13" s="10"/>
      <c r="G13" s="10"/>
      <c r="H13" s="10"/>
      <c r="I13" s="10"/>
      <c r="J13" s="2">
        <v>29</v>
      </c>
      <c r="K13" s="10">
        <v>10</v>
      </c>
      <c r="L13" s="10">
        <v>49</v>
      </c>
      <c r="M13" s="10"/>
      <c r="N13" s="93"/>
      <c r="O13" s="13"/>
      <c r="P13" s="10">
        <v>100</v>
      </c>
      <c r="Q13" s="10"/>
      <c r="R13" s="2"/>
      <c r="S13" s="10"/>
      <c r="T13" s="13"/>
      <c r="U13" s="7">
        <f t="array" ref="U13">IF(AND(A13&lt;&gt;"",OR(ISNUMBER(B13:I13))),SUM(B13:I13),"")</f>
        <v>63</v>
      </c>
      <c r="V13" s="10">
        <f t="array" ref="V13">IF(AND(A13&lt;&gt;"",OR(ISNUMBER(J13:O13))),SUM(J13:O13),"")</f>
        <v>88</v>
      </c>
      <c r="W13" s="10">
        <f t="array" ref="W13">IF(AND(A13&lt;&gt;"",OR(ISNUMBER(P13),ISNUMBER(Q13))),SUM(MAX(P13:Q13),Q13),"")</f>
        <v>100</v>
      </c>
      <c r="X13" s="10" t="str">
        <f t="array" ref="X13">IF(AND(A13&lt;&gt;"",OR(ISNUMBER(S13),ISNUMBER(T13))),SUM(S13,T13),"")</f>
        <v/>
      </c>
      <c r="Y13" s="13">
        <v>1</v>
      </c>
      <c r="Z13" s="13">
        <f>IF(A13&lt;&gt;"",SUM(U13:Y13),"")</f>
        <v>252</v>
      </c>
      <c r="AA13" s="27">
        <f>IF(A13&lt;&gt;"",(Z13+Normalize_To_Add)/(Point_Total_So_Far)*100,"")</f>
        <v>82.622950819672141</v>
      </c>
      <c r="AB13" s="10">
        <f>IF(A13&lt;&gt;"",RANK(AA13,All_Student_XC),"")</f>
        <v>393</v>
      </c>
      <c r="AC13" s="32" t="str">
        <f>IF(A13&lt;&gt;"",CHOOSE(10-MIN(9,TRUNC((AA13+0.5)/10)),"A","B","C","D","F","F","F","F","F","F"),"")</f>
        <v>B</v>
      </c>
      <c r="AD13" s="31" t="str">
        <f>IF(A13&lt;&gt;"",IF(OR(AA13+0.5&gt;=93,AA13+0.5&lt;60),"",IF(MOD(AA13+0.5,10)&gt;=7,"+",IF(MOD(AA13+0.5,10)&lt;3,"-",""))),"")</f>
        <v/>
      </c>
      <c r="AE13" s="32">
        <f>IF(A13&lt;&gt;"",SUM(W13:X13,$W$8:$X$8)/SUM($W$2:$X$2)*100,"")</f>
        <v>100</v>
      </c>
      <c r="AF13" s="32" t="str">
        <f>IF(A13&lt;&gt;"",CHOOSE(10-MIN(9,TRUNC((AE13+0.5)/10)),"A","B","C","D","F","F","F","F","F","F"),"")</f>
        <v>A</v>
      </c>
      <c r="AG13" s="32" t="str">
        <f>IF(A13&lt;&gt;"",IF(OR(AE13+0.5&gt;=93,AE13+0.5&lt;60),"",IF(MOD(AE13+0.5,10)&gt;=7,"+",IF(MOD(AE13+0.5,10)&lt;3,"-",""))),"")</f>
        <v/>
      </c>
      <c r="AH13" s="36">
        <f>IF(A13&lt;&gt;"",MIN(MAX(AA13,AE13),AA13+$AH$8,AE13+$AH$8),"")</f>
        <v>100</v>
      </c>
      <c r="AI13" s="32" t="str">
        <f>IF(A13&lt;&gt;"",CHOOSE(10-MIN(9,TRUNC((AH13+0.5)/10)),"A","B","C","D","F","F","F","F","F","F"),"")</f>
        <v>A</v>
      </c>
      <c r="AJ13" s="32" t="str">
        <f>IF(A13&lt;&gt;"",IF(OR(AH13+0.5&gt;=93,AH13+0.5&lt;60),"",IF(MOD(AH13+0.5,10)&gt;=7,"+",IF(MOD(AH13+0.5,10)&lt;3,"-",""))),"")</f>
        <v/>
      </c>
      <c r="AK13" s="71" t="b">
        <f>IF(A13&lt;&gt;"",OR(AI13&lt;&gt;AC13,AJ13&lt;&gt;AD13),"")</f>
        <v>1</v>
      </c>
      <c r="AL13" s="86">
        <f>IF(AND(A13&lt;&gt;"",U13&lt;&gt;""),SUM(U13,$AL$8)/$AL$2*100,"")</f>
        <v>84</v>
      </c>
      <c r="AM13" s="71">
        <f>IF(AND(A13&lt;&gt;"",V13&lt;&gt;""),SUM(V13,$AM$8)/$AM$2*100,"")</f>
        <v>67.692307692307693</v>
      </c>
      <c r="AN13" s="71">
        <f>IF(AND(A13&lt;&gt;"",ISNUMBER(P13),P13&gt;=0),SUM(P13,$AN$8)/$AN$2*100,"")</f>
        <v>100</v>
      </c>
      <c r="AO13" s="71" t="str">
        <f>IF(AND(A13&lt;&gt;"",ISNUMBER(Q13),Q13&gt;=0),SUM(Q13,$AO$8)/$AO$2*100,"")</f>
        <v/>
      </c>
      <c r="AP13" s="24" t="str">
        <f>IF(AND(A13&lt;&gt;"",R13&lt;&gt;""),SUM(R13,$AP$8)/$AP$2*100,"")</f>
        <v/>
      </c>
      <c r="AQ13" s="24">
        <f>IF(AND(A13&lt;&gt;"",ISNUMBER(W13),W13&gt;=0),SUM(W13,$AQ$8)/$AQ$2*100,"")</f>
        <v>100</v>
      </c>
      <c r="AR13" s="24" t="str">
        <f>IF(AND(A13&lt;&gt;"",T13&gt;0,ISNUMBER(T13)),SUM(T13,$AR$8)/$AR$2*100,"")</f>
        <v/>
      </c>
      <c r="AS13" s="24" t="str">
        <f>IF(AND(A13&lt;&gt;"",X13&lt;&gt;""),SUM(X13,$AS$8)/$AS$2*100,"")</f>
        <v/>
      </c>
      <c r="AT13" s="89">
        <f>IF(AND(A13&lt;&gt;"",OR(ISNUMBER(W13),ISNUMBER(X13))),SUM(W13:X13,$AT$8)/$AT$2*100,"")</f>
        <v>100</v>
      </c>
      <c r="AU13" s="24">
        <f>AA13</f>
        <v>82.622950819672141</v>
      </c>
      <c r="AV13" s="71"/>
      <c r="AW13" s="27">
        <f>IF(A13&lt;&gt;"",AE13-AA13,"")</f>
        <v>17.377049180327859</v>
      </c>
      <c r="AY13" s="27" t="b">
        <f>S13&gt;R13</f>
        <v>0</v>
      </c>
      <c r="BA13" s="27" t="e">
        <f>AND(AA13&gt;$BA$3,(W13+$W$8)/$W$2&lt;$BB$3,(X13+$X$8)/$X$2&lt;$BB$3)</f>
        <v>#VALUE!</v>
      </c>
      <c r="BB13" s="27" t="e">
        <f>AND(AA13&lt;$BA$3,AND(W13/$W$2&gt;$BB$3,X13/$X$2&gt;$BB$3))</f>
        <v>#VALUE!</v>
      </c>
      <c r="BC13" s="27" t="e">
        <f>AND(AA13&lt;$BA$3,OR(W13/$W$2&gt;$BB$3,X13/$X$2&gt;$BB$3))</f>
        <v>#VALUE!</v>
      </c>
      <c r="BE13" s="32">
        <v>32</v>
      </c>
    </row>
    <row r="14" spans="1:58" s="27" customFormat="1" ht="12.75" customHeight="1" x14ac:dyDescent="0.2">
      <c r="A14" s="10">
        <v>10257</v>
      </c>
      <c r="B14" s="2">
        <v>25</v>
      </c>
      <c r="C14" s="10">
        <v>23</v>
      </c>
      <c r="D14" s="10">
        <v>25</v>
      </c>
      <c r="E14" s="10"/>
      <c r="F14" s="10"/>
      <c r="G14" s="3"/>
      <c r="H14" s="10"/>
      <c r="I14" s="10"/>
      <c r="J14" s="2">
        <v>27</v>
      </c>
      <c r="K14" s="10" t="s">
        <v>67</v>
      </c>
      <c r="L14" s="10">
        <v>49</v>
      </c>
      <c r="M14" s="10"/>
      <c r="N14" s="10"/>
      <c r="O14" s="12"/>
      <c r="P14" s="7">
        <v>100</v>
      </c>
      <c r="Q14" s="7"/>
      <c r="R14" s="2"/>
      <c r="S14" s="10"/>
      <c r="T14" s="13"/>
      <c r="U14" s="35">
        <f t="array" ref="U14">IF(AND(A14&lt;&gt;"",OR(ISNUMBER(B14:I14))),SUM(B14:I14),"")</f>
        <v>73</v>
      </c>
      <c r="V14" s="10">
        <f t="array" ref="V14">IF(AND(A14&lt;&gt;"",OR(ISNUMBER(J14:O14))),SUM(J14:O14),"")</f>
        <v>76</v>
      </c>
      <c r="W14" s="10">
        <f t="array" ref="W14">IF(AND(A14&lt;&gt;"",OR(ISNUMBER(P14),ISNUMBER(Q14))),SUM(MAX(P14:Q14),Q14),"")</f>
        <v>100</v>
      </c>
      <c r="X14" s="10" t="str">
        <f t="array" ref="X14">IF(AND(A14&lt;&gt;"",OR(ISNUMBER(S14),ISNUMBER(T14))),SUM(S14,T14),"")</f>
        <v/>
      </c>
      <c r="Y14" s="13">
        <v>1</v>
      </c>
      <c r="Z14" s="13">
        <f>IF(A14&lt;&gt;"",SUM(U14:Y14),"")</f>
        <v>250</v>
      </c>
      <c r="AA14" s="27">
        <f>IF(A14&lt;&gt;"",(Z14+Normalize_To_Add)/(Point_Total_So_Far)*100,"")</f>
        <v>81.967213114754102</v>
      </c>
      <c r="AB14" s="10">
        <f>IF(A14&lt;&gt;"",RANK(AA14,All_Student_XC),"")</f>
        <v>400</v>
      </c>
      <c r="AC14" s="32" t="str">
        <f>IF(A14&lt;&gt;"",CHOOSE(10-MIN(9,TRUNC((AA14+0.5)/10)),"A","B","C","D","F","F","F","F","F","F"),"")</f>
        <v>B</v>
      </c>
      <c r="AD14" s="32" t="str">
        <f>IF(A14&lt;&gt;"",IF(OR(AA14+0.5&gt;=93,AA14+0.5&lt;60),"",IF(MOD(AA14+0.5,10)&gt;=7,"+",IF(MOD(AA14+0.5,10)&lt;3,"-",""))),"")</f>
        <v>-</v>
      </c>
      <c r="AE14" s="32">
        <f>IF(A14&lt;&gt;"",SUM(W14:X14,$W$8:$X$8)/SUM($W$2:$X$2)*100,"")</f>
        <v>100</v>
      </c>
      <c r="AF14" s="32" t="str">
        <f>IF(A14&lt;&gt;"",CHOOSE(10-MIN(9,TRUNC((AE14+0.5)/10)),"A","B","C","D","F","F","F","F","F","F"),"")</f>
        <v>A</v>
      </c>
      <c r="AG14" s="32" t="str">
        <f>IF(A14&lt;&gt;"",IF(OR(AE14+0.5&gt;=93,AE14+0.5&lt;60),"",IF(MOD(AE14+0.5,10)&gt;=7,"+",IF(MOD(AE14+0.5,10)&lt;3,"-",""))),"")</f>
        <v/>
      </c>
      <c r="AH14" s="36">
        <f>IF(A14&lt;&gt;"",MIN(MAX(AA14,AE14),AA14+$AH$8,AE14+$AH$8),"")</f>
        <v>100</v>
      </c>
      <c r="AI14" s="32" t="str">
        <f>IF(A14&lt;&gt;"",CHOOSE(10-MIN(9,TRUNC((AH14+0.5)/10)),"A","B","C","D","F","F","F","F","F","F"),"")</f>
        <v>A</v>
      </c>
      <c r="AJ14" s="32" t="str">
        <f>IF(A14&lt;&gt;"",IF(OR(AH14+0.5&gt;=93,AH14+0.5&lt;60),"",IF(MOD(AH14+0.5,10)&gt;=7,"+",IF(MOD(AH14+0.5,10)&lt;3,"-",""))),"")</f>
        <v/>
      </c>
      <c r="AK14" s="32" t="b">
        <f>IF(A14&lt;&gt;"",OR(AI14&lt;&gt;AC14,AJ14&lt;&gt;AD14),"")</f>
        <v>1</v>
      </c>
      <c r="AL14" s="84">
        <f>IF(AND(A14&lt;&gt;"",U14&lt;&gt;""),SUM(U14,$AL$8)/$AL$2*100,"")</f>
        <v>97.333333333333343</v>
      </c>
      <c r="AM14" s="24">
        <f>IF(AND(A14&lt;&gt;"",V14&lt;&gt;""),SUM(V14,$AM$8)/$AM$2*100,"")</f>
        <v>58.461538461538467</v>
      </c>
      <c r="AN14" s="24">
        <f>IF(AND(A14&lt;&gt;"",ISNUMBER(P14),P14&gt;=0),SUM(P14,$AN$8)/$AN$2*100,"")</f>
        <v>100</v>
      </c>
      <c r="AO14" s="24" t="str">
        <f>IF(AND(A14&lt;&gt;"",ISNUMBER(Q14),Q14&gt;=0),SUM(Q14,$AO$8)/$AO$2*100,"")</f>
        <v/>
      </c>
      <c r="AP14" s="24" t="str">
        <f>IF(AND(A14&lt;&gt;"",R14&lt;&gt;""),SUM(R14,$AP$8)/$AP$2*100,"")</f>
        <v/>
      </c>
      <c r="AQ14" s="24">
        <f>IF(AND(A14&lt;&gt;"",ISNUMBER(W14),W14&gt;=0),SUM(W14,$AQ$8)/$AQ$2*100,"")</f>
        <v>100</v>
      </c>
      <c r="AR14" s="24" t="str">
        <f>IF(AND(A14&lt;&gt;"",T14&gt;0,ISNUMBER(T14)),SUM(T14,$AR$8)/$AR$2*100,"")</f>
        <v/>
      </c>
      <c r="AS14" s="24" t="str">
        <f>IF(AND(A14&lt;&gt;"",X14&lt;&gt;""),SUM(X14,$AS$8)/$AS$2*100,"")</f>
        <v/>
      </c>
      <c r="AT14" s="89">
        <f>IF(AND(A14&lt;&gt;"",OR(ISNUMBER(W14),ISNUMBER(X14))),SUM(W14:X14,$AT$8)/$AT$2*100,"")</f>
        <v>100</v>
      </c>
      <c r="AU14" s="24">
        <f>AA14</f>
        <v>81.967213114754102</v>
      </c>
      <c r="AV14" s="24"/>
      <c r="AW14" s="27">
        <f>IF(A14&lt;&gt;"",AE14-AA14,"")</f>
        <v>18.032786885245898</v>
      </c>
      <c r="AY14" s="27" t="b">
        <f>S14&gt;R14</f>
        <v>0</v>
      </c>
      <c r="BA14" s="27" t="e">
        <f>AND(AA14&gt;$BA$3,(W14+$W$8)/$W$2&lt;$BB$3,(X14+$X$8)/$X$2&lt;$BB$3)</f>
        <v>#VALUE!</v>
      </c>
      <c r="BB14" s="27" t="e">
        <f>AND(AA14&lt;$BA$3,AND(W14/$W$2&gt;$BB$3,X14/$X$2&gt;$BB$3))</f>
        <v>#VALUE!</v>
      </c>
      <c r="BC14" s="27" t="e">
        <f>AND(AA14&lt;$BA$3,OR(W14/$W$2&gt;$BB$3,X14/$X$2&gt;$BB$3))</f>
        <v>#VALUE!</v>
      </c>
      <c r="BE14" s="32">
        <v>32</v>
      </c>
    </row>
    <row r="15" spans="1:58" s="27" customFormat="1" ht="12.75" customHeight="1" x14ac:dyDescent="0.2">
      <c r="A15" s="10">
        <v>11076</v>
      </c>
      <c r="B15" s="2">
        <v>23</v>
      </c>
      <c r="C15" s="10">
        <v>25</v>
      </c>
      <c r="D15" s="10">
        <v>25</v>
      </c>
      <c r="E15" s="10"/>
      <c r="F15" s="10"/>
      <c r="G15" s="3"/>
      <c r="H15" s="10"/>
      <c r="I15" s="10"/>
      <c r="J15" s="2">
        <v>32</v>
      </c>
      <c r="K15" s="10">
        <v>52</v>
      </c>
      <c r="L15" s="10">
        <v>52</v>
      </c>
      <c r="M15" s="10"/>
      <c r="N15" s="10"/>
      <c r="O15" s="12"/>
      <c r="P15" s="7">
        <v>101</v>
      </c>
      <c r="Q15" s="7"/>
      <c r="R15" s="2"/>
      <c r="S15" s="10"/>
      <c r="T15" s="13"/>
      <c r="U15" s="35">
        <f t="array" ref="U15">IF(AND(A15&lt;&gt;"",OR(ISNUMBER(B15:I15))),SUM(B15:I15),"")</f>
        <v>73</v>
      </c>
      <c r="V15" s="10">
        <f t="array" ref="V15">IF(AND(A15&lt;&gt;"",OR(ISNUMBER(J15:O15))),SUM(J15:O15),"")</f>
        <v>136</v>
      </c>
      <c r="W15" s="10">
        <f t="array" ref="W15">IF(AND(A15&lt;&gt;"",OR(ISNUMBER(P15),ISNUMBER(Q15))),SUM(MAX(P15:Q15),Q15),"")</f>
        <v>101</v>
      </c>
      <c r="X15" s="10" t="str">
        <f t="array" ref="X15">IF(AND(A15&lt;&gt;"",OR(ISNUMBER(S15),ISNUMBER(T15))),SUM(S15,T15),"")</f>
        <v/>
      </c>
      <c r="Y15" s="13">
        <v>1</v>
      </c>
      <c r="Z15" s="13">
        <f>IF(A15&lt;&gt;"",SUM(U15:Y15),"")</f>
        <v>311</v>
      </c>
      <c r="AA15" s="27">
        <f>IF(A15&lt;&gt;"",(Z15+Normalize_To_Add)/(Point_Total_So_Far)*100,"")</f>
        <v>101.9672131147541</v>
      </c>
      <c r="AB15" s="10">
        <f>IF(A15&lt;&gt;"",RANK(AA15,All_Student_XC),"")</f>
        <v>7</v>
      </c>
      <c r="AC15" s="32" t="str">
        <f>IF(A15&lt;&gt;"",CHOOSE(10-MIN(9,TRUNC((AA15+0.5)/10)),"A","B","C","D","F","F","F","F","F","F"),"")</f>
        <v>A</v>
      </c>
      <c r="AD15" s="32" t="str">
        <f>IF(A15&lt;&gt;"",IF(OR(AA15+0.5&gt;=93,AA15+0.5&lt;60),"",IF(MOD(AA15+0.5,10)&gt;=7,"+",IF(MOD(AA15+0.5,10)&lt;3,"-",""))),"")</f>
        <v/>
      </c>
      <c r="AE15" s="32">
        <f>IF(A15&lt;&gt;"",SUM(W15:X15,$W$8:$X$8)/SUM($W$2:$X$2)*100,"")</f>
        <v>101</v>
      </c>
      <c r="AF15" s="32" t="str">
        <f>IF(A15&lt;&gt;"",CHOOSE(10-MIN(9,TRUNC((AE15+0.5)/10)),"A","B","C","D","F","F","F","F","F","F"),"")</f>
        <v>A</v>
      </c>
      <c r="AG15" s="32" t="str">
        <f>IF(A15&lt;&gt;"",IF(OR(AE15+0.5&gt;=93,AE15+0.5&lt;60),"",IF(MOD(AE15+0.5,10)&gt;=7,"+",IF(MOD(AE15+0.5,10)&lt;3,"-",""))),"")</f>
        <v/>
      </c>
      <c r="AH15" s="36">
        <f>IF(A15&lt;&gt;"",MIN(MAX(AA15,AE15),AA15+$AH$8,AE15+$AH$8),"")</f>
        <v>101.9672131147541</v>
      </c>
      <c r="AI15" s="32" t="str">
        <f>IF(A15&lt;&gt;"",CHOOSE(10-MIN(9,TRUNC((AH15+0.5)/10)),"A","B","C","D","F","F","F","F","F","F"),"")</f>
        <v>A</v>
      </c>
      <c r="AJ15" s="32" t="str">
        <f>IF(A15&lt;&gt;"",IF(OR(AH15+0.5&gt;=93,AH15+0.5&lt;60),"",IF(MOD(AH15+0.5,10)&gt;=7,"+",IF(MOD(AH15+0.5,10)&lt;3,"-",""))),"")</f>
        <v/>
      </c>
      <c r="AK15" s="32" t="b">
        <f>IF(A15&lt;&gt;"",OR(AI15&lt;&gt;AC15,AJ15&lt;&gt;AD15),"")</f>
        <v>0</v>
      </c>
      <c r="AL15" s="84">
        <f>IF(AND(A15&lt;&gt;"",U15&lt;&gt;""),SUM(U15,$AL$8)/$AL$2*100,"")</f>
        <v>97.333333333333343</v>
      </c>
      <c r="AM15" s="24">
        <f>IF(AND(A15&lt;&gt;"",V15&lt;&gt;""),SUM(V15,$AM$8)/$AM$2*100,"")</f>
        <v>104.61538461538463</v>
      </c>
      <c r="AN15" s="24">
        <f>IF(AND(A15&lt;&gt;"",ISNUMBER(P15),P15&gt;=0),SUM(P15,$AN$8)/$AN$2*100,"")</f>
        <v>101</v>
      </c>
      <c r="AO15" s="24" t="str">
        <f>IF(AND(A15&lt;&gt;"",ISNUMBER(Q15),Q15&gt;=0),SUM(Q15,$AO$8)/$AO$2*100,"")</f>
        <v/>
      </c>
      <c r="AP15" s="24" t="str">
        <f>IF(AND(A15&lt;&gt;"",R15&lt;&gt;""),SUM(R15,$AP$8)/$AP$2*100,"")</f>
        <v/>
      </c>
      <c r="AQ15" s="24">
        <f>IF(AND(A15&lt;&gt;"",ISNUMBER(W15),W15&gt;=0),SUM(W15,$AQ$8)/$AQ$2*100,"")</f>
        <v>101</v>
      </c>
      <c r="AR15" s="24" t="str">
        <f>IF(AND(A15&lt;&gt;"",T15&gt;0,ISNUMBER(T15)),SUM(T15,$AR$8)/$AR$2*100,"")</f>
        <v/>
      </c>
      <c r="AS15" s="24" t="str">
        <f>IF(AND(A15&lt;&gt;"",X15&lt;&gt;""),SUM(X15,$AS$8)/$AS$2*100,"")</f>
        <v/>
      </c>
      <c r="AT15" s="89">
        <f>IF(AND(A15&lt;&gt;"",OR(ISNUMBER(W15),ISNUMBER(X15))),SUM(W15:X15,$AT$8)/$AT$2*100,"")</f>
        <v>101</v>
      </c>
      <c r="AU15" s="24">
        <f>AA15</f>
        <v>101.9672131147541</v>
      </c>
      <c r="AV15" s="24"/>
      <c r="AW15" s="27">
        <f>IF(A15&lt;&gt;"",AE15-AA15,"")</f>
        <v>-0.96721311475410232</v>
      </c>
      <c r="AY15" s="27" t="b">
        <f>S15&gt;R15</f>
        <v>0</v>
      </c>
      <c r="BA15" s="27" t="e">
        <f>AND(AA15&gt;$BA$3,(W15+$W$8)/$W$2&lt;$BB$3,(X15+$X$8)/$X$2&lt;$BB$3)</f>
        <v>#VALUE!</v>
      </c>
      <c r="BB15" s="27" t="e">
        <f>AND(AA15&lt;$BA$3,AND(W15/$W$2&gt;$BB$3,X15/$X$2&gt;$BB$3))</f>
        <v>#VALUE!</v>
      </c>
      <c r="BC15" s="27" t="e">
        <f>AND(AA15&lt;$BA$3,OR(W15/$W$2&gt;$BB$3,X15/$X$2&gt;$BB$3))</f>
        <v>#VALUE!</v>
      </c>
      <c r="BE15" s="32" t="s">
        <v>84</v>
      </c>
    </row>
    <row r="16" spans="1:58" s="27" customFormat="1" ht="12.75" customHeight="1" x14ac:dyDescent="0.2">
      <c r="A16" s="10">
        <v>11642</v>
      </c>
      <c r="B16" s="2">
        <v>23</v>
      </c>
      <c r="C16" s="10">
        <v>19</v>
      </c>
      <c r="D16" s="10">
        <v>25</v>
      </c>
      <c r="E16" s="56"/>
      <c r="F16" s="10"/>
      <c r="G16" s="3"/>
      <c r="H16" s="10"/>
      <c r="I16" s="10"/>
      <c r="J16" s="2">
        <v>27</v>
      </c>
      <c r="K16" s="10">
        <v>51</v>
      </c>
      <c r="L16" s="10">
        <v>51</v>
      </c>
      <c r="M16" s="10"/>
      <c r="N16" s="93"/>
      <c r="O16" s="12"/>
      <c r="P16" s="10">
        <v>101</v>
      </c>
      <c r="Q16" s="41"/>
      <c r="R16" s="2"/>
      <c r="S16" s="10"/>
      <c r="T16" s="13"/>
      <c r="U16" s="1">
        <f t="array" ref="U16">IF(AND(A16&lt;&gt;"",OR(ISNUMBER(B16:I16))),SUM(B16:I16),"")</f>
        <v>67</v>
      </c>
      <c r="V16" s="10">
        <f t="array" ref="V16">IF(AND(A16&lt;&gt;"",OR(ISNUMBER(J16:O16))),SUM(J16:O16),"")</f>
        <v>129</v>
      </c>
      <c r="W16" s="10">
        <f t="array" ref="W16">IF(AND(A16&lt;&gt;"",OR(ISNUMBER(P16),ISNUMBER(Q16))),SUM(MAX(P16:Q16),Q16),"")</f>
        <v>101</v>
      </c>
      <c r="X16" s="10" t="str">
        <f t="array" ref="X16">IF(AND(A16&lt;&gt;"",OR(ISNUMBER(S16),ISNUMBER(T16))),SUM(S16,T16),"")</f>
        <v/>
      </c>
      <c r="Y16" s="13">
        <v>1</v>
      </c>
      <c r="Z16" s="13">
        <f>IF(A16&lt;&gt;"",SUM(U16:Y16),"")</f>
        <v>298</v>
      </c>
      <c r="AA16" s="27">
        <f>IF(A16&lt;&gt;"",(Z16+Normalize_To_Add)/(Point_Total_So_Far)*100,"")</f>
        <v>97.704918032786878</v>
      </c>
      <c r="AB16" s="10">
        <f>IF(A16&lt;&gt;"",RANK(AA16,All_Student_XC),"")</f>
        <v>210</v>
      </c>
      <c r="AC16" s="32" t="str">
        <f>IF(A16&lt;&gt;"",CHOOSE(10-MIN(9,TRUNC((AA16+0.5)/10)),"A","B","C","D","F","F","F","F","F","F"),"")</f>
        <v>A</v>
      </c>
      <c r="AD16" s="32" t="str">
        <f>IF(A16&lt;&gt;"",IF(OR(AA16+0.5&gt;=93,AA16+0.5&lt;60),"",IF(MOD(AA16+0.5,10)&gt;=7,"+",IF(MOD(AA16+0.5,10)&lt;3,"-",""))),"")</f>
        <v/>
      </c>
      <c r="AE16" s="32">
        <f>IF(A16&lt;&gt;"",SUM(W16:X16,$W$8:$X$8)/SUM($W$2:$X$2)*100,"")</f>
        <v>101</v>
      </c>
      <c r="AF16" s="32" t="str">
        <f>IF(A16&lt;&gt;"",CHOOSE(10-MIN(9,TRUNC((AE16+0.5)/10)),"A","B","C","D","F","F","F","F","F","F"),"")</f>
        <v>A</v>
      </c>
      <c r="AG16" s="32" t="str">
        <f>IF(A16&lt;&gt;"",IF(OR(AE16+0.5&gt;=93,AE16+0.5&lt;60),"",IF(MOD(AE16+0.5,10)&gt;=7,"+",IF(MOD(AE16+0.5,10)&lt;3,"-",""))),"")</f>
        <v/>
      </c>
      <c r="AH16" s="36">
        <f>IF(A16&lt;&gt;"",MIN(MAX(AA16,AE16),AA16+$AH$8,AE16+$AH$8),"")</f>
        <v>101</v>
      </c>
      <c r="AI16" s="32" t="str">
        <f>IF(A16&lt;&gt;"",CHOOSE(10-MIN(9,TRUNC((AH16+0.5)/10)),"A","B","C","D","F","F","F","F","F","F"),"")</f>
        <v>A</v>
      </c>
      <c r="AJ16" s="32" t="str">
        <f>IF(A16&lt;&gt;"",IF(OR(AH16+0.5&gt;=93,AH16+0.5&lt;60),"",IF(MOD(AH16+0.5,10)&gt;=7,"+",IF(MOD(AH16+0.5,10)&lt;3,"-",""))),"")</f>
        <v/>
      </c>
      <c r="AK16" s="32" t="b">
        <f>IF(A16&lt;&gt;"",OR(AI16&lt;&gt;AC16,AJ16&lt;&gt;AD16),"")</f>
        <v>0</v>
      </c>
      <c r="AL16" s="84">
        <f>IF(AND(A16&lt;&gt;"",U16&lt;&gt;""),SUM(U16,$AL$8)/$AL$2*100,"")</f>
        <v>89.333333333333329</v>
      </c>
      <c r="AM16" s="24">
        <f>IF(AND(A16&lt;&gt;"",V16&lt;&gt;""),SUM(V16,$AM$8)/$AM$2*100,"")</f>
        <v>99.230769230769226</v>
      </c>
      <c r="AN16" s="24">
        <f>IF(AND(A16&lt;&gt;"",ISNUMBER(P16),P16&gt;=0),SUM(P16,$AN$8)/$AN$2*100,"")</f>
        <v>101</v>
      </c>
      <c r="AO16" s="24" t="str">
        <f>IF(AND(A16&lt;&gt;"",ISNUMBER(Q16),Q16&gt;=0),SUM(Q16,$AO$8)/$AO$2*100,"")</f>
        <v/>
      </c>
      <c r="AP16" s="24" t="str">
        <f>IF(AND(A16&lt;&gt;"",R16&lt;&gt;""),SUM(R16,$AP$8)/$AP$2*100,"")</f>
        <v/>
      </c>
      <c r="AQ16" s="24">
        <f>IF(AND(A16&lt;&gt;"",ISNUMBER(W16),W16&gt;=0),SUM(W16,$AQ$8)/$AQ$2*100,"")</f>
        <v>101</v>
      </c>
      <c r="AR16" s="24" t="str">
        <f>IF(AND(A16&lt;&gt;"",T16&gt;0,ISNUMBER(T16)),SUM(T16,$AR$8)/$AR$2*100,"")</f>
        <v/>
      </c>
      <c r="AS16" s="24" t="str">
        <f>IF(AND(A16&lt;&gt;"",X16&lt;&gt;""),SUM(X16,$AS$8)/$AS$2*100,"")</f>
        <v/>
      </c>
      <c r="AT16" s="89">
        <f>IF(AND(A16&lt;&gt;"",OR(ISNUMBER(W16),ISNUMBER(X16))),SUM(W16:X16,$AT$8)/$AT$2*100,"")</f>
        <v>101</v>
      </c>
      <c r="AU16" s="24">
        <f>AA16</f>
        <v>97.704918032786878</v>
      </c>
      <c r="AV16" s="24"/>
      <c r="AW16" s="27">
        <f>IF(A16&lt;&gt;"",AE16-AA16,"")</f>
        <v>3.2950819672131217</v>
      </c>
      <c r="AY16" s="27" t="b">
        <f>S16&gt;R16</f>
        <v>0</v>
      </c>
      <c r="BA16" s="27" t="e">
        <f>AND(AA16&gt;$BA$3,(W16+$W$8)/$W$2&lt;$BB$3,(X16+$X$8)/$X$2&lt;$BB$3)</f>
        <v>#VALUE!</v>
      </c>
      <c r="BB16" s="27" t="e">
        <f>AND(AA16&lt;$BA$3,AND(W16/$W$2&gt;$BB$3,X16/$X$2&gt;$BB$3))</f>
        <v>#VALUE!</v>
      </c>
      <c r="BC16" s="27" t="e">
        <f>AND(AA16&lt;$BA$3,OR(W16/$W$2&gt;$BB$3,X16/$X$2&gt;$BB$3))</f>
        <v>#VALUE!</v>
      </c>
      <c r="BE16" s="32" t="s">
        <v>84</v>
      </c>
    </row>
    <row r="17" spans="1:58" s="27" customFormat="1" ht="12.75" customHeight="1" x14ac:dyDescent="0.2">
      <c r="A17" s="10">
        <v>15344</v>
      </c>
      <c r="B17" s="2">
        <v>22</v>
      </c>
      <c r="C17" s="10">
        <v>23</v>
      </c>
      <c r="D17" s="10">
        <v>25</v>
      </c>
      <c r="E17" s="10"/>
      <c r="F17" s="10"/>
      <c r="G17" s="3"/>
      <c r="H17" s="10"/>
      <c r="I17" s="10"/>
      <c r="J17" s="2">
        <v>30</v>
      </c>
      <c r="K17" s="10">
        <v>52</v>
      </c>
      <c r="L17" s="10">
        <v>52</v>
      </c>
      <c r="M17" s="10"/>
      <c r="N17" s="10"/>
      <c r="O17" s="12"/>
      <c r="P17" s="41">
        <v>101</v>
      </c>
      <c r="Q17" s="41"/>
      <c r="R17" s="2"/>
      <c r="S17" s="10"/>
      <c r="T17" s="13"/>
      <c r="U17" s="7">
        <f t="array" ref="U17">IF(AND(A17&lt;&gt;"",OR(ISNUMBER(B17:I17))),SUM(B17:I17),"")</f>
        <v>70</v>
      </c>
      <c r="V17" s="10">
        <f t="array" ref="V17">IF(AND(A17&lt;&gt;"",OR(ISNUMBER(J17:O17))),SUM(J17:O17),"")</f>
        <v>134</v>
      </c>
      <c r="W17" s="10">
        <f t="array" ref="W17">IF(AND(A17&lt;&gt;"",OR(ISNUMBER(P17),ISNUMBER(Q17))),SUM(MAX(P17:Q17),Q17),"")</f>
        <v>101</v>
      </c>
      <c r="X17" s="10" t="str">
        <f t="array" ref="X17">IF(AND(A17&lt;&gt;"",OR(ISNUMBER(S17),ISNUMBER(T17))),SUM(S17,T17),"")</f>
        <v/>
      </c>
      <c r="Y17" s="13">
        <v>1</v>
      </c>
      <c r="Z17" s="13">
        <f>IF(A17&lt;&gt;"",SUM(U17:Y17),"")</f>
        <v>306</v>
      </c>
      <c r="AA17" s="27">
        <f>IF(A17&lt;&gt;"",(Z17+Normalize_To_Add)/(Point_Total_So_Far)*100,"")</f>
        <v>100.32786885245901</v>
      </c>
      <c r="AB17" s="10">
        <f>IF(A17&lt;&gt;"",RANK(AA17,All_Student_XC),"")</f>
        <v>99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>
        <f>IF(A17&lt;&gt;"",SUM(W17:X17,$W$8:$X$8)/SUM($W$2:$X$2)*100,"")</f>
        <v>101</v>
      </c>
      <c r="AF17" s="32" t="str">
        <f>IF(A17&lt;&gt;"",CHOOSE(10-MIN(9,TRUNC((AE17+0.5)/10)),"A","B","C","D","F","F","F","F","F","F"),"")</f>
        <v>A</v>
      </c>
      <c r="AG17" s="32" t="str">
        <f>IF(A17&lt;&gt;"",IF(OR(AE17+0.5&gt;=93,AE17+0.5&lt;60),"",IF(MOD(AE17+0.5,10)&gt;=7,"+",IF(MOD(AE17+0.5,10)&lt;3,"-",""))),"")</f>
        <v/>
      </c>
      <c r="AH17" s="36">
        <f>IF(A17&lt;&gt;"",MIN(MAX(AA17,AE17),AA17+$AH$8,AE17+$AH$8),"")</f>
        <v>101</v>
      </c>
      <c r="AI17" s="32" t="str">
        <f>IF(A17&lt;&gt;"",CHOOSE(10-MIN(9,TRUNC((AH17+0.5)/10)),"A","B","C","D","F","F","F","F","F","F"),"")</f>
        <v>A</v>
      </c>
      <c r="AJ17" s="32" t="str">
        <f>IF(A17&lt;&gt;"",IF(OR(AH17+0.5&gt;=93,AH17+0.5&lt;60),"",IF(MOD(AH17+0.5,10)&gt;=7,"+",IF(MOD(AH17+0.5,10)&lt;3,"-",""))),"")</f>
        <v/>
      </c>
      <c r="AK17" s="32" t="b">
        <f>IF(A17&lt;&gt;"",OR(AI17&lt;&gt;AC17,AJ17&lt;&gt;AD17),"")</f>
        <v>0</v>
      </c>
      <c r="AL17" s="84">
        <f>IF(AND(A17&lt;&gt;"",U17&lt;&gt;""),SUM(U17,$AL$8)/$AL$2*100,"")</f>
        <v>93.333333333333329</v>
      </c>
      <c r="AM17" s="24">
        <f>IF(AND(A17&lt;&gt;"",V17&lt;&gt;""),SUM(V17,$AM$8)/$AM$2*100,"")</f>
        <v>103.07692307692307</v>
      </c>
      <c r="AN17" s="24">
        <f>IF(AND(A17&lt;&gt;"",ISNUMBER(P17),P17&gt;=0),SUM(P17,$AN$8)/$AN$2*100,"")</f>
        <v>101</v>
      </c>
      <c r="AO17" s="24" t="str">
        <f>IF(AND(A17&lt;&gt;"",ISNUMBER(Q17),Q17&gt;=0),SUM(Q17,$AO$8)/$AO$2*100,"")</f>
        <v/>
      </c>
      <c r="AP17" s="24" t="str">
        <f>IF(AND(A17&lt;&gt;"",R17&lt;&gt;""),SUM(R17,$AP$8)/$AP$2*100,"")</f>
        <v/>
      </c>
      <c r="AQ17" s="24">
        <f>IF(AND(A17&lt;&gt;"",ISNUMBER(W17),W17&gt;=0),SUM(W17,$AQ$8)/$AQ$2*100,"")</f>
        <v>101</v>
      </c>
      <c r="AR17" s="24" t="str">
        <f>IF(AND(A17&lt;&gt;"",T17&gt;0,ISNUMBER(T17)),SUM(T17,$AR$8)/$AR$2*100,"")</f>
        <v/>
      </c>
      <c r="AS17" s="24" t="str">
        <f>IF(AND(A17&lt;&gt;"",X17&lt;&gt;""),SUM(X17,$AS$8)/$AS$2*100,"")</f>
        <v/>
      </c>
      <c r="AT17" s="89">
        <f>IF(AND(A17&lt;&gt;"",OR(ISNUMBER(W17),ISNUMBER(X17))),SUM(W17:X17,$AT$8)/$AT$2*100,"")</f>
        <v>101</v>
      </c>
      <c r="AU17" s="24">
        <f>AA17</f>
        <v>100.32786885245901</v>
      </c>
      <c r="AV17" s="24"/>
      <c r="AW17" s="27">
        <f>IF(A17&lt;&gt;"",AE17-AA17,"")</f>
        <v>0.67213114754099479</v>
      </c>
      <c r="AY17" s="27" t="b">
        <f>S17&gt;R17</f>
        <v>0</v>
      </c>
      <c r="BA17" s="27" t="e">
        <f>AND(AA17&gt;$BA$3,(W17+$W$8)/$W$2&lt;$BB$3,(X17+$X$8)/$X$2&lt;$BB$3)</f>
        <v>#VALUE!</v>
      </c>
      <c r="BB17" s="27" t="e">
        <f>AND(AA17&lt;$BA$3,AND(W17/$W$2&gt;$BB$3,X17/$X$2&gt;$BB$3))</f>
        <v>#VALUE!</v>
      </c>
      <c r="BC17" s="27" t="e">
        <f>AND(AA17&lt;$BA$3,OR(W17/$W$2&gt;$BB$3,X17/$X$2&gt;$BB$3))</f>
        <v>#VALUE!</v>
      </c>
      <c r="BE17" s="32">
        <v>32</v>
      </c>
    </row>
    <row r="18" spans="1:58" s="27" customFormat="1" ht="12.75" customHeight="1" x14ac:dyDescent="0.2">
      <c r="A18" s="10">
        <v>21520</v>
      </c>
      <c r="B18" s="2">
        <v>23</v>
      </c>
      <c r="C18" s="10">
        <v>22</v>
      </c>
      <c r="D18" s="10">
        <v>25</v>
      </c>
      <c r="E18" s="10"/>
      <c r="F18" s="10"/>
      <c r="G18" s="10"/>
      <c r="H18" s="10"/>
      <c r="I18" s="10"/>
      <c r="J18" s="2">
        <v>30</v>
      </c>
      <c r="K18" s="10">
        <v>52</v>
      </c>
      <c r="L18" s="10">
        <v>50</v>
      </c>
      <c r="M18" s="10"/>
      <c r="N18" s="93"/>
      <c r="O18" s="13"/>
      <c r="P18" s="10">
        <v>101</v>
      </c>
      <c r="Q18" s="10"/>
      <c r="R18" s="2"/>
      <c r="S18" s="10"/>
      <c r="T18" s="13"/>
      <c r="U18" s="1">
        <f t="array" ref="U18">IF(AND(A18&lt;&gt;"",OR(ISNUMBER(B18:I18))),SUM(B18:I18),"")</f>
        <v>70</v>
      </c>
      <c r="V18" s="10">
        <f t="array" ref="V18">IF(AND(A18&lt;&gt;"",OR(ISNUMBER(J18:O18))),SUM(J18:O18),"")</f>
        <v>132</v>
      </c>
      <c r="W18" s="10">
        <f t="array" ref="W18">IF(AND(A18&lt;&gt;"",OR(ISNUMBER(P18),ISNUMBER(Q18))),SUM(MAX(P18:Q18),Q18),"")</f>
        <v>101</v>
      </c>
      <c r="X18" s="10" t="str">
        <f t="array" ref="X18">IF(AND(A18&lt;&gt;"",OR(ISNUMBER(S18),ISNUMBER(T18))),SUM(S18,T18),"")</f>
        <v/>
      </c>
      <c r="Y18" s="13">
        <v>1</v>
      </c>
      <c r="Z18" s="13">
        <f>IF(A18&lt;&gt;"",SUM(U18:Y18),"")</f>
        <v>304</v>
      </c>
      <c r="AA18" s="27">
        <f>IF(A18&lt;&gt;"",(Z18+Normalize_To_Add)/(Point_Total_So_Far)*100,"")</f>
        <v>99.672131147540995</v>
      </c>
      <c r="AB18" s="10">
        <f>IF(A18&lt;&gt;"",RANK(AA18,All_Student_XC),"")</f>
        <v>124</v>
      </c>
      <c r="AC18" s="32" t="str">
        <f>IF(A18&lt;&gt;"",CHOOSE(10-MIN(9,TRUNC((AA18+0.5)/10)),"A","B","C","D","F","F","F","F","F","F"),"")</f>
        <v>A</v>
      </c>
      <c r="AD18" s="31" t="str">
        <f>IF(A18&lt;&gt;"",IF(OR(AA18+0.5&gt;=93,AA18+0.5&lt;60),"",IF(MOD(AA18+0.5,10)&gt;=7,"+",IF(MOD(AA18+0.5,10)&lt;3,"-",""))),"")</f>
        <v/>
      </c>
      <c r="AE18" s="32">
        <f>IF(A18&lt;&gt;"",SUM(W18:X18,$W$8:$X$8)/SUM($W$2:$X$2)*100,"")</f>
        <v>101</v>
      </c>
      <c r="AF18" s="32" t="str">
        <f>IF(A18&lt;&gt;"",CHOOSE(10-MIN(9,TRUNC((AE18+0.5)/10)),"A","B","C","D","F","F","F","F","F","F"),"")</f>
        <v>A</v>
      </c>
      <c r="AG18" s="32" t="str">
        <f>IF(A18&lt;&gt;"",IF(OR(AE18+0.5&gt;=93,AE18+0.5&lt;60),"",IF(MOD(AE18+0.5,10)&gt;=7,"+",IF(MOD(AE18+0.5,10)&lt;3,"-",""))),"")</f>
        <v/>
      </c>
      <c r="AH18" s="36">
        <f>IF(A18&lt;&gt;"",MIN(MAX(AA18,AE18),AA18+$AH$8,AE18+$AH$8),"")</f>
        <v>101</v>
      </c>
      <c r="AI18" s="32" t="str">
        <f>IF(A18&lt;&gt;"",CHOOSE(10-MIN(9,TRUNC((AH18+0.5)/10)),"A","B","C","D","F","F","F","F","F","F"),"")</f>
        <v>A</v>
      </c>
      <c r="AJ18" s="32" t="str">
        <f>IF(A18&lt;&gt;"",IF(OR(AH18+0.5&gt;=93,AH18+0.5&lt;60),"",IF(MOD(AH18+0.5,10)&gt;=7,"+",IF(MOD(AH18+0.5,10)&lt;3,"-",""))),"")</f>
        <v/>
      </c>
      <c r="AK18" s="71" t="b">
        <f>IF(A18&lt;&gt;"",OR(AI18&lt;&gt;AC18,AJ18&lt;&gt;AD18),"")</f>
        <v>0</v>
      </c>
      <c r="AL18" s="86">
        <f>IF(AND(A18&lt;&gt;"",U18&lt;&gt;""),SUM(U18,$AL$8)/$AL$2*100,"")</f>
        <v>93.333333333333329</v>
      </c>
      <c r="AM18" s="71">
        <f>IF(AND(A18&lt;&gt;"",V18&lt;&gt;""),SUM(V18,$AM$8)/$AM$2*100,"")</f>
        <v>101.53846153846153</v>
      </c>
      <c r="AN18" s="71">
        <f>IF(AND(A18&lt;&gt;"",ISNUMBER(P18),P18&gt;=0),SUM(P18,$AN$8)/$AN$2*100,"")</f>
        <v>101</v>
      </c>
      <c r="AO18" s="71" t="str">
        <f>IF(AND(A18&lt;&gt;"",ISNUMBER(Q18),Q18&gt;=0),SUM(Q18,$AO$8)/$AO$2*100,"")</f>
        <v/>
      </c>
      <c r="AP18" s="24" t="str">
        <f>IF(AND(A18&lt;&gt;"",R18&lt;&gt;""),SUM(R18,$AP$8)/$AP$2*100,"")</f>
        <v/>
      </c>
      <c r="AQ18" s="24">
        <f>IF(AND(A18&lt;&gt;"",ISNUMBER(W18),W18&gt;=0),SUM(W18,$AQ$8)/$AQ$2*100,"")</f>
        <v>101</v>
      </c>
      <c r="AR18" s="24" t="str">
        <f>IF(AND(A18&lt;&gt;"",T18&gt;0,ISNUMBER(T18)),SUM(T18,$AR$8)/$AR$2*100,"")</f>
        <v/>
      </c>
      <c r="AS18" s="24" t="str">
        <f>IF(AND(A18&lt;&gt;"",X18&lt;&gt;""),SUM(X18,$AS$8)/$AS$2*100,"")</f>
        <v/>
      </c>
      <c r="AT18" s="89">
        <f>IF(AND(A18&lt;&gt;"",OR(ISNUMBER(W18),ISNUMBER(X18))),SUM(W18:X18,$AT$8)/$AT$2*100,"")</f>
        <v>101</v>
      </c>
      <c r="AU18" s="24">
        <f>AA18</f>
        <v>99.672131147540995</v>
      </c>
      <c r="AV18" s="71"/>
      <c r="AW18" s="27">
        <f>IF(A18&lt;&gt;"",AE18-AA18,"")</f>
        <v>1.3278688524590052</v>
      </c>
      <c r="AY18" s="27" t="b">
        <f>S18&gt;R18</f>
        <v>0</v>
      </c>
      <c r="BA18" s="27" t="e">
        <f>AND(AA18&gt;$BA$3,(W18+$W$8)/$W$2&lt;$BB$3,(X18+$X$8)/$X$2&lt;$BB$3)</f>
        <v>#VALUE!</v>
      </c>
      <c r="BB18" s="27" t="e">
        <f>AND(AA18&lt;$BA$3,AND(W18/$W$2&gt;$BB$3,X18/$X$2&gt;$BB$3))</f>
        <v>#VALUE!</v>
      </c>
      <c r="BC18" s="27" t="e">
        <f>AND(AA18&lt;$BA$3,OR(W18/$W$2&gt;$BB$3,X18/$X$2&gt;$BB$3))</f>
        <v>#VALUE!</v>
      </c>
      <c r="BE18" s="32" t="s">
        <v>84</v>
      </c>
    </row>
    <row r="19" spans="1:58" s="27" customFormat="1" ht="12.75" customHeight="1" x14ac:dyDescent="0.2">
      <c r="A19" s="10">
        <v>23800</v>
      </c>
      <c r="B19" s="2">
        <v>24</v>
      </c>
      <c r="C19" s="10">
        <v>25</v>
      </c>
      <c r="D19" s="10">
        <v>25</v>
      </c>
      <c r="E19" s="10"/>
      <c r="F19" s="10"/>
      <c r="G19" s="10"/>
      <c r="H19" s="10"/>
      <c r="I19" s="10"/>
      <c r="J19" s="2">
        <v>32</v>
      </c>
      <c r="K19" s="10">
        <v>52</v>
      </c>
      <c r="L19" s="10">
        <v>52</v>
      </c>
      <c r="M19" s="10"/>
      <c r="N19" s="93"/>
      <c r="O19" s="13"/>
      <c r="P19" s="10">
        <v>101</v>
      </c>
      <c r="Q19" s="10"/>
      <c r="R19" s="2"/>
      <c r="S19" s="10"/>
      <c r="T19" s="13"/>
      <c r="U19" s="1">
        <f t="array" ref="U19">IF(AND(A19&lt;&gt;"",OR(ISNUMBER(B19:I19))),SUM(B19:I19),"")</f>
        <v>74</v>
      </c>
      <c r="V19" s="10">
        <f t="array" ref="V19">IF(AND(A19&lt;&gt;"",OR(ISNUMBER(J19:O19))),SUM(J19:O19),"")</f>
        <v>136</v>
      </c>
      <c r="W19" s="10">
        <f t="array" ref="W19">IF(AND(A19&lt;&gt;"",OR(ISNUMBER(P19),ISNUMBER(Q19))),SUM(MAX(P19:Q19),Q19),"")</f>
        <v>101</v>
      </c>
      <c r="X19" s="10" t="str">
        <f t="array" ref="X19">IF(AND(A19&lt;&gt;"",OR(ISNUMBER(S19),ISNUMBER(T19))),SUM(S19,T19),"")</f>
        <v/>
      </c>
      <c r="Y19" s="13">
        <v>1</v>
      </c>
      <c r="Z19" s="13">
        <f>IF(A19&lt;&gt;"",SUM(U19:Y19),"")</f>
        <v>312</v>
      </c>
      <c r="AA19" s="27">
        <f>IF(A19&lt;&gt;"",(Z19+Normalize_To_Add)/(Point_Total_So_Far)*100,"")</f>
        <v>102.29508196721311</v>
      </c>
      <c r="AB19" s="10">
        <f>IF(A19&lt;&gt;"",RANK(AA19,All_Student_XC),"")</f>
        <v>2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>
        <f>IF(A19&lt;&gt;"",SUM(W19:X19,$W$8:$X$8)/SUM($W$2:$X$2)*100,"")</f>
        <v>101</v>
      </c>
      <c r="AF19" s="32" t="str">
        <f>IF(A19&lt;&gt;"",CHOOSE(10-MIN(9,TRUNC((AE19+0.5)/10)),"A","B","C","D","F","F","F","F","F","F"),"")</f>
        <v>A</v>
      </c>
      <c r="AG19" s="32" t="str">
        <f>IF(A19&lt;&gt;"",IF(OR(AE19+0.5&gt;=93,AE19+0.5&lt;60),"",IF(MOD(AE19+0.5,10)&gt;=7,"+",IF(MOD(AE19+0.5,10)&lt;3,"-",""))),"")</f>
        <v/>
      </c>
      <c r="AH19" s="36">
        <f>IF(A19&lt;&gt;"",MIN(MAX(AA19,AE19),AA19+$AH$8,AE19+$AH$8),"")</f>
        <v>102.29508196721311</v>
      </c>
      <c r="AI19" s="32" t="str">
        <f>IF(A19&lt;&gt;"",CHOOSE(10-MIN(9,TRUNC((AH19+0.5)/10)),"A","B","C","D","F","F","F","F","F","F"),"")</f>
        <v>A</v>
      </c>
      <c r="AJ19" s="32" t="str">
        <f>IF(A19&lt;&gt;"",IF(OR(AH19+0.5&gt;=93,AH19+0.5&lt;60),"",IF(MOD(AH19+0.5,10)&gt;=7,"+",IF(MOD(AH19+0.5,10)&lt;3,"-",""))),"")</f>
        <v/>
      </c>
      <c r="AK19" s="71" t="b">
        <f>IF(A19&lt;&gt;"",OR(AI19&lt;&gt;AC19,AJ19&lt;&gt;AD19),"")</f>
        <v>0</v>
      </c>
      <c r="AL19" s="86">
        <f>IF(AND(A19&lt;&gt;"",U19&lt;&gt;""),SUM(U19,$AL$8)/$AL$2*100,"")</f>
        <v>98.666666666666671</v>
      </c>
      <c r="AM19" s="71">
        <f>IF(AND(A19&lt;&gt;"",V19&lt;&gt;""),SUM(V19,$AM$8)/$AM$2*100,"")</f>
        <v>104.61538461538463</v>
      </c>
      <c r="AN19" s="71">
        <f>IF(AND(A19&lt;&gt;"",ISNUMBER(P19),P19&gt;=0),SUM(P19,$AN$8)/$AN$2*100,"")</f>
        <v>101</v>
      </c>
      <c r="AO19" s="71" t="str">
        <f>IF(AND(A19&lt;&gt;"",ISNUMBER(Q19),Q19&gt;=0),SUM(Q19,$AO$8)/$AO$2*100,"")</f>
        <v/>
      </c>
      <c r="AP19" s="24" t="str">
        <f>IF(AND(A19&lt;&gt;"",R19&lt;&gt;""),SUM(R19,$AP$8)/$AP$2*100,"")</f>
        <v/>
      </c>
      <c r="AQ19" s="24">
        <f>IF(AND(A19&lt;&gt;"",ISNUMBER(W19),W19&gt;=0),SUM(W19,$AQ$8)/$AQ$2*100,"")</f>
        <v>101</v>
      </c>
      <c r="AR19" s="24" t="str">
        <f>IF(AND(A19&lt;&gt;"",T19&gt;0,ISNUMBER(T19)),SUM(T19,$AR$8)/$AR$2*100,"")</f>
        <v/>
      </c>
      <c r="AS19" s="24" t="str">
        <f>IF(AND(A19&lt;&gt;"",X19&lt;&gt;""),SUM(X19,$AS$8)/$AS$2*100,"")</f>
        <v/>
      </c>
      <c r="AT19" s="89">
        <f>IF(AND(A19&lt;&gt;"",OR(ISNUMBER(W19),ISNUMBER(X19))),SUM(W19:X19,$AT$8)/$AT$2*100,"")</f>
        <v>101</v>
      </c>
      <c r="AU19" s="24">
        <f>AA19</f>
        <v>102.29508196721311</v>
      </c>
      <c r="AV19" s="71"/>
      <c r="AW19" s="27">
        <f>IF(A19&lt;&gt;"",AE19-AA19,"")</f>
        <v>-1.2950819672131075</v>
      </c>
      <c r="AY19" s="27" t="b">
        <f>S19&gt;R19</f>
        <v>0</v>
      </c>
      <c r="BA19" s="27" t="e">
        <f>AND(AA19&gt;$BA$3,(W19+$W$8)/$W$2&lt;$BB$3,(X19+$X$8)/$X$2&lt;$BB$3)</f>
        <v>#VALUE!</v>
      </c>
      <c r="BB19" s="27" t="e">
        <f>AND(AA19&lt;$BA$3,AND(W19/$W$2&gt;$BB$3,X19/$X$2&gt;$BB$3))</f>
        <v>#VALUE!</v>
      </c>
      <c r="BC19" s="27" t="e">
        <f>AND(AA19&lt;$BA$3,OR(W19/$W$2&gt;$BB$3,X19/$X$2&gt;$BB$3))</f>
        <v>#VALUE!</v>
      </c>
      <c r="BE19" s="32">
        <v>32</v>
      </c>
    </row>
    <row r="20" spans="1:58" s="27" customFormat="1" ht="12.75" customHeight="1" x14ac:dyDescent="0.2">
      <c r="A20" s="10">
        <v>28032</v>
      </c>
      <c r="B20" s="2">
        <v>23</v>
      </c>
      <c r="C20" s="10">
        <v>21</v>
      </c>
      <c r="D20" s="10">
        <v>22</v>
      </c>
      <c r="E20" s="10"/>
      <c r="F20" s="10"/>
      <c r="G20" s="10"/>
      <c r="H20" s="10"/>
      <c r="I20" s="10"/>
      <c r="J20" s="2">
        <v>29</v>
      </c>
      <c r="K20" s="10">
        <v>35</v>
      </c>
      <c r="L20" s="10">
        <v>49</v>
      </c>
      <c r="M20" s="10"/>
      <c r="N20" s="93"/>
      <c r="O20" s="13"/>
      <c r="P20" s="10">
        <v>60</v>
      </c>
      <c r="Q20" s="10"/>
      <c r="R20" s="2"/>
      <c r="S20" s="10"/>
      <c r="T20" s="13"/>
      <c r="U20" s="1">
        <f t="array" ref="U20">IF(AND(A20&lt;&gt;"",OR(ISNUMBER(B20:I20))),SUM(B20:I20),"")</f>
        <v>66</v>
      </c>
      <c r="V20" s="10">
        <f t="array" ref="V20">IF(AND(A20&lt;&gt;"",OR(ISNUMBER(J20:O20))),SUM(J20:O20),"")</f>
        <v>113</v>
      </c>
      <c r="W20" s="10">
        <f t="array" ref="W20">IF(AND(A20&lt;&gt;"",OR(ISNUMBER(P20),ISNUMBER(Q20))),SUM(MAX(P20:Q20),Q20),"")</f>
        <v>60</v>
      </c>
      <c r="X20" s="10" t="str">
        <f t="array" ref="X20">IF(AND(A20&lt;&gt;"",OR(ISNUMBER(S20),ISNUMBER(T20))),SUM(S20,T20),"")</f>
        <v/>
      </c>
      <c r="Y20" s="13">
        <v>1</v>
      </c>
      <c r="Z20" s="13">
        <f>IF(A20&lt;&gt;"",SUM(U20:Y20),"")</f>
        <v>240</v>
      </c>
      <c r="AA20" s="27">
        <f>IF(A20&lt;&gt;"",(Z20+Normalize_To_Add)/(Point_Total_So_Far)*100,"")</f>
        <v>78.688524590163937</v>
      </c>
      <c r="AB20" s="10">
        <f>IF(A20&lt;&gt;"",RANK(AA20,All_Student_XC),"")</f>
        <v>418</v>
      </c>
      <c r="AC20" s="32" t="str">
        <f>IF(A20&lt;&gt;"",CHOOSE(10-MIN(9,TRUNC((AA20+0.5)/10)),"A","B","C","D","F","F","F","F","F","F"),"")</f>
        <v>C</v>
      </c>
      <c r="AD20" s="31" t="str">
        <f>IF(A20&lt;&gt;"",IF(OR(AA20+0.5&gt;=93,AA20+0.5&lt;60),"",IF(MOD(AA20+0.5,10)&gt;=7,"+",IF(MOD(AA20+0.5,10)&lt;3,"-",""))),"")</f>
        <v>+</v>
      </c>
      <c r="AE20" s="32">
        <f>IF(A20&lt;&gt;"",SUM(W20:X20,$W$8:$X$8)/SUM($W$2:$X$2)*100,"")</f>
        <v>60</v>
      </c>
      <c r="AF20" s="32" t="str">
        <f>IF(A20&lt;&gt;"",CHOOSE(10-MIN(9,TRUNC((AE20+0.5)/10)),"A","B","C","D","F","F","F","F","F","F"),"")</f>
        <v>D</v>
      </c>
      <c r="AG20" s="32" t="str">
        <f>IF(A20&lt;&gt;"",IF(OR(AE20+0.5&gt;=93,AE20+0.5&lt;60),"",IF(MOD(AE20+0.5,10)&gt;=7,"+",IF(MOD(AE20+0.5,10)&lt;3,"-",""))),"")</f>
        <v>-</v>
      </c>
      <c r="AH20" s="36">
        <f>IF(A20&lt;&gt;"",MIN(MAX(AA20,AE20),AA20+$AH$8,AE20+$AH$8),"")</f>
        <v>78.688524590163937</v>
      </c>
      <c r="AI20" s="32" t="str">
        <f>IF(A20&lt;&gt;"",CHOOSE(10-MIN(9,TRUNC((AH20+0.5)/10)),"A","B","C","D","F","F","F","F","F","F"),"")</f>
        <v>C</v>
      </c>
      <c r="AJ20" s="32" t="str">
        <f>IF(A20&lt;&gt;"",IF(OR(AH20+0.5&gt;=93,AH20+0.5&lt;60),"",IF(MOD(AH20+0.5,10)&gt;=7,"+",IF(MOD(AH20+0.5,10)&lt;3,"-",""))),"")</f>
        <v>+</v>
      </c>
      <c r="AK20" s="71" t="b">
        <f>IF(A20&lt;&gt;"",OR(AI20&lt;&gt;AC20,AJ20&lt;&gt;AD20),"")</f>
        <v>0</v>
      </c>
      <c r="AL20" s="86">
        <f>IF(AND(A20&lt;&gt;"",U20&lt;&gt;""),SUM(U20,$AL$8)/$AL$2*100,"")</f>
        <v>88</v>
      </c>
      <c r="AM20" s="71">
        <f>IF(AND(A20&lt;&gt;"",V20&lt;&gt;""),SUM(V20,$AM$8)/$AM$2*100,"")</f>
        <v>86.92307692307692</v>
      </c>
      <c r="AN20" s="71">
        <f>IF(AND(A20&lt;&gt;"",ISNUMBER(P20),P20&gt;=0),SUM(P20,$AN$8)/$AN$2*100,"")</f>
        <v>60</v>
      </c>
      <c r="AO20" s="71" t="str">
        <f>IF(AND(A20&lt;&gt;"",ISNUMBER(Q20),Q20&gt;=0),SUM(Q20,$AO$8)/$AO$2*100,"")</f>
        <v/>
      </c>
      <c r="AP20" s="24" t="str">
        <f>IF(AND(A20&lt;&gt;"",R20&lt;&gt;""),SUM(R20,$AP$8)/$AP$2*100,"")</f>
        <v/>
      </c>
      <c r="AQ20" s="24">
        <f>IF(AND(A20&lt;&gt;"",ISNUMBER(W20),W20&gt;=0),SUM(W20,$AQ$8)/$AQ$2*100,"")</f>
        <v>60</v>
      </c>
      <c r="AR20" s="24" t="str">
        <f>IF(AND(A20&lt;&gt;"",T20&gt;0,ISNUMBER(T20)),SUM(T20,$AR$8)/$AR$2*100,"")</f>
        <v/>
      </c>
      <c r="AS20" s="24" t="str">
        <f>IF(AND(A20&lt;&gt;"",X20&lt;&gt;""),SUM(X20,$AS$8)/$AS$2*100,"")</f>
        <v/>
      </c>
      <c r="AT20" s="89">
        <f>IF(AND(A20&lt;&gt;"",OR(ISNUMBER(W20),ISNUMBER(X20))),SUM(W20:X20,$AT$8)/$AT$2*100,"")</f>
        <v>60</v>
      </c>
      <c r="AU20" s="24">
        <f>AA20</f>
        <v>78.688524590163937</v>
      </c>
      <c r="AV20" s="71"/>
      <c r="AW20" s="27">
        <f>IF(A20&lt;&gt;"",AE20-AA20,"")</f>
        <v>-18.688524590163937</v>
      </c>
      <c r="AY20" s="27" t="b">
        <f>S20&gt;R20</f>
        <v>0</v>
      </c>
      <c r="BA20" s="27" t="e">
        <f>AND(AA20&gt;$BA$3,(W20+$W$8)/$W$2&lt;$BB$3,(X20+$X$8)/$X$2&lt;$BB$3)</f>
        <v>#VALUE!</v>
      </c>
      <c r="BB20" s="27" t="e">
        <f>AND(AA20&lt;$BA$3,AND(W20/$W$2&gt;$BB$3,X20/$X$2&gt;$BB$3))</f>
        <v>#VALUE!</v>
      </c>
      <c r="BC20" s="27" t="e">
        <f>AND(AA20&lt;$BA$3,OR(W20/$W$2&gt;$BB$3,X20/$X$2&gt;$BB$3))</f>
        <v>#VALUE!</v>
      </c>
      <c r="BE20" s="32" t="s">
        <v>85</v>
      </c>
    </row>
    <row r="21" spans="1:58" s="27" customFormat="1" ht="12.75" customHeight="1" x14ac:dyDescent="0.2">
      <c r="A21" s="10">
        <v>29408</v>
      </c>
      <c r="B21" s="2">
        <v>24</v>
      </c>
      <c r="C21" s="10">
        <v>24</v>
      </c>
      <c r="D21" s="10">
        <v>25</v>
      </c>
      <c r="E21" s="10"/>
      <c r="F21" s="10"/>
      <c r="G21" s="10"/>
      <c r="H21" s="10"/>
      <c r="I21" s="10"/>
      <c r="J21" s="2">
        <v>32</v>
      </c>
      <c r="K21" s="10">
        <v>51</v>
      </c>
      <c r="L21" s="10">
        <v>51</v>
      </c>
      <c r="M21" s="10"/>
      <c r="N21" s="93"/>
      <c r="O21" s="13"/>
      <c r="P21" s="10">
        <v>101</v>
      </c>
      <c r="Q21" s="10"/>
      <c r="R21" s="2"/>
      <c r="S21" s="10"/>
      <c r="T21" s="13"/>
      <c r="U21" s="1">
        <f t="array" ref="U21">IF(AND(A21&lt;&gt;"",OR(ISNUMBER(B21:I21))),SUM(B21:I21),"")</f>
        <v>73</v>
      </c>
      <c r="V21" s="10">
        <f t="array" ref="V21">IF(AND(A21&lt;&gt;"",OR(ISNUMBER(J21:O21))),SUM(J21:O21),"")</f>
        <v>134</v>
      </c>
      <c r="W21" s="10">
        <f t="array" ref="W21">IF(AND(A21&lt;&gt;"",OR(ISNUMBER(P21),ISNUMBER(Q21))),SUM(MAX(P21:Q21),Q21),"")</f>
        <v>101</v>
      </c>
      <c r="X21" s="10" t="str">
        <f t="array" ref="X21">IF(AND(A21&lt;&gt;"",OR(ISNUMBER(S21),ISNUMBER(T21))),SUM(S21,T21),"")</f>
        <v/>
      </c>
      <c r="Y21" s="13">
        <v>1</v>
      </c>
      <c r="Z21" s="13">
        <f>IF(A21&lt;&gt;"",SUM(U21:Y21),"")</f>
        <v>309</v>
      </c>
      <c r="AA21" s="27">
        <f>IF(A21&lt;&gt;"",(Z21+Normalize_To_Add)/(Point_Total_So_Far)*100,"")</f>
        <v>101.31147540983608</v>
      </c>
      <c r="AB21" s="10">
        <f>IF(A21&lt;&gt;"",RANK(AA21,All_Student_XC),"")</f>
        <v>35</v>
      </c>
      <c r="AC21" s="32" t="str">
        <f>IF(A21&lt;&gt;"",CHOOSE(10-MIN(9,TRUNC((AA21+0.5)/10)),"A","B","C","D","F","F","F","F","F","F"),"")</f>
        <v>A</v>
      </c>
      <c r="AD21" s="31" t="str">
        <f>IF(A21&lt;&gt;"",IF(OR(AA21+0.5&gt;=93,AA21+0.5&lt;60),"",IF(MOD(AA21+0.5,10)&gt;=7,"+",IF(MOD(AA21+0.5,10)&lt;3,"-",""))),"")</f>
        <v/>
      </c>
      <c r="AE21" s="32">
        <f>IF(A21&lt;&gt;"",SUM(W21:X21,$W$8:$X$8)/SUM($W$2:$X$2)*100,"")</f>
        <v>101</v>
      </c>
      <c r="AF21" s="32" t="str">
        <f>IF(A21&lt;&gt;"",CHOOSE(10-MIN(9,TRUNC((AE21+0.5)/10)),"A","B","C","D","F","F","F","F","F","F"),"")</f>
        <v>A</v>
      </c>
      <c r="AG21" s="32" t="str">
        <f>IF(A21&lt;&gt;"",IF(OR(AE21+0.5&gt;=93,AE21+0.5&lt;60),"",IF(MOD(AE21+0.5,10)&gt;=7,"+",IF(MOD(AE21+0.5,10)&lt;3,"-",""))),"")</f>
        <v/>
      </c>
      <c r="AH21" s="36">
        <f>IF(A21&lt;&gt;"",MIN(MAX(AA21,AE21),AA21+$AH$8,AE21+$AH$8),"")</f>
        <v>101.31147540983608</v>
      </c>
      <c r="AI21" s="32" t="str">
        <f>IF(A21&lt;&gt;"",CHOOSE(10-MIN(9,TRUNC((AH21+0.5)/10)),"A","B","C","D","F","F","F","F","F","F"),"")</f>
        <v>A</v>
      </c>
      <c r="AJ21" s="32" t="str">
        <f>IF(A21&lt;&gt;"",IF(OR(AH21+0.5&gt;=93,AH21+0.5&lt;60),"",IF(MOD(AH21+0.5,10)&gt;=7,"+",IF(MOD(AH21+0.5,10)&lt;3,"-",""))),"")</f>
        <v/>
      </c>
      <c r="AK21" s="71" t="b">
        <f>IF(A21&lt;&gt;"",OR(AI21&lt;&gt;AC21,AJ21&lt;&gt;AD21),"")</f>
        <v>0</v>
      </c>
      <c r="AL21" s="86">
        <f>IF(AND(A21&lt;&gt;"",U21&lt;&gt;""),SUM(U21,$AL$8)/$AL$2*100,"")</f>
        <v>97.333333333333343</v>
      </c>
      <c r="AM21" s="71">
        <f>IF(AND(A21&lt;&gt;"",V21&lt;&gt;""),SUM(V21,$AM$8)/$AM$2*100,"")</f>
        <v>103.07692307692307</v>
      </c>
      <c r="AN21" s="71">
        <f>IF(AND(A21&lt;&gt;"",ISNUMBER(P21),P21&gt;=0),SUM(P21,$AN$8)/$AN$2*100,"")</f>
        <v>101</v>
      </c>
      <c r="AO21" s="71" t="str">
        <f>IF(AND(A21&lt;&gt;"",ISNUMBER(Q21),Q21&gt;=0),SUM(Q21,$AO$8)/$AO$2*100,"")</f>
        <v/>
      </c>
      <c r="AP21" s="24" t="str">
        <f>IF(AND(A21&lt;&gt;"",R21&lt;&gt;""),SUM(R21,$AP$8)/$AP$2*100,"")</f>
        <v/>
      </c>
      <c r="AQ21" s="24">
        <f>IF(AND(A21&lt;&gt;"",ISNUMBER(W21),W21&gt;=0),SUM(W21,$AQ$8)/$AQ$2*100,"")</f>
        <v>101</v>
      </c>
      <c r="AR21" s="24" t="str">
        <f>IF(AND(A21&lt;&gt;"",T21&gt;0,ISNUMBER(T21)),SUM(T21,$AR$8)/$AR$2*100,"")</f>
        <v/>
      </c>
      <c r="AS21" s="24" t="str">
        <f>IF(AND(A21&lt;&gt;"",X21&lt;&gt;""),SUM(X21,$AS$8)/$AS$2*100,"")</f>
        <v/>
      </c>
      <c r="AT21" s="89">
        <f>IF(AND(A21&lt;&gt;"",OR(ISNUMBER(W21),ISNUMBER(X21))),SUM(W21:X21,$AT$8)/$AT$2*100,"")</f>
        <v>101</v>
      </c>
      <c r="AU21" s="24">
        <f>AA21</f>
        <v>101.31147540983608</v>
      </c>
      <c r="AV21" s="71"/>
      <c r="AW21" s="27">
        <f>IF(A21&lt;&gt;"",AE21-AA21,"")</f>
        <v>-0.31147540983607769</v>
      </c>
      <c r="AY21" s="27" t="b">
        <f>S21&gt;R21</f>
        <v>0</v>
      </c>
      <c r="BA21" s="27" t="e">
        <f>AND(AA21&gt;$BA$3,(W21+$W$8)/$W$2&lt;$BB$3,(X21+$X$8)/$X$2&lt;$BB$3)</f>
        <v>#VALUE!</v>
      </c>
      <c r="BB21" s="27" t="e">
        <f>AND(AA21&lt;$BA$3,AND(W21/$W$2&gt;$BB$3,X21/$X$2&gt;$BB$3))</f>
        <v>#VALUE!</v>
      </c>
      <c r="BC21" s="27" t="e">
        <f>AND(AA21&lt;$BA$3,OR(W21/$W$2&gt;$BB$3,X21/$X$2&gt;$BB$3))</f>
        <v>#VALUE!</v>
      </c>
      <c r="BE21" s="32" t="s">
        <v>84</v>
      </c>
    </row>
    <row r="22" spans="1:58" s="27" customFormat="1" ht="12.75" customHeight="1" x14ac:dyDescent="0.2">
      <c r="A22" s="10">
        <v>29544</v>
      </c>
      <c r="B22" s="2">
        <v>24</v>
      </c>
      <c r="C22" s="10">
        <v>24</v>
      </c>
      <c r="D22" s="10">
        <v>25</v>
      </c>
      <c r="E22" s="10"/>
      <c r="F22" s="10"/>
      <c r="G22" s="10"/>
      <c r="H22" s="10"/>
      <c r="I22" s="10"/>
      <c r="J22" s="2">
        <v>32</v>
      </c>
      <c r="K22" s="10">
        <v>52</v>
      </c>
      <c r="L22" s="10">
        <v>51</v>
      </c>
      <c r="M22" s="10"/>
      <c r="N22" s="93"/>
      <c r="O22" s="13"/>
      <c r="P22" s="10">
        <v>101</v>
      </c>
      <c r="Q22" s="10"/>
      <c r="R22" s="2"/>
      <c r="S22" s="10"/>
      <c r="T22" s="13"/>
      <c r="U22" s="1">
        <f t="array" ref="U22">IF(AND(A22&lt;&gt;"",OR(ISNUMBER(B22:I22))),SUM(B22:I22),"")</f>
        <v>73</v>
      </c>
      <c r="V22" s="10">
        <f t="array" ref="V22">IF(AND(A22&lt;&gt;"",OR(ISNUMBER(J22:O22))),SUM(J22:O22),"")</f>
        <v>135</v>
      </c>
      <c r="W22" s="10">
        <f t="array" ref="W22">IF(AND(A22&lt;&gt;"",OR(ISNUMBER(P22),ISNUMBER(Q22))),SUM(MAX(P22:Q22),Q22),"")</f>
        <v>101</v>
      </c>
      <c r="X22" s="10" t="str">
        <f t="array" ref="X22">IF(AND(A22&lt;&gt;"",OR(ISNUMBER(S22),ISNUMBER(T22))),SUM(S22,T22),"")</f>
        <v/>
      </c>
      <c r="Y22" s="13">
        <v>1</v>
      </c>
      <c r="Z22" s="13">
        <f>IF(A22&lt;&gt;"",SUM(U22:Y22),"")</f>
        <v>310</v>
      </c>
      <c r="AA22" s="27">
        <f>IF(A22&lt;&gt;"",(Z22+Normalize_To_Add)/(Point_Total_So_Far)*100,"")</f>
        <v>101.63934426229508</v>
      </c>
      <c r="AB22" s="10">
        <f>IF(A22&lt;&gt;"",RANK(AA22,All_Student_XC),"")</f>
        <v>19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>
        <f>IF(A22&lt;&gt;"",SUM(W22:X22,$W$8:$X$8)/SUM($W$2:$X$2)*100,"")</f>
        <v>101</v>
      </c>
      <c r="AF22" s="32" t="str">
        <f>IF(A22&lt;&gt;"",CHOOSE(10-MIN(9,TRUNC((AE22+0.5)/10)),"A","B","C","D","F","F","F","F","F","F"),"")</f>
        <v>A</v>
      </c>
      <c r="AG22" s="32" t="str">
        <f>IF(A22&lt;&gt;"",IF(OR(AE22+0.5&gt;=93,AE22+0.5&lt;60),"",IF(MOD(AE22+0.5,10)&gt;=7,"+",IF(MOD(AE22+0.5,10)&lt;3,"-",""))),"")</f>
        <v/>
      </c>
      <c r="AH22" s="36">
        <f>IF(A22&lt;&gt;"",MIN(MAX(AA22,AE22),AA22+$AH$8,AE22+$AH$8),"")</f>
        <v>101.63934426229508</v>
      </c>
      <c r="AI22" s="32" t="str">
        <f>IF(A22&lt;&gt;"",CHOOSE(10-MIN(9,TRUNC((AH22+0.5)/10)),"A","B","C","D","F","F","F","F","F","F"),"")</f>
        <v>A</v>
      </c>
      <c r="AJ22" s="32" t="str">
        <f>IF(A22&lt;&gt;"",IF(OR(AH22+0.5&gt;=93,AH22+0.5&lt;60),"",IF(MOD(AH22+0.5,10)&gt;=7,"+",IF(MOD(AH22+0.5,10)&lt;3,"-",""))),"")</f>
        <v/>
      </c>
      <c r="AK22" s="71" t="b">
        <f>IF(A22&lt;&gt;"",OR(AI22&lt;&gt;AC22,AJ22&lt;&gt;AD22),"")</f>
        <v>0</v>
      </c>
      <c r="AL22" s="86">
        <f>IF(AND(A22&lt;&gt;"",U22&lt;&gt;""),SUM(U22,$AL$8)/$AL$2*100,"")</f>
        <v>97.333333333333343</v>
      </c>
      <c r="AM22" s="71">
        <f>IF(AND(A22&lt;&gt;"",V22&lt;&gt;""),SUM(V22,$AM$8)/$AM$2*100,"")</f>
        <v>103.84615384615385</v>
      </c>
      <c r="AN22" s="71">
        <f>IF(AND(A22&lt;&gt;"",ISNUMBER(P22),P22&gt;=0),SUM(P22,$AN$8)/$AN$2*100,"")</f>
        <v>101</v>
      </c>
      <c r="AO22" s="71" t="str">
        <f>IF(AND(A22&lt;&gt;"",ISNUMBER(Q22),Q22&gt;=0),SUM(Q22,$AO$8)/$AO$2*100,"")</f>
        <v/>
      </c>
      <c r="AP22" s="24" t="str">
        <f>IF(AND(A22&lt;&gt;"",R22&lt;&gt;""),SUM(R22,$AP$8)/$AP$2*100,"")</f>
        <v/>
      </c>
      <c r="AQ22" s="24">
        <f>IF(AND(A22&lt;&gt;"",ISNUMBER(W22),W22&gt;=0),SUM(W22,$AQ$8)/$AQ$2*100,"")</f>
        <v>101</v>
      </c>
      <c r="AR22" s="24" t="str">
        <f>IF(AND(A22&lt;&gt;"",T22&gt;0,ISNUMBER(T22)),SUM(T22,$AR$8)/$AR$2*100,"")</f>
        <v/>
      </c>
      <c r="AS22" s="24" t="str">
        <f>IF(AND(A22&lt;&gt;"",X22&lt;&gt;""),SUM(X22,$AS$8)/$AS$2*100,"")</f>
        <v/>
      </c>
      <c r="AT22" s="89">
        <f>IF(AND(A22&lt;&gt;"",OR(ISNUMBER(W22),ISNUMBER(X22))),SUM(W22:X22,$AT$8)/$AT$2*100,"")</f>
        <v>101</v>
      </c>
      <c r="AU22" s="24">
        <f>AA22</f>
        <v>101.63934426229508</v>
      </c>
      <c r="AV22" s="71"/>
      <c r="AW22" s="27">
        <f>IF(A22&lt;&gt;"",AE22-AA22,"")</f>
        <v>-0.6393442622950829</v>
      </c>
      <c r="AY22" s="27" t="b">
        <f>S22&gt;R22</f>
        <v>0</v>
      </c>
      <c r="BA22" s="27" t="e">
        <f>AND(AA22&gt;$BA$3,(W22+$W$8)/$W$2&lt;$BB$3,(X22+$X$8)/$X$2&lt;$BB$3)</f>
        <v>#VALUE!</v>
      </c>
      <c r="BB22" s="27" t="e">
        <f>AND(AA22&lt;$BA$3,AND(W22/$W$2&gt;$BB$3,X22/$X$2&gt;$BB$3))</f>
        <v>#VALUE!</v>
      </c>
      <c r="BC22" s="27" t="e">
        <f>AND(AA22&lt;$BA$3,OR(W22/$W$2&gt;$BB$3,X22/$X$2&gt;$BB$3))</f>
        <v>#VALUE!</v>
      </c>
      <c r="BE22" s="32" t="s">
        <v>84</v>
      </c>
    </row>
    <row r="23" spans="1:58" s="27" customFormat="1" ht="12.75" customHeight="1" x14ac:dyDescent="0.2">
      <c r="A23" s="10">
        <v>31932</v>
      </c>
      <c r="B23" s="2">
        <v>23</v>
      </c>
      <c r="C23" s="10">
        <v>20</v>
      </c>
      <c r="D23" s="10">
        <v>25</v>
      </c>
      <c r="E23" s="10"/>
      <c r="F23" s="10"/>
      <c r="G23" s="10"/>
      <c r="H23" s="10"/>
      <c r="I23" s="10"/>
      <c r="J23" s="2">
        <v>32</v>
      </c>
      <c r="K23" s="10">
        <v>51</v>
      </c>
      <c r="L23" s="10">
        <v>51</v>
      </c>
      <c r="M23" s="10"/>
      <c r="N23" s="93"/>
      <c r="O23" s="13"/>
      <c r="P23" s="10">
        <v>100</v>
      </c>
      <c r="Q23" s="10"/>
      <c r="R23" s="2"/>
      <c r="S23" s="10"/>
      <c r="T23" s="13"/>
      <c r="U23" s="1">
        <f t="array" ref="U23">IF(AND(A23&lt;&gt;"",OR(ISNUMBER(B23:I23))),SUM(B23:I23),"")</f>
        <v>68</v>
      </c>
      <c r="V23" s="10">
        <f t="array" ref="V23">IF(AND(A23&lt;&gt;"",OR(ISNUMBER(J23:O23))),SUM(J23:O23),"")</f>
        <v>134</v>
      </c>
      <c r="W23" s="10">
        <f t="array" ref="W23">IF(AND(A23&lt;&gt;"",OR(ISNUMBER(P23),ISNUMBER(Q23))),SUM(MAX(P23:Q23),Q23),"")</f>
        <v>100</v>
      </c>
      <c r="X23" s="10" t="str">
        <f t="array" ref="X23">IF(AND(A23&lt;&gt;"",OR(ISNUMBER(S23),ISNUMBER(T23))),SUM(S23,T23),"")</f>
        <v/>
      </c>
      <c r="Y23" s="13">
        <v>1</v>
      </c>
      <c r="Z23" s="13">
        <f>IF(A23&lt;&gt;"",SUM(U23:Y23),"")</f>
        <v>303</v>
      </c>
      <c r="AA23" s="27">
        <f>IF(A23&lt;&gt;"",(Z23+Normalize_To_Add)/(Point_Total_So_Far)*100,"")</f>
        <v>99.344262295081961</v>
      </c>
      <c r="AB23" s="10">
        <f>IF(A23&lt;&gt;"",RANK(AA23,All_Student_XC),"")</f>
        <v>145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>
        <f>IF(A23&lt;&gt;"",SUM(W23:X23,$W$8:$X$8)/SUM($W$2:$X$2)*100,"")</f>
        <v>100</v>
      </c>
      <c r="AF23" s="32" t="str">
        <f>IF(A23&lt;&gt;"",CHOOSE(10-MIN(9,TRUNC((AE23+0.5)/10)),"A","B","C","D","F","F","F","F","F","F"),"")</f>
        <v>A</v>
      </c>
      <c r="AG23" s="32" t="str">
        <f>IF(A23&lt;&gt;"",IF(OR(AE23+0.5&gt;=93,AE23+0.5&lt;60),"",IF(MOD(AE23+0.5,10)&gt;=7,"+",IF(MOD(AE23+0.5,10)&lt;3,"-",""))),"")</f>
        <v/>
      </c>
      <c r="AH23" s="36">
        <f>IF(A23&lt;&gt;"",MIN(MAX(AA23,AE23),AA23+$AH$8,AE23+$AH$8),"")</f>
        <v>100</v>
      </c>
      <c r="AI23" s="32" t="str">
        <f>IF(A23&lt;&gt;"",CHOOSE(10-MIN(9,TRUNC((AH23+0.5)/10)),"A","B","C","D","F","F","F","F","F","F"),"")</f>
        <v>A</v>
      </c>
      <c r="AJ23" s="32" t="str">
        <f>IF(A23&lt;&gt;"",IF(OR(AH23+0.5&gt;=93,AH23+0.5&lt;60),"",IF(MOD(AH23+0.5,10)&gt;=7,"+",IF(MOD(AH23+0.5,10)&lt;3,"-",""))),"")</f>
        <v/>
      </c>
      <c r="AK23" s="71" t="b">
        <f>IF(A23&lt;&gt;"",OR(AI23&lt;&gt;AC23,AJ23&lt;&gt;AD23),"")</f>
        <v>0</v>
      </c>
      <c r="AL23" s="86">
        <f>IF(AND(A23&lt;&gt;"",U23&lt;&gt;""),SUM(U23,$AL$8)/$AL$2*100,"")</f>
        <v>90.666666666666657</v>
      </c>
      <c r="AM23" s="71">
        <f>IF(AND(A23&lt;&gt;"",V23&lt;&gt;""),SUM(V23,$AM$8)/$AM$2*100,"")</f>
        <v>103.07692307692307</v>
      </c>
      <c r="AN23" s="71">
        <f>IF(AND(A23&lt;&gt;"",ISNUMBER(P23),P23&gt;=0),SUM(P23,$AN$8)/$AN$2*100,"")</f>
        <v>100</v>
      </c>
      <c r="AO23" s="71" t="str">
        <f>IF(AND(A23&lt;&gt;"",ISNUMBER(Q23),Q23&gt;=0),SUM(Q23,$AO$8)/$AO$2*100,"")</f>
        <v/>
      </c>
      <c r="AP23" s="24" t="str">
        <f>IF(AND(A23&lt;&gt;"",R23&lt;&gt;""),SUM(R23,$AP$8)/$AP$2*100,"")</f>
        <v/>
      </c>
      <c r="AQ23" s="24">
        <f>IF(AND(A23&lt;&gt;"",ISNUMBER(W23),W23&gt;=0),SUM(W23,$AQ$8)/$AQ$2*100,"")</f>
        <v>100</v>
      </c>
      <c r="AR23" s="24" t="str">
        <f>IF(AND(A23&lt;&gt;"",T23&gt;0,ISNUMBER(T23)),SUM(T23,$AR$8)/$AR$2*100,"")</f>
        <v/>
      </c>
      <c r="AS23" s="24" t="str">
        <f>IF(AND(A23&lt;&gt;"",X23&lt;&gt;""),SUM(X23,$AS$8)/$AS$2*100,"")</f>
        <v/>
      </c>
      <c r="AT23" s="89">
        <f>IF(AND(A23&lt;&gt;"",OR(ISNUMBER(W23),ISNUMBER(X23))),SUM(W23:X23,$AT$8)/$AT$2*100,"")</f>
        <v>100</v>
      </c>
      <c r="AU23" s="24">
        <f>AA23</f>
        <v>99.344262295081961</v>
      </c>
      <c r="AV23" s="71"/>
      <c r="AW23" s="27">
        <f>IF(A23&lt;&gt;"",AE23-AA23,"")</f>
        <v>0.65573770491803884</v>
      </c>
      <c r="AY23" s="27" t="b">
        <f>S23&gt;R23</f>
        <v>0</v>
      </c>
      <c r="BA23" s="27" t="e">
        <f>AND(AA23&gt;$BA$3,(W23+$W$8)/$W$2&lt;$BB$3,(X23+$X$8)/$X$2&lt;$BB$3)</f>
        <v>#VALUE!</v>
      </c>
      <c r="BB23" s="27" t="e">
        <f>AND(AA23&lt;$BA$3,AND(W23/$W$2&gt;$BB$3,X23/$X$2&gt;$BB$3))</f>
        <v>#VALUE!</v>
      </c>
      <c r="BC23" s="27" t="e">
        <f>AND(AA23&lt;$BA$3,OR(W23/$W$2&gt;$BB$3,X23/$X$2&gt;$BB$3))</f>
        <v>#VALUE!</v>
      </c>
      <c r="BE23" s="32" t="s">
        <v>85</v>
      </c>
    </row>
    <row r="24" spans="1:58" s="27" customFormat="1" ht="12.75" customHeight="1" x14ac:dyDescent="0.2">
      <c r="A24" s="10">
        <v>32693</v>
      </c>
      <c r="B24" s="2">
        <v>24</v>
      </c>
      <c r="C24" s="10">
        <v>24</v>
      </c>
      <c r="D24" s="10">
        <v>25</v>
      </c>
      <c r="E24" s="10"/>
      <c r="F24" s="10"/>
      <c r="G24" s="10"/>
      <c r="H24" s="10"/>
      <c r="I24" s="10"/>
      <c r="J24" s="2">
        <v>30</v>
      </c>
      <c r="K24" s="10">
        <v>52</v>
      </c>
      <c r="L24" s="10">
        <v>52</v>
      </c>
      <c r="M24" s="10"/>
      <c r="N24" s="93"/>
      <c r="O24" s="13"/>
      <c r="P24" s="10">
        <v>101</v>
      </c>
      <c r="Q24" s="10"/>
      <c r="R24" s="2"/>
      <c r="S24" s="10"/>
      <c r="T24" s="13"/>
      <c r="U24" s="1">
        <f t="array" ref="U24">IF(AND(A24&lt;&gt;"",OR(ISNUMBER(B24:I24))),SUM(B24:I24),"")</f>
        <v>73</v>
      </c>
      <c r="V24" s="10">
        <f t="array" ref="V24">IF(AND(A24&lt;&gt;"",OR(ISNUMBER(J24:O24))),SUM(J24:O24),"")</f>
        <v>134</v>
      </c>
      <c r="W24" s="10">
        <f t="array" ref="W24">IF(AND(A24&lt;&gt;"",OR(ISNUMBER(P24),ISNUMBER(Q24))),SUM(MAX(P24:Q24),Q24),"")</f>
        <v>101</v>
      </c>
      <c r="X24" s="10" t="str">
        <f t="array" ref="X24">IF(AND(A24&lt;&gt;"",OR(ISNUMBER(S24),ISNUMBER(T24))),SUM(S24,T24),"")</f>
        <v/>
      </c>
      <c r="Y24" s="13">
        <v>1</v>
      </c>
      <c r="Z24" s="13">
        <f>IF(A24&lt;&gt;"",SUM(U24:Y24),"")</f>
        <v>309</v>
      </c>
      <c r="AA24" s="27">
        <f>IF(A24&lt;&gt;"",(Z24+Normalize_To_Add)/(Point_Total_So_Far)*100,"")</f>
        <v>101.31147540983608</v>
      </c>
      <c r="AB24" s="10">
        <f>IF(A24&lt;&gt;"",RANK(AA24,All_Student_XC),"")</f>
        <v>35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>
        <f>IF(A24&lt;&gt;"",SUM(W24:X24,$W$8:$X$8)/SUM($W$2:$X$2)*100,"")</f>
        <v>101</v>
      </c>
      <c r="AF24" s="32" t="str">
        <f>IF(A24&lt;&gt;"",CHOOSE(10-MIN(9,TRUNC((AE24+0.5)/10)),"A","B","C","D","F","F","F","F","F","F"),"")</f>
        <v>A</v>
      </c>
      <c r="AG24" s="32" t="str">
        <f>IF(A24&lt;&gt;"",IF(OR(AE24+0.5&gt;=93,AE24+0.5&lt;60),"",IF(MOD(AE24+0.5,10)&gt;=7,"+",IF(MOD(AE24+0.5,10)&lt;3,"-",""))),"")</f>
        <v/>
      </c>
      <c r="AH24" s="36">
        <f>IF(A24&lt;&gt;"",MIN(MAX(AA24,AE24),AA24+$AH$8,AE24+$AH$8),"")</f>
        <v>101.31147540983608</v>
      </c>
      <c r="AI24" s="32" t="str">
        <f>IF(A24&lt;&gt;"",CHOOSE(10-MIN(9,TRUNC((AH24+0.5)/10)),"A","B","C","D","F","F","F","F","F","F"),"")</f>
        <v>A</v>
      </c>
      <c r="AJ24" s="32" t="str">
        <f>IF(A24&lt;&gt;"",IF(OR(AH24+0.5&gt;=93,AH24+0.5&lt;60),"",IF(MOD(AH24+0.5,10)&gt;=7,"+",IF(MOD(AH24+0.5,10)&lt;3,"-",""))),"")</f>
        <v/>
      </c>
      <c r="AK24" s="71" t="b">
        <f>IF(A24&lt;&gt;"",OR(AI24&lt;&gt;AC24,AJ24&lt;&gt;AD24),"")</f>
        <v>0</v>
      </c>
      <c r="AL24" s="86">
        <f>IF(AND(A24&lt;&gt;"",U24&lt;&gt;""),SUM(U24,$AL$8)/$AL$2*100,"")</f>
        <v>97.333333333333343</v>
      </c>
      <c r="AM24" s="71">
        <f>IF(AND(A24&lt;&gt;"",V24&lt;&gt;""),SUM(V24,$AM$8)/$AM$2*100,"")</f>
        <v>103.07692307692307</v>
      </c>
      <c r="AN24" s="71">
        <f>IF(AND(A24&lt;&gt;"",ISNUMBER(P24),P24&gt;=0),SUM(P24,$AN$8)/$AN$2*100,"")</f>
        <v>101</v>
      </c>
      <c r="AO24" s="71" t="str">
        <f>IF(AND(A24&lt;&gt;"",ISNUMBER(Q24),Q24&gt;=0),SUM(Q24,$AO$8)/$AO$2*100,"")</f>
        <v/>
      </c>
      <c r="AP24" s="24" t="str">
        <f>IF(AND(A24&lt;&gt;"",R24&lt;&gt;""),SUM(R24,$AP$8)/$AP$2*100,"")</f>
        <v/>
      </c>
      <c r="AQ24" s="24">
        <f>IF(AND(A24&lt;&gt;"",ISNUMBER(W24),W24&gt;=0),SUM(W24,$AQ$8)/$AQ$2*100,"")</f>
        <v>101</v>
      </c>
      <c r="AR24" s="24" t="str">
        <f>IF(AND(A24&lt;&gt;"",T24&gt;0,ISNUMBER(T24)),SUM(T24,$AR$8)/$AR$2*100,"")</f>
        <v/>
      </c>
      <c r="AS24" s="24" t="str">
        <f>IF(AND(A24&lt;&gt;"",X24&lt;&gt;""),SUM(X24,$AS$8)/$AS$2*100,"")</f>
        <v/>
      </c>
      <c r="AT24" s="89">
        <f>IF(AND(A24&lt;&gt;"",OR(ISNUMBER(W24),ISNUMBER(X24))),SUM(W24:X24,$AT$8)/$AT$2*100,"")</f>
        <v>101</v>
      </c>
      <c r="AU24" s="24">
        <f>AA24</f>
        <v>101.31147540983608</v>
      </c>
      <c r="AV24" s="71"/>
      <c r="AW24" s="27">
        <f>IF(A24&lt;&gt;"",AE24-AA24,"")</f>
        <v>-0.31147540983607769</v>
      </c>
      <c r="AY24" s="27" t="b">
        <f>S24&gt;R24</f>
        <v>0</v>
      </c>
      <c r="BA24" s="27" t="e">
        <f>AND(AA24&gt;$BA$3,(W24+$W$8)/$W$2&lt;$BB$3,(X24+$X$8)/$X$2&lt;$BB$3)</f>
        <v>#VALUE!</v>
      </c>
      <c r="BB24" s="27" t="e">
        <f>AND(AA24&lt;$BA$3,AND(W24/$W$2&gt;$BB$3,X24/$X$2&gt;$BB$3))</f>
        <v>#VALUE!</v>
      </c>
      <c r="BC24" s="27" t="e">
        <f>AND(AA24&lt;$BA$3,OR(W24/$W$2&gt;$BB$3,X24/$X$2&gt;$BB$3))</f>
        <v>#VALUE!</v>
      </c>
      <c r="BE24" s="32" t="s">
        <v>84</v>
      </c>
    </row>
    <row r="25" spans="1:58" s="27" customFormat="1" ht="12.75" customHeight="1" x14ac:dyDescent="0.2">
      <c r="A25" s="10">
        <v>36307</v>
      </c>
      <c r="B25" s="2">
        <v>21</v>
      </c>
      <c r="C25" s="10">
        <v>23</v>
      </c>
      <c r="D25" s="10">
        <v>22</v>
      </c>
      <c r="E25" s="10"/>
      <c r="F25" s="10"/>
      <c r="G25" s="10"/>
      <c r="H25" s="10"/>
      <c r="I25" s="10"/>
      <c r="J25" s="2">
        <v>29</v>
      </c>
      <c r="K25" s="10">
        <v>52</v>
      </c>
      <c r="L25" s="10">
        <v>50</v>
      </c>
      <c r="M25" s="10"/>
      <c r="N25" s="10"/>
      <c r="O25" s="12"/>
      <c r="P25" s="7">
        <v>101</v>
      </c>
      <c r="Q25" s="7"/>
      <c r="R25" s="2"/>
      <c r="S25" s="10"/>
      <c r="T25" s="13"/>
      <c r="U25" s="77">
        <f t="array" ref="U25">IF(AND(A25&lt;&gt;"",OR(ISNUMBER(B25:I25))),SUM(B25:I25),"")</f>
        <v>66</v>
      </c>
      <c r="V25" s="10">
        <f t="array" ref="V25">IF(AND(A25&lt;&gt;"",OR(ISNUMBER(J25:O25))),SUM(J25:O25),"")</f>
        <v>131</v>
      </c>
      <c r="W25" s="10">
        <f t="array" ref="W25">IF(AND(A25&lt;&gt;"",OR(ISNUMBER(P25),ISNUMBER(Q25))),SUM(MAX(P25:Q25),Q25),"")</f>
        <v>101</v>
      </c>
      <c r="X25" s="10" t="str">
        <f t="array" ref="X25">IF(AND(A25&lt;&gt;"",OR(ISNUMBER(S25),ISNUMBER(T25))),SUM(S25,T25),"")</f>
        <v/>
      </c>
      <c r="Y25" s="13">
        <v>1</v>
      </c>
      <c r="Z25" s="13">
        <f>IF(A25&lt;&gt;"",SUM(U25:Y25),"")</f>
        <v>299</v>
      </c>
      <c r="AA25" s="27">
        <f>IF(A25&lt;&gt;"",(Z25+Normalize_To_Add)/(Point_Total_So_Far)*100,"")</f>
        <v>98.032786885245898</v>
      </c>
      <c r="AB25" s="10">
        <f>IF(A25&lt;&gt;"",RANK(AA25,All_Student_XC),"")</f>
        <v>195</v>
      </c>
      <c r="AC25" s="32" t="str">
        <f>IF(A25&lt;&gt;"",CHOOSE(10-MIN(9,TRUNC((AA25+0.5)/10)),"A","B","C","D","F","F","F","F","F","F"),"")</f>
        <v>A</v>
      </c>
      <c r="AD25" s="32" t="str">
        <f>IF(A25&lt;&gt;"",IF(OR(AA25+0.5&gt;=93,AA25+0.5&lt;60),"",IF(MOD(AA25+0.5,10)&gt;=7,"+",IF(MOD(AA25+0.5,10)&lt;3,"-",""))),"")</f>
        <v/>
      </c>
      <c r="AE25" s="32">
        <f>IF(A25&lt;&gt;"",SUM(W25:X25,$W$8:$X$8)/SUM($W$2:$X$2)*100,"")</f>
        <v>101</v>
      </c>
      <c r="AF25" s="32" t="str">
        <f>IF(A25&lt;&gt;"",CHOOSE(10-MIN(9,TRUNC((AE25+0.5)/10)),"A","B","C","D","F","F","F","F","F","F"),"")</f>
        <v>A</v>
      </c>
      <c r="AG25" s="32" t="str">
        <f>IF(A25&lt;&gt;"",IF(OR(AE25+0.5&gt;=93,AE25+0.5&lt;60),"",IF(MOD(AE25+0.5,10)&gt;=7,"+",IF(MOD(AE25+0.5,10)&lt;3,"-",""))),"")</f>
        <v/>
      </c>
      <c r="AH25" s="36">
        <f>IF(A25&lt;&gt;"",MIN(MAX(AA25,AE25),AA25+$AH$8,AE25+$AH$8),"")</f>
        <v>101</v>
      </c>
      <c r="AI25" s="32" t="str">
        <f>IF(A25&lt;&gt;"",CHOOSE(10-MIN(9,TRUNC((AH25+0.5)/10)),"A","B","C","D","F","F","F","F","F","F"),"")</f>
        <v>A</v>
      </c>
      <c r="AJ25" s="32" t="str">
        <f>IF(A25&lt;&gt;"",IF(OR(AH25+0.5&gt;=93,AH25+0.5&lt;60),"",IF(MOD(AH25+0.5,10)&gt;=7,"+",IF(MOD(AH25+0.5,10)&lt;3,"-",""))),"")</f>
        <v/>
      </c>
      <c r="AK25" s="32" t="b">
        <f>IF(A25&lt;&gt;"",OR(AI25&lt;&gt;AC25,AJ25&lt;&gt;AD25),"")</f>
        <v>0</v>
      </c>
      <c r="AL25" s="84">
        <f>IF(AND(A25&lt;&gt;"",U25&lt;&gt;""),SUM(U25,$AL$8)/$AL$2*100,"")</f>
        <v>88</v>
      </c>
      <c r="AM25" s="24">
        <f>IF(AND(A25&lt;&gt;"",V25&lt;&gt;""),SUM(V25,$AM$8)/$AM$2*100,"")</f>
        <v>100.76923076923077</v>
      </c>
      <c r="AN25" s="24">
        <f>IF(AND(A25&lt;&gt;"",ISNUMBER(P25),P25&gt;=0),SUM(P25,$AN$8)/$AN$2*100,"")</f>
        <v>101</v>
      </c>
      <c r="AO25" s="24" t="str">
        <f>IF(AND(A25&lt;&gt;"",ISNUMBER(Q25),Q25&gt;=0),SUM(Q25,$AO$8)/$AO$2*100,"")</f>
        <v/>
      </c>
      <c r="AP25" s="24" t="str">
        <f>IF(AND(A25&lt;&gt;"",R25&lt;&gt;""),SUM(R25,$AP$8)/$AP$2*100,"")</f>
        <v/>
      </c>
      <c r="AQ25" s="24">
        <f>IF(AND(A25&lt;&gt;"",ISNUMBER(W25),W25&gt;=0),SUM(W25,$AQ$8)/$AQ$2*100,"")</f>
        <v>101</v>
      </c>
      <c r="AR25" s="24" t="str">
        <f>IF(AND(A25&lt;&gt;"",T25&gt;0,ISNUMBER(T25)),SUM(T25,$AR$8)/$AR$2*100,"")</f>
        <v/>
      </c>
      <c r="AS25" s="24" t="str">
        <f>IF(AND(A25&lt;&gt;"",X25&lt;&gt;""),SUM(X25,$AS$8)/$AS$2*100,"")</f>
        <v/>
      </c>
      <c r="AT25" s="89">
        <f>IF(AND(A25&lt;&gt;"",OR(ISNUMBER(W25),ISNUMBER(X25))),SUM(W25:X25,$AT$8)/$AT$2*100,"")</f>
        <v>101</v>
      </c>
      <c r="AU25" s="24">
        <f>AA25</f>
        <v>98.032786885245898</v>
      </c>
      <c r="AV25" s="24"/>
      <c r="AW25" s="27">
        <f>IF(A25&lt;&gt;"",AE25-AA25,"")</f>
        <v>2.9672131147541023</v>
      </c>
      <c r="AY25" s="27" t="b">
        <f>S25&gt;R25</f>
        <v>0</v>
      </c>
      <c r="BA25" s="27" t="e">
        <f>AND(AA25&gt;$BA$3,(W25+$W$8)/$W$2&lt;$BB$3,(X25+$X$8)/$X$2&lt;$BB$3)</f>
        <v>#VALUE!</v>
      </c>
      <c r="BB25" s="27" t="e">
        <f>AND(AA25&lt;$BA$3,AND(W25/$W$2&gt;$BB$3,X25/$X$2&gt;$BB$3))</f>
        <v>#VALUE!</v>
      </c>
      <c r="BC25" s="27" t="e">
        <f>AND(AA25&lt;$BA$3,OR(W25/$W$2&gt;$BB$3,X25/$X$2&gt;$BB$3))</f>
        <v>#VALUE!</v>
      </c>
      <c r="BE25" s="32" t="s">
        <v>84</v>
      </c>
    </row>
    <row r="26" spans="1:58" s="27" customFormat="1" ht="12.75" customHeight="1" x14ac:dyDescent="0.2">
      <c r="A26" s="10">
        <v>37911</v>
      </c>
      <c r="B26" s="2">
        <v>25</v>
      </c>
      <c r="C26" s="10">
        <v>25</v>
      </c>
      <c r="D26" s="10">
        <v>25</v>
      </c>
      <c r="E26" s="10"/>
      <c r="F26" s="10"/>
      <c r="G26" s="3"/>
      <c r="H26" s="10"/>
      <c r="I26" s="10"/>
      <c r="J26" s="2">
        <v>26</v>
      </c>
      <c r="K26" s="10">
        <v>52</v>
      </c>
      <c r="L26" s="10">
        <v>51</v>
      </c>
      <c r="M26" s="10"/>
      <c r="N26" s="93"/>
      <c r="O26" s="12"/>
      <c r="P26" s="10">
        <v>101</v>
      </c>
      <c r="Q26" s="41"/>
      <c r="R26" s="2"/>
      <c r="S26" s="10"/>
      <c r="T26" s="13"/>
      <c r="U26" s="7">
        <f t="array" ref="U26">IF(AND(A26&lt;&gt;"",OR(ISNUMBER(B26:I26))),SUM(B26:I26),"")</f>
        <v>75</v>
      </c>
      <c r="V26" s="10">
        <f t="array" ref="V26">IF(AND(A26&lt;&gt;"",OR(ISNUMBER(J26:O26))),SUM(J26:O26),"")</f>
        <v>129</v>
      </c>
      <c r="W26" s="10">
        <f t="array" ref="W26">IF(AND(A26&lt;&gt;"",OR(ISNUMBER(P26),ISNUMBER(Q26))),SUM(MAX(P26:Q26),Q26),"")</f>
        <v>101</v>
      </c>
      <c r="X26" s="10" t="str">
        <f t="array" ref="X26">IF(AND(A26&lt;&gt;"",OR(ISNUMBER(S26),ISNUMBER(T26))),SUM(S26,T26),"")</f>
        <v/>
      </c>
      <c r="Y26" s="13">
        <v>1</v>
      </c>
      <c r="Z26" s="13">
        <f>IF(A26&lt;&gt;"",SUM(U26:Y26),"")</f>
        <v>306</v>
      </c>
      <c r="AA26" s="27">
        <f>IF(A26&lt;&gt;"",(Z26+Normalize_To_Add)/(Point_Total_So_Far)*100,"")</f>
        <v>100.32786885245901</v>
      </c>
      <c r="AB26" s="10">
        <f>IF(A26&lt;&gt;"",RANK(AA26,All_Student_XC),"")</f>
        <v>99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>
        <f>IF(A26&lt;&gt;"",SUM(W26:X26,$W$8:$X$8)/SUM($W$2:$X$2)*100,"")</f>
        <v>101</v>
      </c>
      <c r="AF26" s="32" t="str">
        <f>IF(A26&lt;&gt;"",CHOOSE(10-MIN(9,TRUNC((AE26+0.5)/10)),"A","B","C","D","F","F","F","F","F","F"),"")</f>
        <v>A</v>
      </c>
      <c r="AG26" s="32" t="str">
        <f>IF(A26&lt;&gt;"",IF(OR(AE26+0.5&gt;=93,AE26+0.5&lt;60),"",IF(MOD(AE26+0.5,10)&gt;=7,"+",IF(MOD(AE26+0.5,10)&lt;3,"-",""))),"")</f>
        <v/>
      </c>
      <c r="AH26" s="36">
        <f>IF(A26&lt;&gt;"",MIN(MAX(AA26,AE26),AA26+$AH$8,AE26+$AH$8),"")</f>
        <v>101</v>
      </c>
      <c r="AI26" s="32" t="str">
        <f>IF(A26&lt;&gt;"",CHOOSE(10-MIN(9,TRUNC((AH26+0.5)/10)),"A","B","C","D","F","F","F","F","F","F"),"")</f>
        <v>A</v>
      </c>
      <c r="AJ26" s="32" t="str">
        <f>IF(A26&lt;&gt;"",IF(OR(AH26+0.5&gt;=93,AH26+0.5&lt;60),"",IF(MOD(AH26+0.5,10)&gt;=7,"+",IF(MOD(AH26+0.5,10)&lt;3,"-",""))),"")</f>
        <v/>
      </c>
      <c r="AK26" s="32" t="b">
        <f>IF(A26&lt;&gt;"",OR(AI26&lt;&gt;AC26,AJ26&lt;&gt;AD26),"")</f>
        <v>0</v>
      </c>
      <c r="AL26" s="84">
        <f>IF(AND(A26&lt;&gt;"",U26&lt;&gt;""),SUM(U26,$AL$8)/$AL$2*100,"")</f>
        <v>100</v>
      </c>
      <c r="AM26" s="24">
        <f>IF(AND(A26&lt;&gt;"",V26&lt;&gt;""),SUM(V26,$AM$8)/$AM$2*100,"")</f>
        <v>99.230769230769226</v>
      </c>
      <c r="AN26" s="24">
        <f>IF(AND(A26&lt;&gt;"",ISNUMBER(P26),P26&gt;=0),SUM(P26,$AN$8)/$AN$2*100,"")</f>
        <v>101</v>
      </c>
      <c r="AO26" s="24" t="str">
        <f>IF(AND(A26&lt;&gt;"",ISNUMBER(Q26),Q26&gt;=0),SUM(Q26,$AO$8)/$AO$2*100,"")</f>
        <v/>
      </c>
      <c r="AP26" s="24" t="str">
        <f>IF(AND(A26&lt;&gt;"",R26&lt;&gt;""),SUM(R26,$AP$8)/$AP$2*100,"")</f>
        <v/>
      </c>
      <c r="AQ26" s="24">
        <f>IF(AND(A26&lt;&gt;"",ISNUMBER(W26),W26&gt;=0),SUM(W26,$AQ$8)/$AQ$2*100,"")</f>
        <v>101</v>
      </c>
      <c r="AR26" s="24" t="str">
        <f>IF(AND(A26&lt;&gt;"",T26&gt;0,ISNUMBER(T26)),SUM(T26,$AR$8)/$AR$2*100,"")</f>
        <v/>
      </c>
      <c r="AS26" s="24" t="str">
        <f>IF(AND(A26&lt;&gt;"",X26&lt;&gt;""),SUM(X26,$AS$8)/$AS$2*100,"")</f>
        <v/>
      </c>
      <c r="AT26" s="89">
        <f>IF(AND(A26&lt;&gt;"",OR(ISNUMBER(W26),ISNUMBER(X26))),SUM(W26:X26,$AT$8)/$AT$2*100,"")</f>
        <v>101</v>
      </c>
      <c r="AU26" s="24">
        <f>AA26</f>
        <v>100.32786885245901</v>
      </c>
      <c r="AV26" s="24"/>
      <c r="AW26" s="27">
        <f>IF(A26&lt;&gt;"",AE26-AA26,"")</f>
        <v>0.67213114754099479</v>
      </c>
      <c r="AY26" s="27" t="b">
        <f>S26&gt;R26</f>
        <v>0</v>
      </c>
      <c r="BA26" s="27" t="e">
        <f>AND(AA26&gt;$BA$3,(W26+$W$8)/$W$2&lt;$BB$3,(X26+$X$8)/$X$2&lt;$BB$3)</f>
        <v>#VALUE!</v>
      </c>
      <c r="BB26" s="27" t="e">
        <f>AND(AA26&lt;$BA$3,AND(W26/$W$2&gt;$BB$3,X26/$X$2&gt;$BB$3))</f>
        <v>#VALUE!</v>
      </c>
      <c r="BC26" s="27" t="e">
        <f>AND(AA26&lt;$BA$3,OR(W26/$W$2&gt;$BB$3,X26/$X$2&gt;$BB$3))</f>
        <v>#VALUE!</v>
      </c>
      <c r="BE26" s="32" t="s">
        <v>84</v>
      </c>
    </row>
    <row r="27" spans="1:58" s="27" customFormat="1" ht="12.75" customHeight="1" x14ac:dyDescent="0.2">
      <c r="A27" s="10">
        <v>38910</v>
      </c>
      <c r="B27" s="2" t="s">
        <v>67</v>
      </c>
      <c r="C27" s="10" t="s">
        <v>67</v>
      </c>
      <c r="D27" s="10" t="s">
        <v>67</v>
      </c>
      <c r="E27" s="10"/>
      <c r="F27" s="10"/>
      <c r="G27" s="3"/>
      <c r="H27" s="10"/>
      <c r="I27" s="10"/>
      <c r="J27" s="2" t="s">
        <v>67</v>
      </c>
      <c r="K27" s="10" t="s">
        <v>67</v>
      </c>
      <c r="L27" s="10" t="s">
        <v>67</v>
      </c>
      <c r="M27" s="56"/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>IF(A27&lt;&gt;"",SUM(U27:Y27),"")</f>
        <v>0</v>
      </c>
      <c r="AA27" s="27">
        <f>IF(A27&lt;&gt;"",(Z27+Normalize_To_Add)/(Point_Total_So_Far)*100,"")</f>
        <v>0</v>
      </c>
      <c r="AB27" s="10">
        <f>IF(A27&lt;&gt;"",RANK(AA27,All_Student_XC),"")</f>
        <v>516</v>
      </c>
      <c r="AC27" s="32" t="str">
        <f>IF(A27&lt;&gt;"",CHOOSE(10-MIN(9,TRUNC((AA27+0.5)/10)),"A","B","C","D","F","F","F","F","F","F"),"")</f>
        <v>F</v>
      </c>
      <c r="AD27" s="32" t="str">
        <f>IF(A27&lt;&gt;"",IF(OR(AA27+0.5&gt;=93,AA27+0.5&lt;60),"",IF(MOD(AA27+0.5,10)&gt;=7,"+",IF(MOD(AA27+0.5,10)&lt;3,"-",""))),"")</f>
        <v/>
      </c>
      <c r="AE27" s="32">
        <f>IF(A27&lt;&gt;"",SUM(W27:X27,$W$8:$X$8)/SUM($W$2:$X$2)*100,"")</f>
        <v>0</v>
      </c>
      <c r="AF27" s="32" t="str">
        <f>IF(A27&lt;&gt;"",CHOOSE(10-MIN(9,TRUNC((AE27+0.5)/10)),"A","B","C","D","F","F","F","F","F","F"),"")</f>
        <v>F</v>
      </c>
      <c r="AG27" s="32" t="str">
        <f>IF(A27&lt;&gt;"",IF(OR(AE27+0.5&gt;=93,AE27+0.5&lt;60),"",IF(MOD(AE27+0.5,10)&gt;=7,"+",IF(MOD(AE27+0.5,10)&lt;3,"-",""))),"")</f>
        <v/>
      </c>
      <c r="AH27" s="36">
        <f>IF(A27&lt;&gt;"",MIN(MAX(AA27,AE27),AA27+$AH$8,AE27+$AH$8),"")</f>
        <v>0</v>
      </c>
      <c r="AI27" s="32" t="str">
        <f>IF(A27&lt;&gt;"",CHOOSE(10-MIN(9,TRUNC((AH27+0.5)/10)),"A","B","C","D","F","F","F","F","F","F"),"")</f>
        <v>F</v>
      </c>
      <c r="AJ27" s="32" t="str">
        <f>IF(A27&lt;&gt;"",IF(OR(AH27+0.5&gt;=93,AH27+0.5&lt;60),"",IF(MOD(AH27+0.5,10)&gt;=7,"+",IF(MOD(AH27+0.5,10)&lt;3,"-",""))),"")</f>
        <v/>
      </c>
      <c r="AK27" s="32" t="b">
        <f>IF(A27&lt;&gt;"",OR(AI27&lt;&gt;AC27,AJ27&lt;&gt;AD27),"")</f>
        <v>0</v>
      </c>
      <c r="AL27" s="84" t="str">
        <f>IF(AND(A27&lt;&gt;"",U27&lt;&gt;""),SUM(U27,$AL$8)/$AL$2*100,"")</f>
        <v/>
      </c>
      <c r="AM27" s="24" t="str">
        <f>IF(AND(A27&lt;&gt;"",V27&lt;&gt;""),SUM(V27,$AM$8)/$AM$2*100,"")</f>
        <v/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9" t="str">
        <f>IF(AND(A27&lt;&gt;"",OR(ISNUMBER(W27),ISNUMBER(X27))),SUM(W27:X27,$AT$8)/$AT$2*100,"")</f>
        <v/>
      </c>
      <c r="AU27" s="24">
        <f>AA27</f>
        <v>0</v>
      </c>
      <c r="AV27" s="24"/>
      <c r="AW27" s="27">
        <f>IF(A27&lt;&gt;"",AE27-AA27,"")</f>
        <v>0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  <c r="BE27" s="32" t="s">
        <v>85</v>
      </c>
    </row>
    <row r="28" spans="1:58" s="27" customFormat="1" ht="12.75" customHeight="1" x14ac:dyDescent="0.2">
      <c r="A28" s="10">
        <v>39204</v>
      </c>
      <c r="B28" s="2">
        <v>22</v>
      </c>
      <c r="C28" s="10">
        <v>24</v>
      </c>
      <c r="D28" s="10">
        <v>25</v>
      </c>
      <c r="E28" s="10"/>
      <c r="F28" s="10"/>
      <c r="G28" s="3"/>
      <c r="H28" s="10"/>
      <c r="I28" s="10"/>
      <c r="J28" s="2">
        <v>30</v>
      </c>
      <c r="K28" s="10">
        <v>49</v>
      </c>
      <c r="L28" s="10">
        <v>49</v>
      </c>
      <c r="M28" s="10"/>
      <c r="N28" s="10"/>
      <c r="O28" s="12"/>
      <c r="P28" s="7">
        <v>101</v>
      </c>
      <c r="Q28" s="7"/>
      <c r="R28" s="2"/>
      <c r="S28" s="10"/>
      <c r="T28" s="13"/>
      <c r="U28" s="35">
        <f t="array" ref="U28">IF(AND(A28&lt;&gt;"",OR(ISNUMBER(B28:I28))),SUM(B28:I28),"")</f>
        <v>71</v>
      </c>
      <c r="V28" s="10">
        <f t="array" ref="V28">IF(AND(A28&lt;&gt;"",OR(ISNUMBER(J28:O28))),SUM(J28:O28),"")</f>
        <v>128</v>
      </c>
      <c r="W28" s="10">
        <f t="array" ref="W28">IF(AND(A28&lt;&gt;"",OR(ISNUMBER(P28),ISNUMBER(Q28))),SUM(MAX(P28:Q28),Q28),"")</f>
        <v>101</v>
      </c>
      <c r="X28" s="10" t="str">
        <f t="array" ref="X28">IF(AND(A28&lt;&gt;"",OR(ISNUMBER(S28),ISNUMBER(T28))),SUM(S28,T28),"")</f>
        <v/>
      </c>
      <c r="Y28" s="13">
        <v>1</v>
      </c>
      <c r="Z28" s="13">
        <f>IF(A28&lt;&gt;"",SUM(U28:Y28),"")</f>
        <v>301</v>
      </c>
      <c r="AA28" s="27">
        <f>IF(A28&lt;&gt;"",(Z28+Normalize_To_Add)/(Point_Total_So_Far)*100,"")</f>
        <v>98.688524590163937</v>
      </c>
      <c r="AB28" s="10">
        <f>IF(A28&lt;&gt;"",RANK(AA28,All_Student_XC),"")</f>
        <v>176</v>
      </c>
      <c r="AC28" s="32" t="str">
        <f>IF(A28&lt;&gt;"",CHOOSE(10-MIN(9,TRUNC((AA28+0.5)/10)),"A","B","C","D","F","F","F","F","F","F"),"")</f>
        <v>A</v>
      </c>
      <c r="AD28" s="32" t="str">
        <f>IF(A28&lt;&gt;"",IF(OR(AA28+0.5&gt;=93,AA28+0.5&lt;60),"",IF(MOD(AA28+0.5,10)&gt;=7,"+",IF(MOD(AA28+0.5,10)&lt;3,"-",""))),"")</f>
        <v/>
      </c>
      <c r="AE28" s="32">
        <f>IF(A28&lt;&gt;"",SUM(W28:X28,$W$8:$X$8)/SUM($W$2:$X$2)*100,"")</f>
        <v>101</v>
      </c>
      <c r="AF28" s="32" t="str">
        <f>IF(A28&lt;&gt;"",CHOOSE(10-MIN(9,TRUNC((AE28+0.5)/10)),"A","B","C","D","F","F","F","F","F","F"),"")</f>
        <v>A</v>
      </c>
      <c r="AG28" s="32" t="str">
        <f>IF(A28&lt;&gt;"",IF(OR(AE28+0.5&gt;=93,AE28+0.5&lt;60),"",IF(MOD(AE28+0.5,10)&gt;=7,"+",IF(MOD(AE28+0.5,10)&lt;3,"-",""))),"")</f>
        <v/>
      </c>
      <c r="AH28" s="36">
        <f>IF(A28&lt;&gt;"",MIN(MAX(AA28,AE28),AA28+$AH$8,AE28+$AH$8),"")</f>
        <v>101</v>
      </c>
      <c r="AI28" s="32" t="str">
        <f>IF(A28&lt;&gt;"",CHOOSE(10-MIN(9,TRUNC((AH28+0.5)/10)),"A","B","C","D","F","F","F","F","F","F"),"")</f>
        <v>A</v>
      </c>
      <c r="AJ28" s="32" t="str">
        <f>IF(A28&lt;&gt;"",IF(OR(AH28+0.5&gt;=93,AH28+0.5&lt;60),"",IF(MOD(AH28+0.5,10)&gt;=7,"+",IF(MOD(AH28+0.5,10)&lt;3,"-",""))),"")</f>
        <v/>
      </c>
      <c r="AK28" s="32" t="b">
        <f>IF(A28&lt;&gt;"",OR(AI28&lt;&gt;AC28,AJ28&lt;&gt;AD28),"")</f>
        <v>0</v>
      </c>
      <c r="AL28" s="84">
        <f>IF(AND(A28&lt;&gt;"",U28&lt;&gt;""),SUM(U28,$AL$8)/$AL$2*100,"")</f>
        <v>94.666666666666671</v>
      </c>
      <c r="AM28" s="24">
        <f>IF(AND(A28&lt;&gt;"",V28&lt;&gt;""),SUM(V28,$AM$8)/$AM$2*100,"")</f>
        <v>98.461538461538467</v>
      </c>
      <c r="AN28" s="24">
        <f>IF(AND(A28&lt;&gt;"",ISNUMBER(P28),P28&gt;=0),SUM(P28,$AN$8)/$AN$2*100,"")</f>
        <v>101</v>
      </c>
      <c r="AO28" s="24" t="str">
        <f>IF(AND(A28&lt;&gt;"",ISNUMBER(Q28),Q28&gt;=0),SUM(Q28,$AO$8)/$AO$2*100,"")</f>
        <v/>
      </c>
      <c r="AP28" s="24" t="str">
        <f>IF(AND(A28&lt;&gt;"",R28&lt;&gt;""),SUM(R28,$AP$8)/$AP$2*100,"")</f>
        <v/>
      </c>
      <c r="AQ28" s="24">
        <f>IF(AND(A28&lt;&gt;"",ISNUMBER(W28),W28&gt;=0),SUM(W28,$AQ$8)/$AQ$2*100,"")</f>
        <v>101</v>
      </c>
      <c r="AR28" s="24" t="str">
        <f>IF(AND(A28&lt;&gt;"",T28&gt;0,ISNUMBER(T28)),SUM(T28,$AR$8)/$AR$2*100,"")</f>
        <v/>
      </c>
      <c r="AS28" s="24" t="str">
        <f>IF(AND(A28&lt;&gt;"",X28&lt;&gt;""),SUM(X28,$AS$8)/$AS$2*100,"")</f>
        <v/>
      </c>
      <c r="AT28" s="89">
        <f>IF(AND(A28&lt;&gt;"",OR(ISNUMBER(W28),ISNUMBER(X28))),SUM(W28:X28,$AT$8)/$AT$2*100,"")</f>
        <v>101</v>
      </c>
      <c r="AU28" s="24">
        <f>AA28</f>
        <v>98.688524590163937</v>
      </c>
      <c r="AV28" s="24"/>
      <c r="AW28" s="27">
        <f>IF(A28&lt;&gt;"",AE28-AA28,"")</f>
        <v>2.3114754098360635</v>
      </c>
      <c r="AY28" s="27" t="b">
        <f>S28&gt;R28</f>
        <v>0</v>
      </c>
      <c r="BA28" s="27" t="e">
        <f>AND(AA28&gt;$BA$3,(W28+$W$8)/$W$2&lt;$BB$3,(X28+$X$8)/$X$2&lt;$BB$3)</f>
        <v>#VALUE!</v>
      </c>
      <c r="BB28" s="27" t="e">
        <f>AND(AA28&lt;$BA$3,AND(W28/$W$2&gt;$BB$3,X28/$X$2&gt;$BB$3))</f>
        <v>#VALUE!</v>
      </c>
      <c r="BC28" s="27" t="e">
        <f>AND(AA28&lt;$BA$3,OR(W28/$W$2&gt;$BB$3,X28/$X$2&gt;$BB$3))</f>
        <v>#VALUE!</v>
      </c>
      <c r="BE28" s="32">
        <v>32</v>
      </c>
    </row>
    <row r="29" spans="1:58" s="27" customFormat="1" ht="12.75" customHeight="1" x14ac:dyDescent="0.2">
      <c r="A29" s="10">
        <v>39364</v>
      </c>
      <c r="B29" s="2">
        <v>22</v>
      </c>
      <c r="C29" s="10">
        <v>21</v>
      </c>
      <c r="D29" s="10">
        <v>22</v>
      </c>
      <c r="E29" s="10"/>
      <c r="F29" s="10"/>
      <c r="G29" s="10"/>
      <c r="H29" s="10"/>
      <c r="I29" s="10"/>
      <c r="J29" s="2">
        <v>31</v>
      </c>
      <c r="K29" s="10">
        <v>50</v>
      </c>
      <c r="L29" s="10">
        <v>50</v>
      </c>
      <c r="M29" s="10"/>
      <c r="N29" s="93"/>
      <c r="O29" s="13"/>
      <c r="P29" s="10">
        <v>100</v>
      </c>
      <c r="Q29" s="10"/>
      <c r="R29" s="2"/>
      <c r="S29" s="10"/>
      <c r="T29" s="13"/>
      <c r="U29" s="7">
        <f t="array" ref="U29">IF(AND(A29&lt;&gt;"",OR(ISNUMBER(B29:I29))),SUM(B29:I29),"")</f>
        <v>65</v>
      </c>
      <c r="V29" s="10">
        <f t="array" ref="V29">IF(AND(A29&lt;&gt;"",OR(ISNUMBER(J29:O29))),SUM(J29:O29),"")</f>
        <v>131</v>
      </c>
      <c r="W29" s="10">
        <f t="array" ref="W29">IF(AND(A29&lt;&gt;"",OR(ISNUMBER(P29),ISNUMBER(Q29))),SUM(MAX(P29:Q29),Q29),"")</f>
        <v>100</v>
      </c>
      <c r="X29" s="10" t="str">
        <f t="array" ref="X29">IF(AND(A29&lt;&gt;"",OR(ISNUMBER(S29),ISNUMBER(T29))),SUM(S29,T29),"")</f>
        <v/>
      </c>
      <c r="Y29" s="13">
        <v>1</v>
      </c>
      <c r="Z29" s="13">
        <f>IF(A29&lt;&gt;"",SUM(U29:Y29),"")</f>
        <v>297</v>
      </c>
      <c r="AA29" s="27">
        <f>IF(A29&lt;&gt;"",(Z29+Normalize_To_Add)/(Point_Total_So_Far)*100,"")</f>
        <v>97.377049180327873</v>
      </c>
      <c r="AB29" s="10">
        <f>IF(A29&lt;&gt;"",RANK(AA29,All_Student_XC),"")</f>
        <v>224</v>
      </c>
      <c r="AC29" s="32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2">
        <f>IF(A29&lt;&gt;"",SUM(W29:X29,$W$8:$X$8)/SUM($W$2:$X$2)*100,"")</f>
        <v>100</v>
      </c>
      <c r="AF29" s="32" t="str">
        <f>IF(A29&lt;&gt;"",CHOOSE(10-MIN(9,TRUNC((AE29+0.5)/10)),"A","B","C","D","F","F","F","F","F","F"),"")</f>
        <v>A</v>
      </c>
      <c r="AG29" s="32" t="str">
        <f>IF(A29&lt;&gt;"",IF(OR(AE29+0.5&gt;=93,AE29+0.5&lt;60),"",IF(MOD(AE29+0.5,10)&gt;=7,"+",IF(MOD(AE29+0.5,10)&lt;3,"-",""))),"")</f>
        <v/>
      </c>
      <c r="AH29" s="36">
        <f>IF(A29&lt;&gt;"",MIN(MAX(AA29,AE29),AA29+$AH$8,AE29+$AH$8),"")</f>
        <v>100</v>
      </c>
      <c r="AI29" s="32" t="str">
        <f>IF(A29&lt;&gt;"",CHOOSE(10-MIN(9,TRUNC((AH29+0.5)/10)),"A","B","C","D","F","F","F","F","F","F"),"")</f>
        <v>A</v>
      </c>
      <c r="AJ29" s="32" t="str">
        <f>IF(A29&lt;&gt;"",IF(OR(AH29+0.5&gt;=93,AH29+0.5&lt;60),"",IF(MOD(AH29+0.5,10)&gt;=7,"+",IF(MOD(AH29+0.5,10)&lt;3,"-",""))),"")</f>
        <v/>
      </c>
      <c r="AK29" s="71" t="b">
        <f>IF(A29&lt;&gt;"",OR(AI29&lt;&gt;AC29,AJ29&lt;&gt;AD29),"")</f>
        <v>0</v>
      </c>
      <c r="AL29" s="86">
        <f>IF(AND(A29&lt;&gt;"",U29&lt;&gt;""),SUM(U29,$AL$8)/$AL$2*100,"")</f>
        <v>86.666666666666671</v>
      </c>
      <c r="AM29" s="71">
        <f>IF(AND(A29&lt;&gt;"",V29&lt;&gt;""),SUM(V29,$AM$8)/$AM$2*100,"")</f>
        <v>100.76923076923077</v>
      </c>
      <c r="AN29" s="71">
        <f>IF(AND(A29&lt;&gt;"",ISNUMBER(P29),P29&gt;=0),SUM(P29,$AN$8)/$AN$2*100,"")</f>
        <v>100</v>
      </c>
      <c r="AO29" s="71" t="str">
        <f>IF(AND(A29&lt;&gt;"",ISNUMBER(Q29),Q29&gt;=0),SUM(Q29,$AO$8)/$AO$2*100,"")</f>
        <v/>
      </c>
      <c r="AP29" s="24" t="str">
        <f>IF(AND(A29&lt;&gt;"",R29&lt;&gt;""),SUM(R29,$AP$8)/$AP$2*100,"")</f>
        <v/>
      </c>
      <c r="AQ29" s="24">
        <f>IF(AND(A29&lt;&gt;"",ISNUMBER(W29),W29&gt;=0),SUM(W29,$AQ$8)/$AQ$2*100,"")</f>
        <v>100</v>
      </c>
      <c r="AR29" s="24" t="str">
        <f>IF(AND(A29&lt;&gt;"",T29&gt;0,ISNUMBER(T29)),SUM(T29,$AR$8)/$AR$2*100,"")</f>
        <v/>
      </c>
      <c r="AS29" s="24" t="str">
        <f>IF(AND(A29&lt;&gt;"",X29&lt;&gt;""),SUM(X29,$AS$8)/$AS$2*100,"")</f>
        <v/>
      </c>
      <c r="AT29" s="89">
        <f>IF(AND(A29&lt;&gt;"",OR(ISNUMBER(W29),ISNUMBER(X29))),SUM(W29:X29,$AT$8)/$AT$2*100,"")</f>
        <v>100</v>
      </c>
      <c r="AU29" s="24">
        <f>AA29</f>
        <v>97.377049180327873</v>
      </c>
      <c r="AV29" s="71"/>
      <c r="AW29" s="27">
        <f>IF(A29&lt;&gt;"",AE29-AA29,"")</f>
        <v>2.622950819672127</v>
      </c>
      <c r="AY29" s="27" t="b">
        <f>S29&gt;R29</f>
        <v>0</v>
      </c>
      <c r="BA29" s="27" t="e">
        <f>AND(AA29&gt;$BA$3,(W29+$W$8)/$W$2&lt;$BB$3,(X29+$X$8)/$X$2&lt;$BB$3)</f>
        <v>#VALUE!</v>
      </c>
      <c r="BB29" s="27" t="e">
        <f>AND(AA29&lt;$BA$3,AND(W29/$W$2&gt;$BB$3,X29/$X$2&gt;$BB$3))</f>
        <v>#VALUE!</v>
      </c>
      <c r="BC29" s="27" t="e">
        <f>AND(AA29&lt;$BA$3,OR(W29/$W$2&gt;$BB$3,X29/$X$2&gt;$BB$3))</f>
        <v>#VALUE!</v>
      </c>
      <c r="BE29" s="32" t="s">
        <v>84</v>
      </c>
    </row>
    <row r="30" spans="1:58" s="27" customFormat="1" ht="12.75" customHeight="1" x14ac:dyDescent="0.2">
      <c r="A30" s="10">
        <v>40644</v>
      </c>
      <c r="B30" s="2">
        <v>16</v>
      </c>
      <c r="C30" s="10">
        <v>21</v>
      </c>
      <c r="D30" s="10">
        <v>20</v>
      </c>
      <c r="E30" s="10"/>
      <c r="F30" s="10"/>
      <c r="G30" s="10"/>
      <c r="H30" s="10"/>
      <c r="I30" s="10"/>
      <c r="J30" s="2">
        <v>27</v>
      </c>
      <c r="K30" s="10">
        <v>47</v>
      </c>
      <c r="L30" s="10">
        <v>45</v>
      </c>
      <c r="M30" s="10"/>
      <c r="N30" s="10"/>
      <c r="O30" s="12"/>
      <c r="P30" s="41">
        <v>30</v>
      </c>
      <c r="Q30" s="41"/>
      <c r="R30" s="2"/>
      <c r="S30" s="10"/>
      <c r="T30" s="13"/>
      <c r="U30" s="7">
        <f t="array" ref="U30">IF(AND(A30&lt;&gt;"",OR(ISNUMBER(B30:I30))),SUM(B30:I30),"")</f>
        <v>57</v>
      </c>
      <c r="V30" s="10">
        <f t="array" ref="V30">IF(AND(A30&lt;&gt;"",OR(ISNUMBER(J30:O30))),SUM(J30:O30),"")</f>
        <v>119</v>
      </c>
      <c r="W30" s="10">
        <f t="array" ref="W30">IF(AND(A30&lt;&gt;"",OR(ISNUMBER(P30),ISNUMBER(Q30))),SUM(MAX(P30:Q30),Q30),"")</f>
        <v>30</v>
      </c>
      <c r="X30" s="10" t="str">
        <f t="array" ref="X30">IF(AND(A30&lt;&gt;"",OR(ISNUMBER(S30),ISNUMBER(T30))),SUM(S30,T30),"")</f>
        <v/>
      </c>
      <c r="Y30" s="13">
        <v>1</v>
      </c>
      <c r="Z30" s="13">
        <f>IF(A30&lt;&gt;"",SUM(U30:Y30),"")</f>
        <v>207</v>
      </c>
      <c r="AA30" s="27">
        <f>IF(A30&lt;&gt;"",(Z30+Normalize_To_Add)/(Point_Total_So_Far)*100,"")</f>
        <v>67.868852459016395</v>
      </c>
      <c r="AB30" s="10">
        <f>IF(A30&lt;&gt;"",RANK(AA30,All_Student_XC),"")</f>
        <v>463</v>
      </c>
      <c r="AC30" s="32" t="str">
        <f>IF(A30&lt;&gt;"",CHOOSE(10-MIN(9,TRUNC((AA30+0.5)/10)),"A","B","C","D","F","F","F","F","F","F"),"")</f>
        <v>D</v>
      </c>
      <c r="AD30" s="32" t="str">
        <f>IF(A30&lt;&gt;"",IF(OR(AA30+0.5&gt;=93,AA30+0.5&lt;60),"",IF(MOD(AA30+0.5,10)&gt;=7,"+",IF(MOD(AA30+0.5,10)&lt;3,"-",""))),"")</f>
        <v>+</v>
      </c>
      <c r="AE30" s="32">
        <f>IF(A30&lt;&gt;"",SUM(W30:X30,$W$8:$X$8)/SUM($W$2:$X$2)*100,"")</f>
        <v>30</v>
      </c>
      <c r="AF30" s="32" t="str">
        <f>IF(A30&lt;&gt;"",CHOOSE(10-MIN(9,TRUNC((AE30+0.5)/10)),"A","B","C","D","F","F","F","F","F","F"),"")</f>
        <v>F</v>
      </c>
      <c r="AG30" s="32" t="str">
        <f>IF(A30&lt;&gt;"",IF(OR(AE30+0.5&gt;=93,AE30+0.5&lt;60),"",IF(MOD(AE30+0.5,10)&gt;=7,"+",IF(MOD(AE30+0.5,10)&lt;3,"-",""))),"")</f>
        <v/>
      </c>
      <c r="AH30" s="36">
        <f>IF(A30&lt;&gt;"",MIN(MAX(AA30,AE30),AA30+$AH$8,AE30+$AH$8),"")</f>
        <v>67.868852459016395</v>
      </c>
      <c r="AI30" s="32" t="str">
        <f>IF(A30&lt;&gt;"",CHOOSE(10-MIN(9,TRUNC((AH30+0.5)/10)),"A","B","C","D","F","F","F","F","F","F"),"")</f>
        <v>D</v>
      </c>
      <c r="AJ30" s="32" t="str">
        <f>IF(A30&lt;&gt;"",IF(OR(AH30+0.5&gt;=93,AH30+0.5&lt;60),"",IF(MOD(AH30+0.5,10)&gt;=7,"+",IF(MOD(AH30+0.5,10)&lt;3,"-",""))),"")</f>
        <v>+</v>
      </c>
      <c r="AK30" s="32" t="b">
        <f>IF(A30&lt;&gt;"",OR(AI30&lt;&gt;AC30,AJ30&lt;&gt;AD30),"")</f>
        <v>0</v>
      </c>
      <c r="AL30" s="84">
        <f>IF(AND(A30&lt;&gt;"",U30&lt;&gt;""),SUM(U30,$AL$8)/$AL$2*100,"")</f>
        <v>76</v>
      </c>
      <c r="AM30" s="24">
        <f>IF(AND(A30&lt;&gt;"",V30&lt;&gt;""),SUM(V30,$AM$8)/$AM$2*100,"")</f>
        <v>91.538461538461533</v>
      </c>
      <c r="AN30" s="24">
        <f>IF(AND(A30&lt;&gt;"",ISNUMBER(P30),P30&gt;=0),SUM(P30,$AN$8)/$AN$2*100,"")</f>
        <v>30</v>
      </c>
      <c r="AO30" s="24" t="str">
        <f>IF(AND(A30&lt;&gt;"",ISNUMBER(Q30),Q30&gt;=0),SUM(Q30,$AO$8)/$AO$2*100,"")</f>
        <v/>
      </c>
      <c r="AP30" s="24" t="str">
        <f>IF(AND(A30&lt;&gt;"",R30&lt;&gt;""),SUM(R30,$AP$8)/$AP$2*100,"")</f>
        <v/>
      </c>
      <c r="AQ30" s="24">
        <f>IF(AND(A30&lt;&gt;"",ISNUMBER(W30),W30&gt;=0),SUM(W30,$AQ$8)/$AQ$2*100,"")</f>
        <v>30</v>
      </c>
      <c r="AR30" s="24" t="str">
        <f>IF(AND(A30&lt;&gt;"",T30&gt;0,ISNUMBER(T30)),SUM(T30,$AR$8)/$AR$2*100,"")</f>
        <v/>
      </c>
      <c r="AS30" s="24" t="str">
        <f>IF(AND(A30&lt;&gt;"",X30&lt;&gt;""),SUM(X30,$AS$8)/$AS$2*100,"")</f>
        <v/>
      </c>
      <c r="AT30" s="89">
        <f>IF(AND(A30&lt;&gt;"",OR(ISNUMBER(W30),ISNUMBER(X30))),SUM(W30:X30,$AT$8)/$AT$2*100,"")</f>
        <v>30</v>
      </c>
      <c r="AU30" s="24">
        <f>AA30</f>
        <v>67.868852459016395</v>
      </c>
      <c r="AV30" s="24"/>
      <c r="AW30" s="27">
        <f>IF(A30&lt;&gt;"",AE30-AA30,"")</f>
        <v>-37.868852459016395</v>
      </c>
      <c r="AY30" s="27" t="b">
        <f>S30&gt;R30</f>
        <v>0</v>
      </c>
      <c r="BA30" s="27" t="e">
        <f>AND(AA30&gt;$BA$3,(W30+$W$8)/$W$2&lt;$BB$3,(X30+$X$8)/$X$2&lt;$BB$3)</f>
        <v>#VALUE!</v>
      </c>
      <c r="BB30" s="27" t="e">
        <f>AND(AA30&lt;$BA$3,AND(W30/$W$2&gt;$BB$3,X30/$X$2&gt;$BB$3))</f>
        <v>#VALUE!</v>
      </c>
      <c r="BC30" s="27" t="e">
        <f>AND(AA30&lt;$BA$3,OR(W30/$W$2&gt;$BB$3,X30/$X$2&gt;$BB$3))</f>
        <v>#VALUE!</v>
      </c>
      <c r="BE30" s="32">
        <v>32</v>
      </c>
    </row>
    <row r="31" spans="1:58" s="27" customFormat="1" ht="12.75" customHeight="1" x14ac:dyDescent="0.2">
      <c r="A31" s="10">
        <v>41800</v>
      </c>
      <c r="B31" s="2">
        <v>23</v>
      </c>
      <c r="C31" s="10">
        <v>25</v>
      </c>
      <c r="D31" s="10">
        <v>25</v>
      </c>
      <c r="E31" s="10"/>
      <c r="F31" s="10"/>
      <c r="G31" s="10"/>
      <c r="H31" s="10"/>
      <c r="I31" s="10"/>
      <c r="J31" s="2">
        <v>25</v>
      </c>
      <c r="K31" s="10">
        <v>52</v>
      </c>
      <c r="L31" s="10">
        <v>50</v>
      </c>
      <c r="M31" s="10"/>
      <c r="N31" s="93"/>
      <c r="O31" s="13"/>
      <c r="P31" s="10">
        <v>101</v>
      </c>
      <c r="Q31" s="10"/>
      <c r="R31" s="2"/>
      <c r="S31" s="10"/>
      <c r="T31" s="13"/>
      <c r="U31" s="7">
        <f t="array" ref="U31">IF(AND(A31&lt;&gt;"",OR(ISNUMBER(B31:I31))),SUM(B31:I31),"")</f>
        <v>73</v>
      </c>
      <c r="V31" s="10">
        <f t="array" ref="V31">IF(AND(A31&lt;&gt;"",OR(ISNUMBER(J31:O31))),SUM(J31:O31),"")</f>
        <v>127</v>
      </c>
      <c r="W31" s="10">
        <f t="array" ref="W31">IF(AND(A31&lt;&gt;"",OR(ISNUMBER(P31),ISNUMBER(Q31))),SUM(MAX(P31:Q31),Q31),"")</f>
        <v>101</v>
      </c>
      <c r="X31" s="10" t="str">
        <f t="array" ref="X31">IF(AND(A31&lt;&gt;"",OR(ISNUMBER(S31),ISNUMBER(T31))),SUM(S31,T31),"")</f>
        <v/>
      </c>
      <c r="Y31" s="13">
        <v>1</v>
      </c>
      <c r="Z31" s="13">
        <f>IF(A31&lt;&gt;"",SUM(U31:Y31),"")</f>
        <v>302</v>
      </c>
      <c r="AA31" s="27">
        <f>IF(A31&lt;&gt;"",(Z31+Normalize_To_Add)/(Point_Total_So_Far)*100,"")</f>
        <v>99.016393442622956</v>
      </c>
      <c r="AB31" s="10">
        <f>IF(A31&lt;&gt;"",RANK(AA31,All_Student_XC),"")</f>
        <v>164</v>
      </c>
      <c r="AC31" s="32" t="str">
        <f>IF(A31&lt;&gt;"",CHOOSE(10-MIN(9,TRUNC((AA31+0.5)/10)),"A","B","C","D","F","F","F","F","F","F"),"")</f>
        <v>A</v>
      </c>
      <c r="AD31" s="31" t="str">
        <f>IF(A31&lt;&gt;"",IF(OR(AA31+0.5&gt;=93,AA31+0.5&lt;60),"",IF(MOD(AA31+0.5,10)&gt;=7,"+",IF(MOD(AA31+0.5,10)&lt;3,"-",""))),"")</f>
        <v/>
      </c>
      <c r="AE31" s="32">
        <f>IF(A31&lt;&gt;"",SUM(W31:X31,$W$8:$X$8)/SUM($W$2:$X$2)*100,"")</f>
        <v>101</v>
      </c>
      <c r="AF31" s="32" t="str">
        <f>IF(A31&lt;&gt;"",CHOOSE(10-MIN(9,TRUNC((AE31+0.5)/10)),"A","B","C","D","F","F","F","F","F","F"),"")</f>
        <v>A</v>
      </c>
      <c r="AG31" s="32" t="str">
        <f>IF(A31&lt;&gt;"",IF(OR(AE31+0.5&gt;=93,AE31+0.5&lt;60),"",IF(MOD(AE31+0.5,10)&gt;=7,"+",IF(MOD(AE31+0.5,10)&lt;3,"-",""))),"")</f>
        <v/>
      </c>
      <c r="AH31" s="36">
        <f>IF(A31&lt;&gt;"",MIN(MAX(AA31,AE31),AA31+$AH$8,AE31+$AH$8),"")</f>
        <v>101</v>
      </c>
      <c r="AI31" s="32" t="str">
        <f>IF(A31&lt;&gt;"",CHOOSE(10-MIN(9,TRUNC((AH31+0.5)/10)),"A","B","C","D","F","F","F","F","F","F"),"")</f>
        <v>A</v>
      </c>
      <c r="AJ31" s="32" t="str">
        <f>IF(A31&lt;&gt;"",IF(OR(AH31+0.5&gt;=93,AH31+0.5&lt;60),"",IF(MOD(AH31+0.5,10)&gt;=7,"+",IF(MOD(AH31+0.5,10)&lt;3,"-",""))),"")</f>
        <v/>
      </c>
      <c r="AK31" s="71" t="b">
        <f>IF(A31&lt;&gt;"",OR(AI31&lt;&gt;AC31,AJ31&lt;&gt;AD31),"")</f>
        <v>0</v>
      </c>
      <c r="AL31" s="86">
        <f>IF(AND(A31&lt;&gt;"",U31&lt;&gt;""),SUM(U31,$AL$8)/$AL$2*100,"")</f>
        <v>97.333333333333343</v>
      </c>
      <c r="AM31" s="71">
        <f>IF(AND(A31&lt;&gt;"",V31&lt;&gt;""),SUM(V31,$AM$8)/$AM$2*100,"")</f>
        <v>97.692307692307693</v>
      </c>
      <c r="AN31" s="71">
        <f>IF(AND(A31&lt;&gt;"",ISNUMBER(P31),P31&gt;=0),SUM(P31,$AN$8)/$AN$2*100,"")</f>
        <v>101</v>
      </c>
      <c r="AO31" s="71" t="str">
        <f>IF(AND(A31&lt;&gt;"",ISNUMBER(Q31),Q31&gt;=0),SUM(Q31,$AO$8)/$AO$2*100,"")</f>
        <v/>
      </c>
      <c r="AP31" s="24" t="str">
        <f>IF(AND(A31&lt;&gt;"",R31&lt;&gt;""),SUM(R31,$AP$8)/$AP$2*100,"")</f>
        <v/>
      </c>
      <c r="AQ31" s="24">
        <f>IF(AND(A31&lt;&gt;"",ISNUMBER(W31),W31&gt;=0),SUM(W31,$AQ$8)/$AQ$2*100,"")</f>
        <v>101</v>
      </c>
      <c r="AR31" s="24" t="str">
        <f>IF(AND(A31&lt;&gt;"",T31&gt;0,ISNUMBER(T31)),SUM(T31,$AR$8)/$AR$2*100,"")</f>
        <v/>
      </c>
      <c r="AS31" s="24" t="str">
        <f>IF(AND(A31&lt;&gt;"",X31&lt;&gt;""),SUM(X31,$AS$8)/$AS$2*100,"")</f>
        <v/>
      </c>
      <c r="AT31" s="89">
        <f>IF(AND(A31&lt;&gt;"",OR(ISNUMBER(W31),ISNUMBER(X31))),SUM(W31:X31,$AT$8)/$AT$2*100,"")</f>
        <v>101</v>
      </c>
      <c r="AU31" s="24">
        <f>AA31</f>
        <v>99.016393442622956</v>
      </c>
      <c r="AV31" s="71"/>
      <c r="AW31" s="27">
        <f>IF(A31&lt;&gt;"",AE31-AA31,"")</f>
        <v>1.9836065573770441</v>
      </c>
      <c r="AY31" s="27" t="b">
        <f>S31&gt;R31</f>
        <v>0</v>
      </c>
      <c r="BA31" s="27" t="e">
        <f>AND(AA31&gt;$BA$3,(W31+$W$8)/$W$2&lt;$BB$3,(X31+$X$8)/$X$2&lt;$BB$3)</f>
        <v>#VALUE!</v>
      </c>
      <c r="BB31" s="27" t="e">
        <f>AND(AA31&lt;$BA$3,AND(W31/$W$2&gt;$BB$3,X31/$X$2&gt;$BB$3))</f>
        <v>#VALUE!</v>
      </c>
      <c r="BC31" s="27" t="e">
        <f>AND(AA31&lt;$BA$3,OR(W31/$W$2&gt;$BB$3,X31/$X$2&gt;$BB$3))</f>
        <v>#VALUE!</v>
      </c>
      <c r="BE31" s="32" t="s">
        <v>84</v>
      </c>
      <c r="BF31" s="58"/>
    </row>
    <row r="32" spans="1:58" s="27" customFormat="1" ht="12.75" customHeight="1" x14ac:dyDescent="0.2">
      <c r="A32" s="10">
        <v>43126</v>
      </c>
      <c r="B32" s="2">
        <v>23</v>
      </c>
      <c r="C32" s="10">
        <v>25</v>
      </c>
      <c r="D32" s="10">
        <v>25</v>
      </c>
      <c r="E32" s="10"/>
      <c r="F32" s="10"/>
      <c r="G32" s="10"/>
      <c r="H32" s="10"/>
      <c r="I32" s="10"/>
      <c r="J32" s="2">
        <v>29</v>
      </c>
      <c r="K32" s="10">
        <v>50</v>
      </c>
      <c r="L32" s="10" t="s">
        <v>67</v>
      </c>
      <c r="M32" s="10"/>
      <c r="N32" s="93"/>
      <c r="O32" s="13"/>
      <c r="P32" s="10">
        <v>101</v>
      </c>
      <c r="Q32" s="10"/>
      <c r="R32" s="2"/>
      <c r="S32" s="10"/>
      <c r="T32" s="13"/>
      <c r="U32" s="7">
        <f t="array" ref="U32">IF(AND(A32&lt;&gt;"",OR(ISNUMBER(B32:I32))),SUM(B32:I32),"")</f>
        <v>73</v>
      </c>
      <c r="V32" s="10">
        <f t="array" ref="V32">IF(AND(A32&lt;&gt;"",OR(ISNUMBER(J32:O32))),SUM(J32:O32),"")</f>
        <v>79</v>
      </c>
      <c r="W32" s="10">
        <f t="array" ref="W32">IF(AND(A32&lt;&gt;"",OR(ISNUMBER(P32),ISNUMBER(Q32))),SUM(MAX(P32:Q32),Q32),"")</f>
        <v>101</v>
      </c>
      <c r="X32" s="10" t="str">
        <f t="array" ref="X32">IF(AND(A32&lt;&gt;"",OR(ISNUMBER(S32),ISNUMBER(T32))),SUM(S32,T32),"")</f>
        <v/>
      </c>
      <c r="Y32" s="13">
        <v>1</v>
      </c>
      <c r="Z32" s="13">
        <f>IF(A32&lt;&gt;"",SUM(U32:Y32),"")</f>
        <v>254</v>
      </c>
      <c r="AA32" s="27">
        <f>IF(A32&lt;&gt;"",(Z32+Normalize_To_Add)/(Point_Total_So_Far)*100,"")</f>
        <v>83.278688524590166</v>
      </c>
      <c r="AB32" s="10">
        <f>IF(A32&lt;&gt;"",RANK(AA32,All_Student_XC),"")</f>
        <v>389</v>
      </c>
      <c r="AC32" s="32" t="str">
        <f>IF(A32&lt;&gt;"",CHOOSE(10-MIN(9,TRUNC((AA32+0.5)/10)),"A","B","C","D","F","F","F","F","F","F"),"")</f>
        <v>B</v>
      </c>
      <c r="AD32" s="31" t="str">
        <f>IF(A32&lt;&gt;"",IF(OR(AA32+0.5&gt;=93,AA32+0.5&lt;60),"",IF(MOD(AA32+0.5,10)&gt;=7,"+",IF(MOD(AA32+0.5,10)&lt;3,"-",""))),"")</f>
        <v/>
      </c>
      <c r="AE32" s="32">
        <f>IF(A32&lt;&gt;"",SUM(W32:X32,$W$8:$X$8)/SUM($W$2:$X$2)*100,"")</f>
        <v>101</v>
      </c>
      <c r="AF32" s="32" t="str">
        <f>IF(A32&lt;&gt;"",CHOOSE(10-MIN(9,TRUNC((AE32+0.5)/10)),"A","B","C","D","F","F","F","F","F","F"),"")</f>
        <v>A</v>
      </c>
      <c r="AG32" s="32" t="str">
        <f>IF(A32&lt;&gt;"",IF(OR(AE32+0.5&gt;=93,AE32+0.5&lt;60),"",IF(MOD(AE32+0.5,10)&gt;=7,"+",IF(MOD(AE32+0.5,10)&lt;3,"-",""))),"")</f>
        <v/>
      </c>
      <c r="AH32" s="36">
        <f>IF(A32&lt;&gt;"",MIN(MAX(AA32,AE32),AA32+$AH$8,AE32+$AH$8),"")</f>
        <v>101</v>
      </c>
      <c r="AI32" s="32" t="str">
        <f>IF(A32&lt;&gt;"",CHOOSE(10-MIN(9,TRUNC((AH32+0.5)/10)),"A","B","C","D","F","F","F","F","F","F"),"")</f>
        <v>A</v>
      </c>
      <c r="AJ32" s="32" t="str">
        <f>IF(A32&lt;&gt;"",IF(OR(AH32+0.5&gt;=93,AH32+0.5&lt;60),"",IF(MOD(AH32+0.5,10)&gt;=7,"+",IF(MOD(AH32+0.5,10)&lt;3,"-",""))),"")</f>
        <v/>
      </c>
      <c r="AK32" s="71" t="b">
        <f>IF(A32&lt;&gt;"",OR(AI32&lt;&gt;AC32,AJ32&lt;&gt;AD32),"")</f>
        <v>1</v>
      </c>
      <c r="AL32" s="86">
        <f>IF(AND(A32&lt;&gt;"",U32&lt;&gt;""),SUM(U32,$AL$8)/$AL$2*100,"")</f>
        <v>97.333333333333343</v>
      </c>
      <c r="AM32" s="71">
        <f>IF(AND(A32&lt;&gt;"",V32&lt;&gt;""),SUM(V32,$AM$8)/$AM$2*100,"")</f>
        <v>60.769230769230766</v>
      </c>
      <c r="AN32" s="71">
        <f>IF(AND(A32&lt;&gt;"",ISNUMBER(P32),P32&gt;=0),SUM(P32,$AN$8)/$AN$2*100,"")</f>
        <v>101</v>
      </c>
      <c r="AO32" s="71" t="str">
        <f>IF(AND(A32&lt;&gt;"",ISNUMBER(Q32),Q32&gt;=0),SUM(Q32,$AO$8)/$AO$2*100,"")</f>
        <v/>
      </c>
      <c r="AP32" s="24" t="str">
        <f>IF(AND(A32&lt;&gt;"",R32&lt;&gt;""),SUM(R32,$AP$8)/$AP$2*100,"")</f>
        <v/>
      </c>
      <c r="AQ32" s="24">
        <f>IF(AND(A32&lt;&gt;"",ISNUMBER(W32),W32&gt;=0),SUM(W32,$AQ$8)/$AQ$2*100,"")</f>
        <v>101</v>
      </c>
      <c r="AR32" s="24" t="str">
        <f>IF(AND(A32&lt;&gt;"",T32&gt;0,ISNUMBER(T32)),SUM(T32,$AR$8)/$AR$2*100,"")</f>
        <v/>
      </c>
      <c r="AS32" s="24" t="str">
        <f>IF(AND(A32&lt;&gt;"",X32&lt;&gt;""),SUM(X32,$AS$8)/$AS$2*100,"")</f>
        <v/>
      </c>
      <c r="AT32" s="89">
        <f>IF(AND(A32&lt;&gt;"",OR(ISNUMBER(W32),ISNUMBER(X32))),SUM(W32:X32,$AT$8)/$AT$2*100,"")</f>
        <v>101</v>
      </c>
      <c r="AU32" s="24">
        <f>AA32</f>
        <v>83.278688524590166</v>
      </c>
      <c r="AV32" s="71"/>
      <c r="AW32" s="27">
        <f>IF(A32&lt;&gt;"",AE32-AA32,"")</f>
        <v>17.721311475409834</v>
      </c>
      <c r="AY32" s="27" t="b">
        <f>S32&gt;R32</f>
        <v>0</v>
      </c>
      <c r="BA32" s="27" t="e">
        <f>AND(AA32&gt;$BA$3,(W32+$W$8)/$W$2&lt;$BB$3,(X32+$X$8)/$X$2&lt;$BB$3)</f>
        <v>#VALUE!</v>
      </c>
      <c r="BB32" s="27" t="e">
        <f>AND(AA32&lt;$BA$3,AND(W32/$W$2&gt;$BB$3,X32/$X$2&gt;$BB$3))</f>
        <v>#VALUE!</v>
      </c>
      <c r="BC32" s="27" t="e">
        <f>AND(AA32&lt;$BA$3,OR(W32/$W$2&gt;$BB$3,X32/$X$2&gt;$BB$3))</f>
        <v>#VALUE!</v>
      </c>
      <c r="BE32" s="32" t="s">
        <v>84</v>
      </c>
    </row>
    <row r="33" spans="1:57" s="27" customFormat="1" ht="12.75" customHeight="1" x14ac:dyDescent="0.2">
      <c r="A33" s="10">
        <v>43506</v>
      </c>
      <c r="B33" s="2">
        <v>22</v>
      </c>
      <c r="C33" s="10">
        <v>12</v>
      </c>
      <c r="D33" s="10">
        <v>22</v>
      </c>
      <c r="E33" s="10"/>
      <c r="F33" s="10"/>
      <c r="G33" s="10"/>
      <c r="H33" s="10"/>
      <c r="I33" s="10"/>
      <c r="J33" s="2">
        <v>30</v>
      </c>
      <c r="K33" s="10">
        <v>13</v>
      </c>
      <c r="L33" s="10">
        <v>50</v>
      </c>
      <c r="M33" s="10"/>
      <c r="N33" s="93"/>
      <c r="O33" s="13"/>
      <c r="P33" s="10">
        <v>80</v>
      </c>
      <c r="Q33" s="10"/>
      <c r="R33" s="2"/>
      <c r="S33" s="10"/>
      <c r="T33" s="13"/>
      <c r="U33" s="7">
        <f t="array" ref="U33">IF(AND(A33&lt;&gt;"",OR(ISNUMBER(B33:I33))),SUM(B33:I33),"")</f>
        <v>56</v>
      </c>
      <c r="V33" s="10">
        <f t="array" ref="V33">IF(AND(A33&lt;&gt;"",OR(ISNUMBER(J33:O33))),SUM(J33:O33),"")</f>
        <v>93</v>
      </c>
      <c r="W33" s="10">
        <f t="array" ref="W33">IF(AND(A33&lt;&gt;"",OR(ISNUMBER(P33),ISNUMBER(Q33))),SUM(MAX(P33:Q33),Q33),"")</f>
        <v>80</v>
      </c>
      <c r="X33" s="10" t="str">
        <f t="array" ref="X33">IF(AND(A33&lt;&gt;"",OR(ISNUMBER(S33),ISNUMBER(T33))),SUM(S33,T33),"")</f>
        <v/>
      </c>
      <c r="Y33" s="13">
        <v>1</v>
      </c>
      <c r="Z33" s="13">
        <f>IF(A33&lt;&gt;"",SUM(U33:Y33),"")</f>
        <v>230</v>
      </c>
      <c r="AA33" s="27">
        <f>IF(A33&lt;&gt;"",(Z33+Normalize_To_Add)/(Point_Total_So_Far)*100,"")</f>
        <v>75.409836065573771</v>
      </c>
      <c r="AB33" s="10">
        <f>IF(A33&lt;&gt;"",RANK(AA33,All_Student_XC),"")</f>
        <v>436</v>
      </c>
      <c r="AC33" s="32" t="str">
        <f>IF(A33&lt;&gt;"",CHOOSE(10-MIN(9,TRUNC((AA33+0.5)/10)),"A","B","C","D","F","F","F","F","F","F"),"")</f>
        <v>C</v>
      </c>
      <c r="AD33" s="31" t="str">
        <f>IF(A33&lt;&gt;"",IF(OR(AA33+0.5&gt;=93,AA33+0.5&lt;60),"",IF(MOD(AA33+0.5,10)&gt;=7,"+",IF(MOD(AA33+0.5,10)&lt;3,"-",""))),"")</f>
        <v/>
      </c>
      <c r="AE33" s="32">
        <f>IF(A33&lt;&gt;"",SUM(W33:X33,$W$8:$X$8)/SUM($W$2:$X$2)*100,"")</f>
        <v>80</v>
      </c>
      <c r="AF33" s="32" t="str">
        <f>IF(A33&lt;&gt;"",CHOOSE(10-MIN(9,TRUNC((AE33+0.5)/10)),"A","B","C","D","F","F","F","F","F","F"),"")</f>
        <v>B</v>
      </c>
      <c r="AG33" s="32" t="str">
        <f>IF(A33&lt;&gt;"",IF(OR(AE33+0.5&gt;=93,AE33+0.5&lt;60),"",IF(MOD(AE33+0.5,10)&gt;=7,"+",IF(MOD(AE33+0.5,10)&lt;3,"-",""))),"")</f>
        <v>-</v>
      </c>
      <c r="AH33" s="36">
        <f>IF(A33&lt;&gt;"",MIN(MAX(AA33,AE33),AA33+$AH$8,AE33+$AH$8),"")</f>
        <v>80</v>
      </c>
      <c r="AI33" s="32" t="str">
        <f>IF(A33&lt;&gt;"",CHOOSE(10-MIN(9,TRUNC((AH33+0.5)/10)),"A","B","C","D","F","F","F","F","F","F"),"")</f>
        <v>B</v>
      </c>
      <c r="AJ33" s="32" t="str">
        <f>IF(A33&lt;&gt;"",IF(OR(AH33+0.5&gt;=93,AH33+0.5&lt;60),"",IF(MOD(AH33+0.5,10)&gt;=7,"+",IF(MOD(AH33+0.5,10)&lt;3,"-",""))),"")</f>
        <v>-</v>
      </c>
      <c r="AK33" s="71" t="b">
        <f>IF(A33&lt;&gt;"",OR(AI33&lt;&gt;AC33,AJ33&lt;&gt;AD33),"")</f>
        <v>1</v>
      </c>
      <c r="AL33" s="86">
        <f>IF(AND(A33&lt;&gt;"",U33&lt;&gt;""),SUM(U33,$AL$8)/$AL$2*100,"")</f>
        <v>74.666666666666671</v>
      </c>
      <c r="AM33" s="71">
        <f>IF(AND(A33&lt;&gt;"",V33&lt;&gt;""),SUM(V33,$AM$8)/$AM$2*100,"")</f>
        <v>71.538461538461533</v>
      </c>
      <c r="AN33" s="71">
        <f>IF(AND(A33&lt;&gt;"",ISNUMBER(P33),P33&gt;=0),SUM(P33,$AN$8)/$AN$2*100,"")</f>
        <v>80</v>
      </c>
      <c r="AO33" s="71" t="str">
        <f>IF(AND(A33&lt;&gt;"",ISNUMBER(Q33),Q33&gt;=0),SUM(Q33,$AO$8)/$AO$2*100,"")</f>
        <v/>
      </c>
      <c r="AP33" s="24" t="str">
        <f>IF(AND(A33&lt;&gt;"",R33&lt;&gt;""),SUM(R33,$AP$8)/$AP$2*100,"")</f>
        <v/>
      </c>
      <c r="AQ33" s="24">
        <f>IF(AND(A33&lt;&gt;"",ISNUMBER(W33),W33&gt;=0),SUM(W33,$AQ$8)/$AQ$2*100,"")</f>
        <v>80</v>
      </c>
      <c r="AR33" s="24" t="str">
        <f>IF(AND(A33&lt;&gt;"",T33&gt;0,ISNUMBER(T33)),SUM(T33,$AR$8)/$AR$2*100,"")</f>
        <v/>
      </c>
      <c r="AS33" s="24" t="str">
        <f>IF(AND(A33&lt;&gt;"",X33&lt;&gt;""),SUM(X33,$AS$8)/$AS$2*100,"")</f>
        <v/>
      </c>
      <c r="AT33" s="89">
        <f>IF(AND(A33&lt;&gt;"",OR(ISNUMBER(W33),ISNUMBER(X33))),SUM(W33:X33,$AT$8)/$AT$2*100,"")</f>
        <v>80</v>
      </c>
      <c r="AU33" s="24">
        <f>AA33</f>
        <v>75.409836065573771</v>
      </c>
      <c r="AV33" s="71"/>
      <c r="AW33" s="27">
        <f>IF(A33&lt;&gt;"",AE33-AA33,"")</f>
        <v>4.5901639344262293</v>
      </c>
      <c r="AY33" s="27" t="b">
        <f>S33&gt;R33</f>
        <v>0</v>
      </c>
      <c r="BA33" s="27" t="e">
        <f>AND(AA33&gt;$BA$3,(W33+$W$8)/$W$2&lt;$BB$3,(X33+$X$8)/$X$2&lt;$BB$3)</f>
        <v>#VALUE!</v>
      </c>
      <c r="BB33" s="27" t="e">
        <f>AND(AA33&lt;$BA$3,AND(W33/$W$2&gt;$BB$3,X33/$X$2&gt;$BB$3))</f>
        <v>#VALUE!</v>
      </c>
      <c r="BC33" s="27" t="e">
        <f>AND(AA33&lt;$BA$3,OR(W33/$W$2&gt;$BB$3,X33/$X$2&gt;$BB$3))</f>
        <v>#VALUE!</v>
      </c>
      <c r="BE33" s="32">
        <v>32</v>
      </c>
    </row>
    <row r="34" spans="1:57" s="27" customFormat="1" ht="12.75" customHeight="1" x14ac:dyDescent="0.2">
      <c r="A34" s="10">
        <v>43914</v>
      </c>
      <c r="B34" s="2">
        <v>15</v>
      </c>
      <c r="C34" s="10">
        <v>21</v>
      </c>
      <c r="D34" s="10">
        <v>22</v>
      </c>
      <c r="E34" s="10"/>
      <c r="F34" s="10"/>
      <c r="G34" s="3"/>
      <c r="H34" s="10"/>
      <c r="I34" s="10"/>
      <c r="J34" s="2">
        <v>24</v>
      </c>
      <c r="K34" s="10">
        <v>24</v>
      </c>
      <c r="L34" s="10">
        <v>48</v>
      </c>
      <c r="M34" s="10"/>
      <c r="N34" s="10"/>
      <c r="O34" s="12"/>
      <c r="P34" s="35">
        <v>100</v>
      </c>
      <c r="Q34" s="41"/>
      <c r="R34" s="2"/>
      <c r="S34" s="10"/>
      <c r="T34" s="13"/>
      <c r="U34" s="7">
        <f t="array" ref="U34">IF(AND(A34&lt;&gt;"",OR(ISNUMBER(B34:I34))),SUM(B34:I34),"")</f>
        <v>58</v>
      </c>
      <c r="V34" s="10">
        <f t="array" ref="V34">IF(AND(A34&lt;&gt;"",OR(ISNUMBER(J34:O34))),SUM(J34:O34),"")</f>
        <v>96</v>
      </c>
      <c r="W34" s="10">
        <f t="array" ref="W34">IF(AND(A34&lt;&gt;"",OR(ISNUMBER(P34),ISNUMBER(Q34))),SUM(MAX(P34:Q34),Q34),"")</f>
        <v>100</v>
      </c>
      <c r="X34" s="10" t="str">
        <f t="array" ref="X34">IF(AND(A34&lt;&gt;"",OR(ISNUMBER(S34),ISNUMBER(T34))),SUM(S34,T34),"")</f>
        <v/>
      </c>
      <c r="Y34" s="13">
        <v>1</v>
      </c>
      <c r="Z34" s="13">
        <f>IF(A34&lt;&gt;"",SUM(U34:Y34),"")</f>
        <v>255</v>
      </c>
      <c r="AA34" s="27">
        <f>IF(A34&lt;&gt;"",(Z34+Normalize_To_Add)/(Point_Total_So_Far)*100,"")</f>
        <v>83.606557377049185</v>
      </c>
      <c r="AB34" s="10">
        <f>IF(A34&lt;&gt;"",RANK(AA34,All_Student_XC),"")</f>
        <v>384</v>
      </c>
      <c r="AC34" s="32" t="str">
        <f>IF(A34&lt;&gt;"",CHOOSE(10-MIN(9,TRUNC((AA34+0.5)/10)),"A","B","C","D","F","F","F","F","F","F"),"")</f>
        <v>B</v>
      </c>
      <c r="AD34" s="32" t="str">
        <f>IF(A34&lt;&gt;"",IF(OR(AA34+0.5&gt;=93,AA34+0.5&lt;60),"",IF(MOD(AA34+0.5,10)&gt;=7,"+",IF(MOD(AA34+0.5,10)&lt;3,"-",""))),"")</f>
        <v/>
      </c>
      <c r="AE34" s="32">
        <f>IF(A34&lt;&gt;"",SUM(W34:X34,$W$8:$X$8)/SUM($W$2:$X$2)*100,"")</f>
        <v>100</v>
      </c>
      <c r="AF34" s="32" t="str">
        <f>IF(A34&lt;&gt;"",CHOOSE(10-MIN(9,TRUNC((AE34+0.5)/10)),"A","B","C","D","F","F","F","F","F","F"),"")</f>
        <v>A</v>
      </c>
      <c r="AG34" s="32" t="str">
        <f>IF(A34&lt;&gt;"",IF(OR(AE34+0.5&gt;=93,AE34+0.5&lt;60),"",IF(MOD(AE34+0.5,10)&gt;=7,"+",IF(MOD(AE34+0.5,10)&lt;3,"-",""))),"")</f>
        <v/>
      </c>
      <c r="AH34" s="36">
        <f>IF(A34&lt;&gt;"",MIN(MAX(AA34,AE34),AA34+$AH$8,AE34+$AH$8),"")</f>
        <v>100</v>
      </c>
      <c r="AI34" s="32" t="str">
        <f>IF(A34&lt;&gt;"",CHOOSE(10-MIN(9,TRUNC((AH34+0.5)/10)),"A","B","C","D","F","F","F","F","F","F"),"")</f>
        <v>A</v>
      </c>
      <c r="AJ34" s="32" t="str">
        <f>IF(A34&lt;&gt;"",IF(OR(AH34+0.5&gt;=93,AH34+0.5&lt;60),"",IF(MOD(AH34+0.5,10)&gt;=7,"+",IF(MOD(AH34+0.5,10)&lt;3,"-",""))),"")</f>
        <v/>
      </c>
      <c r="AK34" s="32" t="b">
        <f>IF(A34&lt;&gt;"",OR(AI34&lt;&gt;AC34,AJ34&lt;&gt;AD34),"")</f>
        <v>1</v>
      </c>
      <c r="AL34" s="84">
        <f>IF(AND(A34&lt;&gt;"",U34&lt;&gt;""),SUM(U34,$AL$8)/$AL$2*100,"")</f>
        <v>77.333333333333329</v>
      </c>
      <c r="AM34" s="24">
        <f>IF(AND(A34&lt;&gt;"",V34&lt;&gt;""),SUM(V34,$AM$8)/$AM$2*100,"")</f>
        <v>73.846153846153854</v>
      </c>
      <c r="AN34" s="24">
        <f>IF(AND(A34&lt;&gt;"",ISNUMBER(P34),P34&gt;=0),SUM(P34,$AN$8)/$AN$2*100,"")</f>
        <v>100</v>
      </c>
      <c r="AO34" s="24" t="str">
        <f>IF(AND(A34&lt;&gt;"",ISNUMBER(Q34),Q34&gt;=0),SUM(Q34,$AO$8)/$AO$2*100,"")</f>
        <v/>
      </c>
      <c r="AP34" s="24" t="str">
        <f>IF(AND(A34&lt;&gt;"",R34&lt;&gt;""),SUM(R34,$AP$8)/$AP$2*100,"")</f>
        <v/>
      </c>
      <c r="AQ34" s="24">
        <f>IF(AND(A34&lt;&gt;"",ISNUMBER(W34),W34&gt;=0),SUM(W34,$AQ$8)/$AQ$2*100,"")</f>
        <v>100</v>
      </c>
      <c r="AR34" s="24" t="str">
        <f>IF(AND(A34&lt;&gt;"",T34&gt;0,ISNUMBER(T34)),SUM(T34,$AR$8)/$AR$2*100,"")</f>
        <v/>
      </c>
      <c r="AS34" s="24" t="str">
        <f>IF(AND(A34&lt;&gt;"",X34&lt;&gt;""),SUM(X34,$AS$8)/$AS$2*100,"")</f>
        <v/>
      </c>
      <c r="AT34" s="89">
        <f>IF(AND(A34&lt;&gt;"",OR(ISNUMBER(W34),ISNUMBER(X34))),SUM(W34:X34,$AT$8)/$AT$2*100,"")</f>
        <v>100</v>
      </c>
      <c r="AU34" s="24">
        <f>AA34</f>
        <v>83.606557377049185</v>
      </c>
      <c r="AV34" s="24"/>
      <c r="AW34" s="27">
        <f>IF(A34&lt;&gt;"",AE34-AA34,"")</f>
        <v>16.393442622950815</v>
      </c>
      <c r="AY34" s="27" t="b">
        <f>S34&gt;R34</f>
        <v>0</v>
      </c>
      <c r="BA34" s="27" t="e">
        <f>AND(AA34&gt;$BA$3,(W34+$W$8)/$W$2&lt;$BB$3,(X34+$X$8)/$X$2&lt;$BB$3)</f>
        <v>#VALUE!</v>
      </c>
      <c r="BB34" s="27" t="e">
        <f>AND(AA34&lt;$BA$3,AND(W34/$W$2&gt;$BB$3,X34/$X$2&gt;$BB$3))</f>
        <v>#VALUE!</v>
      </c>
      <c r="BC34" s="27" t="e">
        <f>AND(AA34&lt;$BA$3,OR(W34/$W$2&gt;$BB$3,X34/$X$2&gt;$BB$3))</f>
        <v>#VALUE!</v>
      </c>
      <c r="BE34" s="32" t="s">
        <v>85</v>
      </c>
    </row>
    <row r="35" spans="1:57" s="27" customFormat="1" ht="12.75" customHeight="1" x14ac:dyDescent="0.2">
      <c r="A35" s="10">
        <v>44161</v>
      </c>
      <c r="B35" s="2">
        <v>20</v>
      </c>
      <c r="C35" s="10">
        <v>20</v>
      </c>
      <c r="D35" s="10">
        <v>21</v>
      </c>
      <c r="E35" s="10"/>
      <c r="F35" s="10"/>
      <c r="G35" s="3"/>
      <c r="H35" s="10"/>
      <c r="I35" s="10"/>
      <c r="J35" s="2">
        <v>27</v>
      </c>
      <c r="K35" s="10">
        <v>44</v>
      </c>
      <c r="L35" s="10">
        <v>50</v>
      </c>
      <c r="M35" s="10"/>
      <c r="N35" s="10"/>
      <c r="O35" s="12"/>
      <c r="P35" s="41">
        <v>100</v>
      </c>
      <c r="Q35" s="41"/>
      <c r="R35" s="2"/>
      <c r="S35" s="10"/>
      <c r="T35" s="13"/>
      <c r="U35" s="7">
        <f t="array" ref="U35">IF(AND(A35&lt;&gt;"",OR(ISNUMBER(B35:I35))),SUM(B35:I35),"")</f>
        <v>61</v>
      </c>
      <c r="V35" s="10">
        <f t="array" ref="V35">IF(AND(A35&lt;&gt;"",OR(ISNUMBER(J35:O35))),SUM(J35:O35),"")</f>
        <v>121</v>
      </c>
      <c r="W35" s="10">
        <f t="array" ref="W35">IF(AND(A35&lt;&gt;"",OR(ISNUMBER(P35),ISNUMBER(Q35))),SUM(MAX(P35:Q35),Q35),"")</f>
        <v>100</v>
      </c>
      <c r="X35" s="10" t="str">
        <f t="array" ref="X35">IF(AND(A35&lt;&gt;"",OR(ISNUMBER(S35),ISNUMBER(T35))),SUM(S35,T35),"")</f>
        <v/>
      </c>
      <c r="Y35" s="13">
        <v>1</v>
      </c>
      <c r="Z35" s="13">
        <f>IF(A35&lt;&gt;"",SUM(U35:Y35),"")</f>
        <v>283</v>
      </c>
      <c r="AA35" s="27">
        <f>IF(A35&lt;&gt;"",(Z35+Normalize_To_Add)/(Point_Total_So_Far)*100,"")</f>
        <v>92.786885245901644</v>
      </c>
      <c r="AB35" s="10">
        <f>IF(A35&lt;&gt;"",RANK(AA35,All_Student_XC),"")</f>
        <v>303</v>
      </c>
      <c r="AC35" s="32" t="str">
        <f>IF(A35&lt;&gt;"",CHOOSE(10-MIN(9,TRUNC((AA35+0.5)/10)),"A","B","C","D","F","F","F","F","F","F"),"")</f>
        <v>A</v>
      </c>
      <c r="AD35" s="32" t="str">
        <f>IF(A35&lt;&gt;"",IF(OR(AA35+0.5&gt;=93,AA35+0.5&lt;60),"",IF(MOD(AA35+0.5,10)&gt;=7,"+",IF(MOD(AA35+0.5,10)&lt;3,"-",""))),"")</f>
        <v/>
      </c>
      <c r="AE35" s="32">
        <f>IF(A35&lt;&gt;"",SUM(W35:X35,$W$8:$X$8)/SUM($W$2:$X$2)*100,"")</f>
        <v>100</v>
      </c>
      <c r="AF35" s="32" t="str">
        <f>IF(A35&lt;&gt;"",CHOOSE(10-MIN(9,TRUNC((AE35+0.5)/10)),"A","B","C","D","F","F","F","F","F","F"),"")</f>
        <v>A</v>
      </c>
      <c r="AG35" s="32" t="str">
        <f>IF(A35&lt;&gt;"",IF(OR(AE35+0.5&gt;=93,AE35+0.5&lt;60),"",IF(MOD(AE35+0.5,10)&gt;=7,"+",IF(MOD(AE35+0.5,10)&lt;3,"-",""))),"")</f>
        <v/>
      </c>
      <c r="AH35" s="36">
        <f>IF(A35&lt;&gt;"",MIN(MAX(AA35,AE35),AA35+$AH$8,AE35+$AH$8),"")</f>
        <v>100</v>
      </c>
      <c r="AI35" s="32" t="str">
        <f>IF(A35&lt;&gt;"",CHOOSE(10-MIN(9,TRUNC((AH35+0.5)/10)),"A","B","C","D","F","F","F","F","F","F"),"")</f>
        <v>A</v>
      </c>
      <c r="AJ35" s="32" t="str">
        <f>IF(A35&lt;&gt;"",IF(OR(AH35+0.5&gt;=93,AH35+0.5&lt;60),"",IF(MOD(AH35+0.5,10)&gt;=7,"+",IF(MOD(AH35+0.5,10)&lt;3,"-",""))),"")</f>
        <v/>
      </c>
      <c r="AK35" s="32" t="b">
        <f>IF(A35&lt;&gt;"",OR(AI35&lt;&gt;AC35,AJ35&lt;&gt;AD35),"")</f>
        <v>0</v>
      </c>
      <c r="AL35" s="84">
        <f>IF(AND(A35&lt;&gt;"",U35&lt;&gt;""),SUM(U35,$AL$8)/$AL$2*100,"")</f>
        <v>81.333333333333329</v>
      </c>
      <c r="AM35" s="24">
        <f>IF(AND(A35&lt;&gt;"",V35&lt;&gt;""),SUM(V35,$AM$8)/$AM$2*100,"")</f>
        <v>93.07692307692308</v>
      </c>
      <c r="AN35" s="24">
        <f>IF(AND(A35&lt;&gt;"",ISNUMBER(P35),P35&gt;=0),SUM(P35,$AN$8)/$AN$2*100,"")</f>
        <v>100</v>
      </c>
      <c r="AO35" s="24" t="str">
        <f>IF(AND(A35&lt;&gt;"",ISNUMBER(Q35),Q35&gt;=0),SUM(Q35,$AO$8)/$AO$2*100,"")</f>
        <v/>
      </c>
      <c r="AP35" s="24" t="str">
        <f>IF(AND(A35&lt;&gt;"",R35&lt;&gt;""),SUM(R35,$AP$8)/$AP$2*100,"")</f>
        <v/>
      </c>
      <c r="AQ35" s="24">
        <f>IF(AND(A35&lt;&gt;"",ISNUMBER(W35),W35&gt;=0),SUM(W35,$AQ$8)/$AQ$2*100,"")</f>
        <v>100</v>
      </c>
      <c r="AR35" s="24" t="str">
        <f>IF(AND(A35&lt;&gt;"",T35&gt;0,ISNUMBER(T35)),SUM(T35,$AR$8)/$AR$2*100,"")</f>
        <v/>
      </c>
      <c r="AS35" s="24" t="str">
        <f>IF(AND(A35&lt;&gt;"",X35&lt;&gt;""),SUM(X35,$AS$8)/$AS$2*100,"")</f>
        <v/>
      </c>
      <c r="AT35" s="89">
        <f>IF(AND(A35&lt;&gt;"",OR(ISNUMBER(W35),ISNUMBER(X35))),SUM(W35:X35,$AT$8)/$AT$2*100,"")</f>
        <v>100</v>
      </c>
      <c r="AU35" s="24">
        <f>AA35</f>
        <v>92.786885245901644</v>
      </c>
      <c r="AV35" s="24"/>
      <c r="AW35" s="27">
        <f>IF(A35&lt;&gt;"",AE35-AA35,"")</f>
        <v>7.2131147540983562</v>
      </c>
      <c r="AY35" s="27" t="b">
        <f>S35&gt;R35</f>
        <v>0</v>
      </c>
      <c r="BA35" s="27" t="e">
        <f>AND(AA35&gt;$BA$3,(W35+$W$8)/$W$2&lt;$BB$3,(X35+$X$8)/$X$2&lt;$BB$3)</f>
        <v>#VALUE!</v>
      </c>
      <c r="BB35" s="27" t="e">
        <f>AND(AA35&lt;$BA$3,AND(W35/$W$2&gt;$BB$3,X35/$X$2&gt;$BB$3))</f>
        <v>#VALUE!</v>
      </c>
      <c r="BC35" s="27" t="e">
        <f>AND(AA35&lt;$BA$3,OR(W35/$W$2&gt;$BB$3,X35/$X$2&gt;$BB$3))</f>
        <v>#VALUE!</v>
      </c>
      <c r="BE35" s="32">
        <v>32</v>
      </c>
    </row>
    <row r="36" spans="1:57" s="27" customFormat="1" ht="12.75" customHeight="1" x14ac:dyDescent="0.2">
      <c r="A36" s="10">
        <v>44401</v>
      </c>
      <c r="B36" s="2">
        <v>10</v>
      </c>
      <c r="C36" s="10">
        <v>12</v>
      </c>
      <c r="D36" s="10">
        <v>10</v>
      </c>
      <c r="E36" s="10"/>
      <c r="F36" s="10"/>
      <c r="G36" s="10"/>
      <c r="H36" s="10"/>
      <c r="I36" s="10"/>
      <c r="J36" s="2">
        <v>30</v>
      </c>
      <c r="K36" s="10">
        <v>9</v>
      </c>
      <c r="L36" s="10">
        <v>33</v>
      </c>
      <c r="M36" s="10"/>
      <c r="N36" s="93"/>
      <c r="O36" s="13"/>
      <c r="P36" s="10">
        <v>40</v>
      </c>
      <c r="Q36" s="10"/>
      <c r="R36" s="2"/>
      <c r="S36" s="10"/>
      <c r="T36" s="13"/>
      <c r="U36" s="7">
        <f t="array" ref="U36">IF(AND(A36&lt;&gt;"",OR(ISNUMBER(B36:I36))),SUM(B36:I36),"")</f>
        <v>32</v>
      </c>
      <c r="V36" s="10">
        <f t="array" ref="V36">IF(AND(A36&lt;&gt;"",OR(ISNUMBER(J36:O36))),SUM(J36:O36),"")</f>
        <v>72</v>
      </c>
      <c r="W36" s="10">
        <f t="array" ref="W36">IF(AND(A36&lt;&gt;"",OR(ISNUMBER(P36),ISNUMBER(Q36))),SUM(MAX(P36:Q36),Q36),"")</f>
        <v>40</v>
      </c>
      <c r="X36" s="10" t="str">
        <f t="array" ref="X36">IF(AND(A36&lt;&gt;"",OR(ISNUMBER(S36),ISNUMBER(T36))),SUM(S36,T36),"")</f>
        <v/>
      </c>
      <c r="Y36" s="13">
        <v>1</v>
      </c>
      <c r="Z36" s="13">
        <f>IF(A36&lt;&gt;"",SUM(U36:Y36),"")</f>
        <v>145</v>
      </c>
      <c r="AA36" s="27">
        <f>IF(A36&lt;&gt;"",(Z36+Normalize_To_Add)/(Point_Total_So_Far)*100,"")</f>
        <v>47.540983606557376</v>
      </c>
      <c r="AB36" s="10">
        <f>IF(A36&lt;&gt;"",RANK(AA36,All_Student_XC),"")</f>
        <v>494</v>
      </c>
      <c r="AC36" s="32" t="str">
        <f>IF(A36&lt;&gt;"",CHOOSE(10-MIN(9,TRUNC((AA36+0.5)/10)),"A","B","C","D","F","F","F","F","F","F"),"")</f>
        <v>F</v>
      </c>
      <c r="AD36" s="31" t="str">
        <f>IF(A36&lt;&gt;"",IF(OR(AA36+0.5&gt;=93,AA36+0.5&lt;60),"",IF(MOD(AA36+0.5,10)&gt;=7,"+",IF(MOD(AA36+0.5,10)&lt;3,"-",""))),"")</f>
        <v/>
      </c>
      <c r="AE36" s="32">
        <f>IF(A36&lt;&gt;"",SUM(W36:X36,$W$8:$X$8)/SUM($W$2:$X$2)*100,"")</f>
        <v>40</v>
      </c>
      <c r="AF36" s="32" t="str">
        <f>IF(A36&lt;&gt;"",CHOOSE(10-MIN(9,TRUNC((AE36+0.5)/10)),"A","B","C","D","F","F","F","F","F","F"),"")</f>
        <v>F</v>
      </c>
      <c r="AG36" s="32" t="str">
        <f>IF(A36&lt;&gt;"",IF(OR(AE36+0.5&gt;=93,AE36+0.5&lt;60),"",IF(MOD(AE36+0.5,10)&gt;=7,"+",IF(MOD(AE36+0.5,10)&lt;3,"-",""))),"")</f>
        <v/>
      </c>
      <c r="AH36" s="36">
        <f>IF(A36&lt;&gt;"",MIN(MAX(AA36,AE36),AA36+$AH$8,AE36+$AH$8),"")</f>
        <v>47.540983606557376</v>
      </c>
      <c r="AI36" s="32" t="str">
        <f>IF(A36&lt;&gt;"",CHOOSE(10-MIN(9,TRUNC((AH36+0.5)/10)),"A","B","C","D","F","F","F","F","F","F"),"")</f>
        <v>F</v>
      </c>
      <c r="AJ36" s="32" t="str">
        <f>IF(A36&lt;&gt;"",IF(OR(AH36+0.5&gt;=93,AH36+0.5&lt;60),"",IF(MOD(AH36+0.5,10)&gt;=7,"+",IF(MOD(AH36+0.5,10)&lt;3,"-",""))),"")</f>
        <v/>
      </c>
      <c r="AK36" s="71" t="b">
        <f>IF(A36&lt;&gt;"",OR(AI36&lt;&gt;AC36,AJ36&lt;&gt;AD36),"")</f>
        <v>0</v>
      </c>
      <c r="AL36" s="86">
        <f>IF(AND(A36&lt;&gt;"",U36&lt;&gt;""),SUM(U36,$AL$8)/$AL$2*100,"")</f>
        <v>42.666666666666671</v>
      </c>
      <c r="AM36" s="71">
        <f>IF(AND(A36&lt;&gt;"",V36&lt;&gt;""),SUM(V36,$AM$8)/$AM$2*100,"")</f>
        <v>55.384615384615387</v>
      </c>
      <c r="AN36" s="71">
        <f>IF(AND(A36&lt;&gt;"",ISNUMBER(P36),P36&gt;=0),SUM(P36,$AN$8)/$AN$2*100,"")</f>
        <v>40</v>
      </c>
      <c r="AO36" s="71" t="str">
        <f>IF(AND(A36&lt;&gt;"",ISNUMBER(Q36),Q36&gt;=0),SUM(Q36,$AO$8)/$AO$2*100,"")</f>
        <v/>
      </c>
      <c r="AP36" s="24" t="str">
        <f>IF(AND(A36&lt;&gt;"",R36&lt;&gt;""),SUM(R36,$AP$8)/$AP$2*100,"")</f>
        <v/>
      </c>
      <c r="AQ36" s="24">
        <f>IF(AND(A36&lt;&gt;"",ISNUMBER(W36),W36&gt;=0),SUM(W36,$AQ$8)/$AQ$2*100,"")</f>
        <v>40</v>
      </c>
      <c r="AR36" s="24" t="str">
        <f>IF(AND(A36&lt;&gt;"",T36&gt;0,ISNUMBER(T36)),SUM(T36,$AR$8)/$AR$2*100,"")</f>
        <v/>
      </c>
      <c r="AS36" s="24" t="str">
        <f>IF(AND(A36&lt;&gt;"",X36&lt;&gt;""),SUM(X36,$AS$8)/$AS$2*100,"")</f>
        <v/>
      </c>
      <c r="AT36" s="89">
        <f>IF(AND(A36&lt;&gt;"",OR(ISNUMBER(W36),ISNUMBER(X36))),SUM(W36:X36,$AT$8)/$AT$2*100,"")</f>
        <v>40</v>
      </c>
      <c r="AU36" s="24">
        <f>AA36</f>
        <v>47.540983606557376</v>
      </c>
      <c r="AV36" s="71"/>
      <c r="AW36" s="27">
        <f>IF(A36&lt;&gt;"",AE36-AA36,"")</f>
        <v>-7.5409836065573757</v>
      </c>
      <c r="AY36" s="27" t="b">
        <f>S36&gt;R36</f>
        <v>0</v>
      </c>
      <c r="BA36" s="27" t="e">
        <f>AND(AA36&gt;$BA$3,(W36+$W$8)/$W$2&lt;$BB$3,(X36+$X$8)/$X$2&lt;$BB$3)</f>
        <v>#VALUE!</v>
      </c>
      <c r="BB36" s="27" t="e">
        <f>AND(AA36&lt;$BA$3,AND(W36/$W$2&gt;$BB$3,X36/$X$2&gt;$BB$3))</f>
        <v>#VALUE!</v>
      </c>
      <c r="BC36" s="27" t="e">
        <f>AND(AA36&lt;$BA$3,OR(W36/$W$2&gt;$BB$3,X36/$X$2&gt;$BB$3))</f>
        <v>#VALUE!</v>
      </c>
      <c r="BE36" s="32">
        <v>32</v>
      </c>
    </row>
    <row r="37" spans="1:57" s="99" customFormat="1" ht="12.75" customHeight="1" x14ac:dyDescent="0.2">
      <c r="A37" s="78">
        <v>45595</v>
      </c>
      <c r="B37" s="97">
        <v>25</v>
      </c>
      <c r="C37" s="78">
        <v>13</v>
      </c>
      <c r="D37" s="78">
        <v>16</v>
      </c>
      <c r="E37" s="78"/>
      <c r="F37" s="78"/>
      <c r="G37" s="78"/>
      <c r="H37" s="78"/>
      <c r="I37" s="78"/>
      <c r="J37" s="97">
        <v>30</v>
      </c>
      <c r="K37" s="78">
        <v>0</v>
      </c>
      <c r="L37" s="78">
        <v>35</v>
      </c>
      <c r="M37" s="78"/>
      <c r="N37" s="103"/>
      <c r="O37" s="98"/>
      <c r="P37" s="78">
        <v>60</v>
      </c>
      <c r="Q37" s="78"/>
      <c r="R37" s="97"/>
      <c r="S37" s="78"/>
      <c r="T37" s="98"/>
      <c r="U37" s="79">
        <f t="array" ref="U37">IF(AND(A37&lt;&gt;"",OR(ISNUMBER(B37:I37))),SUM(B37:I37),"")</f>
        <v>54</v>
      </c>
      <c r="V37" s="78">
        <f t="array" ref="V37">IF(AND(A37&lt;&gt;"",OR(ISNUMBER(J37:O37))),SUM(J37:O37),"")</f>
        <v>65</v>
      </c>
      <c r="W37" s="78">
        <f t="array" ref="W37">IF(AND(A37&lt;&gt;"",OR(ISNUMBER(P37),ISNUMBER(Q37))),SUM(MAX(P37:Q37),Q37),"")</f>
        <v>60</v>
      </c>
      <c r="X37" s="78" t="str">
        <f t="array" ref="X37">IF(AND(A37&lt;&gt;"",OR(ISNUMBER(S37),ISNUMBER(T37))),SUM(S37,T37),"")</f>
        <v/>
      </c>
      <c r="Y37" s="98">
        <v>1</v>
      </c>
      <c r="Z37" s="98">
        <f>IF(A37&lt;&gt;"",SUM(U37:Y37),"")</f>
        <v>180</v>
      </c>
      <c r="AA37" s="99">
        <f>IF(A37&lt;&gt;"",(Z37+Normalize_To_Add)/(Point_Total_So_Far)*100,"")</f>
        <v>59.016393442622949</v>
      </c>
      <c r="AB37" s="78">
        <f>IF(A37&lt;&gt;"",RANK(AA37,All_Student_XC),"")</f>
        <v>479</v>
      </c>
      <c r="AC37" s="100" t="str">
        <f>IF(A37&lt;&gt;"",CHOOSE(10-MIN(9,TRUNC((AA37+0.5)/10)),"A","B","C","D","F","F","F","F","F","F"),"")</f>
        <v>F</v>
      </c>
      <c r="AD37" s="96" t="str">
        <f>IF(A37&lt;&gt;"",IF(OR(AA37+0.5&gt;=93,AA37+0.5&lt;60),"",IF(MOD(AA37+0.5,10)&gt;=7,"+",IF(MOD(AA37+0.5,10)&lt;3,"-",""))),"")</f>
        <v/>
      </c>
      <c r="AE37" s="100">
        <f>IF(A37&lt;&gt;"",SUM(W37:X37,$W$8:$X$8)/SUM($W$2:$X$2)*100,"")</f>
        <v>60</v>
      </c>
      <c r="AF37" s="100" t="str">
        <f>IF(A37&lt;&gt;"",CHOOSE(10-MIN(9,TRUNC((AE37+0.5)/10)),"A","B","C","D","F","F","F","F","F","F"),"")</f>
        <v>D</v>
      </c>
      <c r="AG37" s="100" t="str">
        <f>IF(A37&lt;&gt;"",IF(OR(AE37+0.5&gt;=93,AE37+0.5&lt;60),"",IF(MOD(AE37+0.5,10)&gt;=7,"+",IF(MOD(AE37+0.5,10)&lt;3,"-",""))),"")</f>
        <v>-</v>
      </c>
      <c r="AH37" s="101">
        <f>IF(A37&lt;&gt;"",MIN(MAX(AA37,AE37),AA37+$AH$8,AE37+$AH$8),"")</f>
        <v>60</v>
      </c>
      <c r="AI37" s="100" t="str">
        <f>IF(A37&lt;&gt;"",CHOOSE(10-MIN(9,TRUNC((AH37+0.5)/10)),"A","B","C","D","F","F","F","F","F","F"),"")</f>
        <v>D</v>
      </c>
      <c r="AJ37" s="100" t="str">
        <f>IF(A37&lt;&gt;"",IF(OR(AH37+0.5&gt;=93,AH37+0.5&lt;60),"",IF(MOD(AH37+0.5,10)&gt;=7,"+",IF(MOD(AH37+0.5,10)&lt;3,"-",""))),"")</f>
        <v>-</v>
      </c>
      <c r="AK37" s="95" t="b">
        <f>IF(A37&lt;&gt;"",OR(AI37&lt;&gt;AC37,AJ37&lt;&gt;AD37),"")</f>
        <v>1</v>
      </c>
      <c r="AL37" s="104">
        <f>IF(AND(A37&lt;&gt;"",U37&lt;&gt;""),SUM(U37,$AL$8)/$AL$2*100,"")</f>
        <v>72</v>
      </c>
      <c r="AM37" s="95">
        <f>IF(AND(A37&lt;&gt;"",V37&lt;&gt;""),SUM(V37,$AM$8)/$AM$2*100,"")</f>
        <v>50</v>
      </c>
      <c r="AN37" s="95">
        <f>IF(AND(A37&lt;&gt;"",ISNUMBER(P37),P37&gt;=0),SUM(P37,$AN$8)/$AN$2*100,"")</f>
        <v>60</v>
      </c>
      <c r="AO37" s="95" t="str">
        <f>IF(AND(A37&lt;&gt;"",ISNUMBER(Q37),Q37&gt;=0),SUM(Q37,$AO$8)/$AO$2*100,"")</f>
        <v/>
      </c>
      <c r="AP37" s="94" t="str">
        <f>IF(AND(A37&lt;&gt;"",R37&lt;&gt;""),SUM(R37,$AP$8)/$AP$2*100,"")</f>
        <v/>
      </c>
      <c r="AQ37" s="94">
        <f>IF(AND(A37&lt;&gt;"",ISNUMBER(W37),W37&gt;=0),SUM(W37,$AQ$8)/$AQ$2*100,"")</f>
        <v>60</v>
      </c>
      <c r="AR37" s="94" t="str">
        <f>IF(AND(A37&lt;&gt;"",T37&gt;0,ISNUMBER(T37)),SUM(T37,$AR$8)/$AR$2*100,"")</f>
        <v/>
      </c>
      <c r="AS37" s="94" t="str">
        <f>IF(AND(A37&lt;&gt;"",X37&lt;&gt;""),SUM(X37,$AS$8)/$AS$2*100,"")</f>
        <v/>
      </c>
      <c r="AT37" s="102">
        <f>IF(AND(A37&lt;&gt;"",OR(ISNUMBER(W37),ISNUMBER(X37))),SUM(W37:X37,$AT$8)/$AT$2*100,"")</f>
        <v>60</v>
      </c>
      <c r="AU37" s="94">
        <f>AA37</f>
        <v>59.016393442622949</v>
      </c>
      <c r="AV37" s="95"/>
      <c r="AW37" s="99">
        <f>IF(A37&lt;&gt;"",AE37-AA37,"")</f>
        <v>0.98360655737705116</v>
      </c>
      <c r="AY37" s="99" t="b">
        <f>S37&gt;R37</f>
        <v>0</v>
      </c>
      <c r="BA37" s="99" t="e">
        <f>AND(AA37&gt;$BA$3,(W37+$W$8)/$W$2&lt;$BB$3,(X37+$X$8)/$X$2&lt;$BB$3)</f>
        <v>#VALUE!</v>
      </c>
      <c r="BB37" s="99" t="e">
        <f>AND(AA37&lt;$BA$3,AND(W37/$W$2&gt;$BB$3,X37/$X$2&gt;$BB$3))</f>
        <v>#VALUE!</v>
      </c>
      <c r="BC37" s="99" t="e">
        <f>AND(AA37&lt;$BA$3,OR(W37/$W$2&gt;$BB$3,X37/$X$2&gt;$BB$3))</f>
        <v>#VALUE!</v>
      </c>
      <c r="BE37" s="100">
        <v>32</v>
      </c>
    </row>
    <row r="38" spans="1:57" s="27" customFormat="1" ht="12.75" customHeight="1" x14ac:dyDescent="0.2">
      <c r="A38" s="7">
        <v>46451</v>
      </c>
      <c r="B38" s="55">
        <v>21</v>
      </c>
      <c r="C38" s="10">
        <v>22</v>
      </c>
      <c r="D38" s="10">
        <v>25</v>
      </c>
      <c r="E38" s="10"/>
      <c r="F38" s="10"/>
      <c r="G38" s="10"/>
      <c r="H38" s="10"/>
      <c r="I38" s="10"/>
      <c r="J38" s="2">
        <v>29</v>
      </c>
      <c r="K38" s="10">
        <v>52</v>
      </c>
      <c r="L38" s="10">
        <v>49</v>
      </c>
      <c r="M38" s="10"/>
      <c r="N38" s="10"/>
      <c r="O38" s="12"/>
      <c r="P38" s="41">
        <v>80</v>
      </c>
      <c r="Q38" s="41"/>
      <c r="R38" s="2"/>
      <c r="S38" s="10"/>
      <c r="T38" s="13"/>
      <c r="U38" s="7">
        <f t="array" ref="U38">IF(AND(A38&lt;&gt;"",OR(ISNUMBER(B38:I38))),SUM(B38:I38),"")</f>
        <v>68</v>
      </c>
      <c r="V38" s="10">
        <f t="array" ref="V38">IF(AND(A38&lt;&gt;"",OR(ISNUMBER(J38:O38))),SUM(J38:O38),"")</f>
        <v>130</v>
      </c>
      <c r="W38" s="10">
        <f t="array" ref="W38">IF(AND(A38&lt;&gt;"",OR(ISNUMBER(P38),ISNUMBER(Q38))),SUM(MAX(P38:Q38),Q38),"")</f>
        <v>80</v>
      </c>
      <c r="X38" s="10" t="str">
        <f t="array" ref="X38">IF(AND(A38&lt;&gt;"",OR(ISNUMBER(S38),ISNUMBER(T38))),SUM(S38,T38),"")</f>
        <v/>
      </c>
      <c r="Y38" s="13">
        <v>1</v>
      </c>
      <c r="Z38" s="13">
        <f>IF(A38&lt;&gt;"",SUM(U38:Y38),"")</f>
        <v>279</v>
      </c>
      <c r="AA38" s="27">
        <f>IF(A38&lt;&gt;"",(Z38+Normalize_To_Add)/(Point_Total_So_Far)*100,"")</f>
        <v>91.475409836065566</v>
      </c>
      <c r="AB38" s="10">
        <f>IF(A38&lt;&gt;"",RANK(AA38,All_Student_XC),"")</f>
        <v>315</v>
      </c>
      <c r="AC38" s="32" t="str">
        <f>IF(A38&lt;&gt;"",CHOOSE(10-MIN(9,TRUNC((AA38+0.5)/10)),"A","B","C","D","F","F","F","F","F","F"),"")</f>
        <v>A</v>
      </c>
      <c r="AD38" s="32" t="str">
        <f>IF(A38&lt;&gt;"",IF(OR(AA38+0.5&gt;=93,AA38+0.5&lt;60),"",IF(MOD(AA38+0.5,10)&gt;=7,"+",IF(MOD(AA38+0.5,10)&lt;3,"-",""))),"")</f>
        <v>-</v>
      </c>
      <c r="AE38" s="32">
        <f>IF(A38&lt;&gt;"",SUM(W38:X38,$W$8:$X$8)/SUM($W$2:$X$2)*100,"")</f>
        <v>80</v>
      </c>
      <c r="AF38" s="32" t="str">
        <f>IF(A38&lt;&gt;"",CHOOSE(10-MIN(9,TRUNC((AE38+0.5)/10)),"A","B","C","D","F","F","F","F","F","F"),"")</f>
        <v>B</v>
      </c>
      <c r="AG38" s="32" t="str">
        <f>IF(A38&lt;&gt;"",IF(OR(AE38+0.5&gt;=93,AE38+0.5&lt;60),"",IF(MOD(AE38+0.5,10)&gt;=7,"+",IF(MOD(AE38+0.5,10)&lt;3,"-",""))),"")</f>
        <v>-</v>
      </c>
      <c r="AH38" s="36">
        <f>IF(A38&lt;&gt;"",MIN(MAX(AA38,AE38),AA38+$AH$8,AE38+$AH$8),"")</f>
        <v>91.475409836065566</v>
      </c>
      <c r="AI38" s="32" t="str">
        <f>IF(A38&lt;&gt;"",CHOOSE(10-MIN(9,TRUNC((AH38+0.5)/10)),"A","B","C","D","F","F","F","F","F","F"),"")</f>
        <v>A</v>
      </c>
      <c r="AJ38" s="32" t="str">
        <f>IF(A38&lt;&gt;"",IF(OR(AH38+0.5&gt;=93,AH38+0.5&lt;60),"",IF(MOD(AH38+0.5,10)&gt;=7,"+",IF(MOD(AH38+0.5,10)&lt;3,"-",""))),"")</f>
        <v>-</v>
      </c>
      <c r="AK38" s="32" t="b">
        <f>IF(A38&lt;&gt;"",OR(AI38&lt;&gt;AC38,AJ38&lt;&gt;AD38),"")</f>
        <v>0</v>
      </c>
      <c r="AL38" s="84">
        <f>IF(AND(A38&lt;&gt;"",U38&lt;&gt;""),SUM(U38,$AL$8)/$AL$2*100,"")</f>
        <v>90.666666666666657</v>
      </c>
      <c r="AM38" s="24">
        <f>IF(AND(A38&lt;&gt;"",V38&lt;&gt;""),SUM(V38,$AM$8)/$AM$2*100,"")</f>
        <v>100</v>
      </c>
      <c r="AN38" s="24">
        <f>IF(AND(A38&lt;&gt;"",ISNUMBER(P38),P38&gt;=0),SUM(P38,$AN$8)/$AN$2*100,"")</f>
        <v>80</v>
      </c>
      <c r="AO38" s="24" t="str">
        <f>IF(AND(A38&lt;&gt;"",ISNUMBER(Q38),Q38&gt;=0),SUM(Q38,$AO$8)/$AO$2*100,"")</f>
        <v/>
      </c>
      <c r="AP38" s="24" t="str">
        <f>IF(AND(A38&lt;&gt;"",R38&lt;&gt;""),SUM(R38,$AP$8)/$AP$2*100,"")</f>
        <v/>
      </c>
      <c r="AQ38" s="24">
        <f>IF(AND(A38&lt;&gt;"",ISNUMBER(W38),W38&gt;=0),SUM(W38,$AQ$8)/$AQ$2*100,"")</f>
        <v>80</v>
      </c>
      <c r="AR38" s="24" t="str">
        <f>IF(AND(A38&lt;&gt;"",T38&gt;0,ISNUMBER(T38)),SUM(T38,$AR$8)/$AR$2*100,"")</f>
        <v/>
      </c>
      <c r="AS38" s="24" t="str">
        <f>IF(AND(A38&lt;&gt;"",X38&lt;&gt;""),SUM(X38,$AS$8)/$AS$2*100,"")</f>
        <v/>
      </c>
      <c r="AT38" s="89">
        <f>IF(AND(A38&lt;&gt;"",OR(ISNUMBER(W38),ISNUMBER(X38))),SUM(W38:X38,$AT$8)/$AT$2*100,"")</f>
        <v>80</v>
      </c>
      <c r="AU38" s="24">
        <f>AA38</f>
        <v>91.475409836065566</v>
      </c>
      <c r="AV38" s="24"/>
      <c r="AW38" s="27">
        <f>IF(A38&lt;&gt;"",AE38-AA38,"")</f>
        <v>-11.475409836065566</v>
      </c>
      <c r="AY38" s="27" t="b">
        <f>S38&gt;R38</f>
        <v>0</v>
      </c>
      <c r="BA38" s="27" t="e">
        <f>AND(AA38&gt;$BA$3,(W38+$W$8)/$W$2&lt;$BB$3,(X38+$X$8)/$X$2&lt;$BB$3)</f>
        <v>#VALUE!</v>
      </c>
      <c r="BB38" s="27" t="e">
        <f>AND(AA38&lt;$BA$3,AND(W38/$W$2&gt;$BB$3,X38/$X$2&gt;$BB$3))</f>
        <v>#VALUE!</v>
      </c>
      <c r="BC38" s="27" t="e">
        <f>AND(AA38&lt;$BA$3,OR(W38/$W$2&gt;$BB$3,X38/$X$2&gt;$BB$3))</f>
        <v>#VALUE!</v>
      </c>
      <c r="BE38" s="32" t="s">
        <v>85</v>
      </c>
    </row>
    <row r="39" spans="1:57" s="27" customFormat="1" ht="12.75" customHeight="1" x14ac:dyDescent="0.2">
      <c r="A39" s="10">
        <v>46966</v>
      </c>
      <c r="B39" s="2">
        <v>4</v>
      </c>
      <c r="C39" s="10">
        <v>4</v>
      </c>
      <c r="D39" s="10">
        <v>15</v>
      </c>
      <c r="E39" s="10"/>
      <c r="F39" s="10"/>
      <c r="G39" s="3"/>
      <c r="H39" s="10"/>
      <c r="I39" s="10"/>
      <c r="J39" s="2">
        <v>18</v>
      </c>
      <c r="K39" s="10" t="s">
        <v>67</v>
      </c>
      <c r="L39" s="10">
        <v>49</v>
      </c>
      <c r="M39" s="10"/>
      <c r="N39" s="10"/>
      <c r="O39" s="12"/>
      <c r="P39" s="10">
        <v>60</v>
      </c>
      <c r="Q39" s="41"/>
      <c r="R39" s="2"/>
      <c r="S39" s="10"/>
      <c r="T39" s="13"/>
      <c r="U39" s="77">
        <f t="array" ref="U39">IF(AND(A39&lt;&gt;"",OR(ISNUMBER(B39:I39))),SUM(B39:I39),"")</f>
        <v>23</v>
      </c>
      <c r="V39" s="10">
        <f t="array" ref="V39">IF(AND(A39&lt;&gt;"",OR(ISNUMBER(J39:O39))),SUM(J39:O39),"")</f>
        <v>67</v>
      </c>
      <c r="W39" s="10">
        <f t="array" ref="W39">IF(AND(A39&lt;&gt;"",OR(ISNUMBER(P39),ISNUMBER(Q39))),SUM(MAX(P39:Q39),Q39),"")</f>
        <v>60</v>
      </c>
      <c r="X39" s="10" t="str">
        <f t="array" ref="X39">IF(AND(A39&lt;&gt;"",OR(ISNUMBER(S39),ISNUMBER(T39))),SUM(S39,T39),"")</f>
        <v/>
      </c>
      <c r="Y39" s="13">
        <v>1</v>
      </c>
      <c r="Z39" s="13">
        <f>IF(A39&lt;&gt;"",SUM(U39:Y39),"")</f>
        <v>151</v>
      </c>
      <c r="AA39" s="27">
        <f>IF(A39&lt;&gt;"",(Z39+Normalize_To_Add)/(Point_Total_So_Far)*100,"")</f>
        <v>49.508196721311478</v>
      </c>
      <c r="AB39" s="10">
        <f>IF(A39&lt;&gt;"",RANK(AA39,All_Student_XC),"")</f>
        <v>493</v>
      </c>
      <c r="AC39" s="32" t="str">
        <f>IF(A39&lt;&gt;"",CHOOSE(10-MIN(9,TRUNC((AA39+0.5)/10)),"A","B","C","D","F","F","F","F","F","F"),"")</f>
        <v>F</v>
      </c>
      <c r="AD39" s="32" t="str">
        <f>IF(A39&lt;&gt;"",IF(OR(AA39+0.5&gt;=93,AA39+0.5&lt;60),"",IF(MOD(AA39+0.5,10)&gt;=7,"+",IF(MOD(AA39+0.5,10)&lt;3,"-",""))),"")</f>
        <v/>
      </c>
      <c r="AE39" s="32">
        <f>IF(A39&lt;&gt;"",SUM(W39:X39,$W$8:$X$8)/SUM($W$2:$X$2)*100,"")</f>
        <v>60</v>
      </c>
      <c r="AF39" s="32" t="str">
        <f>IF(A39&lt;&gt;"",CHOOSE(10-MIN(9,TRUNC((AE39+0.5)/10)),"A","B","C","D","F","F","F","F","F","F"),"")</f>
        <v>D</v>
      </c>
      <c r="AG39" s="32" t="str">
        <f>IF(A39&lt;&gt;"",IF(OR(AE39+0.5&gt;=93,AE39+0.5&lt;60),"",IF(MOD(AE39+0.5,10)&gt;=7,"+",IF(MOD(AE39+0.5,10)&lt;3,"-",""))),"")</f>
        <v>-</v>
      </c>
      <c r="AH39" s="36">
        <f>IF(A39&lt;&gt;"",MIN(MAX(AA39,AE39),AA39+$AH$8,AE39+$AH$8),"")</f>
        <v>60</v>
      </c>
      <c r="AI39" s="32" t="str">
        <f>IF(A39&lt;&gt;"",CHOOSE(10-MIN(9,TRUNC((AH39+0.5)/10)),"A","B","C","D","F","F","F","F","F","F"),"")</f>
        <v>D</v>
      </c>
      <c r="AJ39" s="32" t="str">
        <f>IF(A39&lt;&gt;"",IF(OR(AH39+0.5&gt;=93,AH39+0.5&lt;60),"",IF(MOD(AH39+0.5,10)&gt;=7,"+",IF(MOD(AH39+0.5,10)&lt;3,"-",""))),"")</f>
        <v>-</v>
      </c>
      <c r="AK39" s="32" t="b">
        <f>IF(A39&lt;&gt;"",OR(AI39&lt;&gt;AC39,AJ39&lt;&gt;AD39),"")</f>
        <v>1</v>
      </c>
      <c r="AL39" s="84">
        <f>IF(AND(A39&lt;&gt;"",U39&lt;&gt;""),SUM(U39,$AL$8)/$AL$2*100,"")</f>
        <v>30.666666666666664</v>
      </c>
      <c r="AM39" s="24">
        <f>IF(AND(A39&lt;&gt;"",V39&lt;&gt;""),SUM(V39,$AM$8)/$AM$2*100,"")</f>
        <v>51.538461538461533</v>
      </c>
      <c r="AN39" s="24">
        <f>IF(AND(A39&lt;&gt;"",ISNUMBER(P39),P39&gt;=0),SUM(P39,$AN$8)/$AN$2*100,"")</f>
        <v>60</v>
      </c>
      <c r="AO39" s="24" t="str">
        <f>IF(AND(A39&lt;&gt;"",ISNUMBER(Q39),Q39&gt;=0),SUM(Q39,$AO$8)/$AO$2*100,"")</f>
        <v/>
      </c>
      <c r="AP39" s="24" t="str">
        <f>IF(AND(A39&lt;&gt;"",R39&lt;&gt;""),SUM(R39,$AP$8)/$AP$2*100,"")</f>
        <v/>
      </c>
      <c r="AQ39" s="24">
        <f>IF(AND(A39&lt;&gt;"",ISNUMBER(W39),W39&gt;=0),SUM(W39,$AQ$8)/$AQ$2*100,"")</f>
        <v>60</v>
      </c>
      <c r="AR39" s="24" t="str">
        <f>IF(AND(A39&lt;&gt;"",T39&gt;0,ISNUMBER(T39)),SUM(T39,$AR$8)/$AR$2*100,"")</f>
        <v/>
      </c>
      <c r="AS39" s="24" t="str">
        <f>IF(AND(A39&lt;&gt;"",X39&lt;&gt;""),SUM(X39,$AS$8)/$AS$2*100,"")</f>
        <v/>
      </c>
      <c r="AT39" s="89">
        <f>IF(AND(A39&lt;&gt;"",OR(ISNUMBER(W39),ISNUMBER(X39))),SUM(W39:X39,$AT$8)/$AT$2*100,"")</f>
        <v>60</v>
      </c>
      <c r="AU39" s="24">
        <f>AA39</f>
        <v>49.508196721311478</v>
      </c>
      <c r="AV39" s="24"/>
      <c r="AW39" s="27">
        <f>IF(A39&lt;&gt;"",AE39-AA39,"")</f>
        <v>10.491803278688522</v>
      </c>
      <c r="AY39" s="27" t="b">
        <f>S39&gt;R39</f>
        <v>0</v>
      </c>
      <c r="BA39" s="27" t="e">
        <f>AND(AA39&gt;$BA$3,(W39+$W$8)/$W$2&lt;$BB$3,(X39+$X$8)/$X$2&lt;$BB$3)</f>
        <v>#VALUE!</v>
      </c>
      <c r="BB39" s="27" t="e">
        <f>AND(AA39&lt;$BA$3,AND(W39/$W$2&gt;$BB$3,X39/$X$2&gt;$BB$3))</f>
        <v>#VALUE!</v>
      </c>
      <c r="BC39" s="27" t="e">
        <f>AND(AA39&lt;$BA$3,OR(W39/$W$2&gt;$BB$3,X39/$X$2&gt;$BB$3))</f>
        <v>#VALUE!</v>
      </c>
      <c r="BE39" s="32">
        <v>32</v>
      </c>
    </row>
    <row r="40" spans="1:57" s="27" customFormat="1" ht="12.75" customHeight="1" x14ac:dyDescent="0.2">
      <c r="A40" s="10">
        <v>47488</v>
      </c>
      <c r="B40" s="2">
        <v>24</v>
      </c>
      <c r="C40" s="10">
        <v>24</v>
      </c>
      <c r="D40" s="10">
        <v>25</v>
      </c>
      <c r="E40" s="10"/>
      <c r="F40" s="10"/>
      <c r="G40" s="10"/>
      <c r="H40" s="10"/>
      <c r="I40" s="10"/>
      <c r="J40" s="2">
        <v>25</v>
      </c>
      <c r="K40" s="10">
        <v>48</v>
      </c>
      <c r="L40" s="10">
        <v>50</v>
      </c>
      <c r="M40" s="10"/>
      <c r="N40" s="93"/>
      <c r="O40" s="13"/>
      <c r="P40" s="10">
        <v>100</v>
      </c>
      <c r="Q40" s="10"/>
      <c r="R40" s="2"/>
      <c r="S40" s="10"/>
      <c r="T40" s="13"/>
      <c r="U40" s="1">
        <f t="array" ref="U40">IF(AND(A40&lt;&gt;"",OR(ISNUMBER(B40:I40))),SUM(B40:I40),"")</f>
        <v>73</v>
      </c>
      <c r="V40" s="10">
        <f t="array" ref="V40">IF(AND(A40&lt;&gt;"",OR(ISNUMBER(J40:O40))),SUM(J40:O40),"")</f>
        <v>123</v>
      </c>
      <c r="W40" s="10">
        <f t="array" ref="W40">IF(AND(A40&lt;&gt;"",OR(ISNUMBER(P40),ISNUMBER(Q40))),SUM(MAX(P40:Q40),Q40),"")</f>
        <v>100</v>
      </c>
      <c r="X40" s="10" t="str">
        <f t="array" ref="X40">IF(AND(A40&lt;&gt;"",OR(ISNUMBER(S40),ISNUMBER(T40))),SUM(S40,T40),"")</f>
        <v/>
      </c>
      <c r="Y40" s="13">
        <v>1</v>
      </c>
      <c r="Z40" s="13">
        <f>IF(A40&lt;&gt;"",SUM(U40:Y40),"")</f>
        <v>297</v>
      </c>
      <c r="AA40" s="27">
        <f>IF(A40&lt;&gt;"",(Z40+Normalize_To_Add)/(Point_Total_So_Far)*100,"")</f>
        <v>97.377049180327873</v>
      </c>
      <c r="AB40" s="10">
        <f>IF(A40&lt;&gt;"",RANK(AA40,All_Student_XC),"")</f>
        <v>224</v>
      </c>
      <c r="AC40" s="32" t="str">
        <f>IF(A40&lt;&gt;"",CHOOSE(10-MIN(9,TRUNC((AA40+0.5)/10)),"A","B","C","D","F","F","F","F","F","F"),"")</f>
        <v>A</v>
      </c>
      <c r="AD40" s="31" t="str">
        <f>IF(A40&lt;&gt;"",IF(OR(AA40+0.5&gt;=93,AA40+0.5&lt;60),"",IF(MOD(AA40+0.5,10)&gt;=7,"+",IF(MOD(AA40+0.5,10)&lt;3,"-",""))),"")</f>
        <v/>
      </c>
      <c r="AE40" s="32">
        <f>IF(A40&lt;&gt;"",SUM(W40:X40,$W$8:$X$8)/SUM($W$2:$X$2)*100,"")</f>
        <v>100</v>
      </c>
      <c r="AF40" s="32" t="str">
        <f>IF(A40&lt;&gt;"",CHOOSE(10-MIN(9,TRUNC((AE40+0.5)/10)),"A","B","C","D","F","F","F","F","F","F"),"")</f>
        <v>A</v>
      </c>
      <c r="AG40" s="32" t="str">
        <f>IF(A40&lt;&gt;"",IF(OR(AE40+0.5&gt;=93,AE40+0.5&lt;60),"",IF(MOD(AE40+0.5,10)&gt;=7,"+",IF(MOD(AE40+0.5,10)&lt;3,"-",""))),"")</f>
        <v/>
      </c>
      <c r="AH40" s="36">
        <f>IF(A40&lt;&gt;"",MIN(MAX(AA40,AE40),AA40+$AH$8,AE40+$AH$8),"")</f>
        <v>100</v>
      </c>
      <c r="AI40" s="32" t="str">
        <f>IF(A40&lt;&gt;"",CHOOSE(10-MIN(9,TRUNC((AH40+0.5)/10)),"A","B","C","D","F","F","F","F","F","F"),"")</f>
        <v>A</v>
      </c>
      <c r="AJ40" s="32" t="str">
        <f>IF(A40&lt;&gt;"",IF(OR(AH40+0.5&gt;=93,AH40+0.5&lt;60),"",IF(MOD(AH40+0.5,10)&gt;=7,"+",IF(MOD(AH40+0.5,10)&lt;3,"-",""))),"")</f>
        <v/>
      </c>
      <c r="AK40" s="71" t="b">
        <f>IF(A40&lt;&gt;"",OR(AI40&lt;&gt;AC40,AJ40&lt;&gt;AD40),"")</f>
        <v>0</v>
      </c>
      <c r="AL40" s="86">
        <f>IF(AND(A40&lt;&gt;"",U40&lt;&gt;""),SUM(U40,$AL$8)/$AL$2*100,"")</f>
        <v>97.333333333333343</v>
      </c>
      <c r="AM40" s="71">
        <f>IF(AND(A40&lt;&gt;"",V40&lt;&gt;""),SUM(V40,$AM$8)/$AM$2*100,"")</f>
        <v>94.615384615384613</v>
      </c>
      <c r="AN40" s="71">
        <f>IF(AND(A40&lt;&gt;"",ISNUMBER(P40),P40&gt;=0),SUM(P40,$AN$8)/$AN$2*100,"")</f>
        <v>100</v>
      </c>
      <c r="AO40" s="71" t="str">
        <f>IF(AND(A40&lt;&gt;"",ISNUMBER(Q40),Q40&gt;=0),SUM(Q40,$AO$8)/$AO$2*100,"")</f>
        <v/>
      </c>
      <c r="AP40" s="24" t="str">
        <f>IF(AND(A40&lt;&gt;"",R40&lt;&gt;""),SUM(R40,$AP$8)/$AP$2*100,"")</f>
        <v/>
      </c>
      <c r="AQ40" s="24">
        <f>IF(AND(A40&lt;&gt;"",ISNUMBER(W40),W40&gt;=0),SUM(W40,$AQ$8)/$AQ$2*100,"")</f>
        <v>100</v>
      </c>
      <c r="AR40" s="24" t="str">
        <f>IF(AND(A40&lt;&gt;"",T40&gt;0,ISNUMBER(T40)),SUM(T40,$AR$8)/$AR$2*100,"")</f>
        <v/>
      </c>
      <c r="AS40" s="24" t="str">
        <f>IF(AND(A40&lt;&gt;"",X40&lt;&gt;""),SUM(X40,$AS$8)/$AS$2*100,"")</f>
        <v/>
      </c>
      <c r="AT40" s="89">
        <f>IF(AND(A40&lt;&gt;"",OR(ISNUMBER(W40),ISNUMBER(X40))),SUM(W40:X40,$AT$8)/$AT$2*100,"")</f>
        <v>100</v>
      </c>
      <c r="AU40" s="24">
        <f>AA40</f>
        <v>97.377049180327873</v>
      </c>
      <c r="AV40" s="71"/>
      <c r="AW40" s="27">
        <f>IF(A40&lt;&gt;"",AE40-AA40,"")</f>
        <v>2.622950819672127</v>
      </c>
      <c r="AY40" s="27" t="b">
        <f>S40&gt;R40</f>
        <v>0</v>
      </c>
      <c r="BA40" s="27" t="e">
        <f>AND(AA40&gt;$BA$3,(W40+$W$8)/$W$2&lt;$BB$3,(X40+$X$8)/$X$2&lt;$BB$3)</f>
        <v>#VALUE!</v>
      </c>
      <c r="BB40" s="27" t="e">
        <f>AND(AA40&lt;$BA$3,AND(W40/$W$2&gt;$BB$3,X40/$X$2&gt;$BB$3))</f>
        <v>#VALUE!</v>
      </c>
      <c r="BC40" s="27" t="e">
        <f>AND(AA40&lt;$BA$3,OR(W40/$W$2&gt;$BB$3,X40/$X$2&gt;$BB$3))</f>
        <v>#VALUE!</v>
      </c>
      <c r="BE40" s="32" t="s">
        <v>84</v>
      </c>
    </row>
    <row r="41" spans="1:57" s="27" customFormat="1" ht="12.75" customHeight="1" x14ac:dyDescent="0.2">
      <c r="A41" s="10">
        <v>47899</v>
      </c>
      <c r="B41" s="2">
        <v>22</v>
      </c>
      <c r="C41" s="10">
        <v>21</v>
      </c>
      <c r="D41" s="10">
        <v>25</v>
      </c>
      <c r="E41" s="10"/>
      <c r="F41" s="10"/>
      <c r="G41" s="10"/>
      <c r="H41" s="10"/>
      <c r="I41" s="10"/>
      <c r="J41" s="2">
        <v>30</v>
      </c>
      <c r="K41" s="10">
        <v>50</v>
      </c>
      <c r="L41" s="10">
        <v>49</v>
      </c>
      <c r="M41" s="10"/>
      <c r="N41" s="93"/>
      <c r="O41" s="13"/>
      <c r="P41" s="10">
        <v>100</v>
      </c>
      <c r="Q41" s="10"/>
      <c r="R41" s="2"/>
      <c r="S41" s="10"/>
      <c r="T41" s="13"/>
      <c r="U41" s="1">
        <f t="array" ref="U41">IF(AND(A41&lt;&gt;"",OR(ISNUMBER(B41:I41))),SUM(B41:I41),"")</f>
        <v>68</v>
      </c>
      <c r="V41" s="10">
        <f t="array" ref="V41">IF(AND(A41&lt;&gt;"",OR(ISNUMBER(J41:O41))),SUM(J41:O41),"")</f>
        <v>129</v>
      </c>
      <c r="W41" s="10">
        <f t="array" ref="W41">IF(AND(A41&lt;&gt;"",OR(ISNUMBER(P41),ISNUMBER(Q41))),SUM(MAX(P41:Q41),Q41),"")</f>
        <v>100</v>
      </c>
      <c r="X41" s="10" t="str">
        <f t="array" ref="X41">IF(AND(A41&lt;&gt;"",OR(ISNUMBER(S41),ISNUMBER(T41))),SUM(S41,T41),"")</f>
        <v/>
      </c>
      <c r="Y41" s="13">
        <v>1</v>
      </c>
      <c r="Z41" s="13">
        <f>IF(A41&lt;&gt;"",SUM(U41:Y41),"")</f>
        <v>298</v>
      </c>
      <c r="AA41" s="27">
        <f>IF(A41&lt;&gt;"",(Z41+Normalize_To_Add)/(Point_Total_So_Far)*100,"")</f>
        <v>97.704918032786878</v>
      </c>
      <c r="AB41" s="10">
        <f>IF(A41&lt;&gt;"",RANK(AA41,All_Student_XC),"")</f>
        <v>210</v>
      </c>
      <c r="AC41" s="32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2">
        <f>IF(A41&lt;&gt;"",SUM(W41:X41,$W$8:$X$8)/SUM($W$2:$X$2)*100,"")</f>
        <v>100</v>
      </c>
      <c r="AF41" s="32" t="str">
        <f>IF(A41&lt;&gt;"",CHOOSE(10-MIN(9,TRUNC((AE41+0.5)/10)),"A","B","C","D","F","F","F","F","F","F"),"")</f>
        <v>A</v>
      </c>
      <c r="AG41" s="32" t="str">
        <f>IF(A41&lt;&gt;"",IF(OR(AE41+0.5&gt;=93,AE41+0.5&lt;60),"",IF(MOD(AE41+0.5,10)&gt;=7,"+",IF(MOD(AE41+0.5,10)&lt;3,"-",""))),"")</f>
        <v/>
      </c>
      <c r="AH41" s="36">
        <f>IF(A41&lt;&gt;"",MIN(MAX(AA41,AE41),AA41+$AH$8,AE41+$AH$8),"")</f>
        <v>100</v>
      </c>
      <c r="AI41" s="32" t="str">
        <f>IF(A41&lt;&gt;"",CHOOSE(10-MIN(9,TRUNC((AH41+0.5)/10)),"A","B","C","D","F","F","F","F","F","F"),"")</f>
        <v>A</v>
      </c>
      <c r="AJ41" s="32" t="str">
        <f>IF(A41&lt;&gt;"",IF(OR(AH41+0.5&gt;=93,AH41+0.5&lt;60),"",IF(MOD(AH41+0.5,10)&gt;=7,"+",IF(MOD(AH41+0.5,10)&lt;3,"-",""))),"")</f>
        <v/>
      </c>
      <c r="AK41" s="71" t="b">
        <f>IF(A41&lt;&gt;"",OR(AI41&lt;&gt;AC41,AJ41&lt;&gt;AD41),"")</f>
        <v>0</v>
      </c>
      <c r="AL41" s="86">
        <f>IF(AND(A41&lt;&gt;"",U41&lt;&gt;""),SUM(U41,$AL$8)/$AL$2*100,"")</f>
        <v>90.666666666666657</v>
      </c>
      <c r="AM41" s="71">
        <f>IF(AND(A41&lt;&gt;"",V41&lt;&gt;""),SUM(V41,$AM$8)/$AM$2*100,"")</f>
        <v>99.230769230769226</v>
      </c>
      <c r="AN41" s="71">
        <f>IF(AND(A41&lt;&gt;"",ISNUMBER(P41),P41&gt;=0),SUM(P41,$AN$8)/$AN$2*100,"")</f>
        <v>100</v>
      </c>
      <c r="AO41" s="71" t="str">
        <f>IF(AND(A41&lt;&gt;"",ISNUMBER(Q41),Q41&gt;=0),SUM(Q41,$AO$8)/$AO$2*100,"")</f>
        <v/>
      </c>
      <c r="AP41" s="24" t="str">
        <f>IF(AND(A41&lt;&gt;"",R41&lt;&gt;""),SUM(R41,$AP$8)/$AP$2*100,"")</f>
        <v/>
      </c>
      <c r="AQ41" s="24">
        <f>IF(AND(A41&lt;&gt;"",ISNUMBER(W41),W41&gt;=0),SUM(W41,$AQ$8)/$AQ$2*100,"")</f>
        <v>100</v>
      </c>
      <c r="AR41" s="24" t="str">
        <f>IF(AND(A41&lt;&gt;"",T41&gt;0,ISNUMBER(T41)),SUM(T41,$AR$8)/$AR$2*100,"")</f>
        <v/>
      </c>
      <c r="AS41" s="24" t="str">
        <f>IF(AND(A41&lt;&gt;"",X41&lt;&gt;""),SUM(X41,$AS$8)/$AS$2*100,"")</f>
        <v/>
      </c>
      <c r="AT41" s="89">
        <f>IF(AND(A41&lt;&gt;"",OR(ISNUMBER(W41),ISNUMBER(X41))),SUM(W41:X41,$AT$8)/$AT$2*100,"")</f>
        <v>100</v>
      </c>
      <c r="AU41" s="24">
        <f>AA41</f>
        <v>97.704918032786878</v>
      </c>
      <c r="AV41" s="71"/>
      <c r="AW41" s="27">
        <f>IF(A41&lt;&gt;"",AE41-AA41,"")</f>
        <v>2.2950819672131217</v>
      </c>
      <c r="AY41" s="27" t="b">
        <f>S41&gt;R41</f>
        <v>0</v>
      </c>
      <c r="BA41" s="27" t="e">
        <f>AND(AA41&gt;$BA$3,(W41+$W$8)/$W$2&lt;$BB$3,(X41+$X$8)/$X$2&lt;$BB$3)</f>
        <v>#VALUE!</v>
      </c>
      <c r="BB41" s="27" t="e">
        <f>AND(AA41&lt;$BA$3,AND(W41/$W$2&gt;$BB$3,X41/$X$2&gt;$BB$3))</f>
        <v>#VALUE!</v>
      </c>
      <c r="BC41" s="27" t="e">
        <f>AND(AA41&lt;$BA$3,OR(W41/$W$2&gt;$BB$3,X41/$X$2&gt;$BB$3))</f>
        <v>#VALUE!</v>
      </c>
      <c r="BE41" s="32" t="s">
        <v>84</v>
      </c>
    </row>
    <row r="42" spans="1:57" s="27" customFormat="1" ht="12.75" customHeight="1" x14ac:dyDescent="0.2">
      <c r="A42" s="10">
        <v>50175</v>
      </c>
      <c r="B42" s="2">
        <v>4</v>
      </c>
      <c r="C42" s="10">
        <v>12</v>
      </c>
      <c r="D42" s="10" t="s">
        <v>67</v>
      </c>
      <c r="E42" s="10"/>
      <c r="F42" s="10"/>
      <c r="G42" s="3"/>
      <c r="H42" s="10"/>
      <c r="I42" s="10"/>
      <c r="J42" s="2">
        <v>3</v>
      </c>
      <c r="K42" s="10">
        <v>6</v>
      </c>
      <c r="L42" s="10">
        <v>14</v>
      </c>
      <c r="M42" s="10"/>
      <c r="N42" s="10"/>
      <c r="O42" s="12"/>
      <c r="P42" s="7">
        <v>100</v>
      </c>
      <c r="Q42" s="41"/>
      <c r="R42" s="2"/>
      <c r="S42" s="10"/>
      <c r="T42" s="13"/>
      <c r="U42" s="77">
        <f t="array" ref="U42">IF(AND(A42&lt;&gt;"",OR(ISNUMBER(B42:I42))),SUM(B42:I42),"")</f>
        <v>16</v>
      </c>
      <c r="V42" s="10">
        <f t="array" ref="V42">IF(AND(A42&lt;&gt;"",OR(ISNUMBER(J42:O42))),SUM(J42:O42),"")</f>
        <v>23</v>
      </c>
      <c r="W42" s="10">
        <f t="array" ref="W42">IF(AND(A42&lt;&gt;"",OR(ISNUMBER(P42),ISNUMBER(Q42))),SUM(MAX(P42:Q42),Q42),"")</f>
        <v>100</v>
      </c>
      <c r="X42" s="10" t="str">
        <f t="array" ref="X42">IF(AND(A42&lt;&gt;"",OR(ISNUMBER(S42),ISNUMBER(T42))),SUM(S42,T42),"")</f>
        <v/>
      </c>
      <c r="Y42" s="13">
        <v>1</v>
      </c>
      <c r="Z42" s="13">
        <f>IF(A42&lt;&gt;"",SUM(U42:Y42),"")</f>
        <v>140</v>
      </c>
      <c r="AA42" s="27">
        <f>IF(A42&lt;&gt;"",(Z42+Normalize_To_Add)/(Point_Total_So_Far)*100,"")</f>
        <v>45.901639344262293</v>
      </c>
      <c r="AB42" s="10">
        <f>IF(A42&lt;&gt;"",RANK(AA42,All_Student_XC),"")</f>
        <v>495</v>
      </c>
      <c r="AC42" s="32" t="str">
        <f>IF(A42&lt;&gt;"",CHOOSE(10-MIN(9,TRUNC((AA42+0.5)/10)),"A","B","C","D","F","F","F","F","F","F"),"")</f>
        <v>F</v>
      </c>
      <c r="AD42" s="32" t="str">
        <f>IF(A42&lt;&gt;"",IF(OR(AA42+0.5&gt;=93,AA42+0.5&lt;60),"",IF(MOD(AA42+0.5,10)&gt;=7,"+",IF(MOD(AA42+0.5,10)&lt;3,"-",""))),"")</f>
        <v/>
      </c>
      <c r="AE42" s="32">
        <f>IF(A42&lt;&gt;"",SUM(W42:X42,$W$8:$X$8)/SUM($W$2:$X$2)*100,"")</f>
        <v>100</v>
      </c>
      <c r="AF42" s="32" t="str">
        <f>IF(A42&lt;&gt;"",CHOOSE(10-MIN(9,TRUNC((AE42+0.5)/10)),"A","B","C","D","F","F","F","F","F","F"),"")</f>
        <v>A</v>
      </c>
      <c r="AG42" s="32" t="str">
        <f>IF(A42&lt;&gt;"",IF(OR(AE42+0.5&gt;=93,AE42+0.5&lt;60),"",IF(MOD(AE42+0.5,10)&gt;=7,"+",IF(MOD(AE42+0.5,10)&lt;3,"-",""))),"")</f>
        <v/>
      </c>
      <c r="AH42" s="36">
        <f>IF(A42&lt;&gt;"",MIN(MAX(AA42,AE42),AA42+$AH$8,AE42+$AH$8),"")</f>
        <v>100</v>
      </c>
      <c r="AI42" s="32" t="str">
        <f>IF(A42&lt;&gt;"",CHOOSE(10-MIN(9,TRUNC((AH42+0.5)/10)),"A","B","C","D","F","F","F","F","F","F"),"")</f>
        <v>A</v>
      </c>
      <c r="AJ42" s="32" t="str">
        <f>IF(A42&lt;&gt;"",IF(OR(AH42+0.5&gt;=93,AH42+0.5&lt;60),"",IF(MOD(AH42+0.5,10)&gt;=7,"+",IF(MOD(AH42+0.5,10)&lt;3,"-",""))),"")</f>
        <v/>
      </c>
      <c r="AK42" s="32" t="b">
        <f>IF(A42&lt;&gt;"",OR(AI42&lt;&gt;AC42,AJ42&lt;&gt;AD42),"")</f>
        <v>1</v>
      </c>
      <c r="AL42" s="84">
        <f>IF(AND(A42&lt;&gt;"",U42&lt;&gt;""),SUM(U42,$AL$8)/$AL$2*100,"")</f>
        <v>21.333333333333336</v>
      </c>
      <c r="AM42" s="24">
        <f>IF(AND(A42&lt;&gt;"",V42&lt;&gt;""),SUM(V42,$AM$8)/$AM$2*100,"")</f>
        <v>17.692307692307693</v>
      </c>
      <c r="AN42" s="24">
        <f>IF(AND(A42&lt;&gt;"",ISNUMBER(P42),P42&gt;=0),SUM(P42,$AN$8)/$AN$2*100,"")</f>
        <v>100</v>
      </c>
      <c r="AO42" s="24" t="str">
        <f>IF(AND(A42&lt;&gt;"",ISNUMBER(Q42),Q42&gt;=0),SUM(Q42,$AO$8)/$AO$2*100,"")</f>
        <v/>
      </c>
      <c r="AP42" s="24" t="str">
        <f>IF(AND(A42&lt;&gt;"",R42&lt;&gt;""),SUM(R42,$AP$8)/$AP$2*100,"")</f>
        <v/>
      </c>
      <c r="AQ42" s="24">
        <f>IF(AND(A42&lt;&gt;"",ISNUMBER(W42),W42&gt;=0),SUM(W42,$AQ$8)/$AQ$2*100,"")</f>
        <v>100</v>
      </c>
      <c r="AR42" s="24" t="str">
        <f>IF(AND(A42&lt;&gt;"",T42&gt;0,ISNUMBER(T42)),SUM(T42,$AR$8)/$AR$2*100,"")</f>
        <v/>
      </c>
      <c r="AS42" s="24" t="str">
        <f>IF(AND(A42&lt;&gt;"",X42&lt;&gt;""),SUM(X42,$AS$8)/$AS$2*100,"")</f>
        <v/>
      </c>
      <c r="AT42" s="89">
        <f>IF(AND(A42&lt;&gt;"",OR(ISNUMBER(W42),ISNUMBER(X42))),SUM(W42:X42,$AT$8)/$AT$2*100,"")</f>
        <v>100</v>
      </c>
      <c r="AU42" s="24">
        <f>AA42</f>
        <v>45.901639344262293</v>
      </c>
      <c r="AV42" s="24"/>
      <c r="AW42" s="27">
        <f>IF(A42&lt;&gt;"",AE42-AA42,"")</f>
        <v>54.098360655737707</v>
      </c>
      <c r="AY42" s="27" t="b">
        <f>S42&gt;R42</f>
        <v>0</v>
      </c>
      <c r="BA42" s="27" t="e">
        <f>AND(AA42&gt;$BA$3,(W42+$W$8)/$W$2&lt;$BB$3,(X42+$X$8)/$X$2&lt;$BB$3)</f>
        <v>#VALUE!</v>
      </c>
      <c r="BB42" s="27" t="e">
        <f>AND(AA42&lt;$BA$3,AND(W42/$W$2&gt;$BB$3,X42/$X$2&gt;$BB$3))</f>
        <v>#VALUE!</v>
      </c>
      <c r="BC42" s="27" t="e">
        <f>AND(AA42&lt;$BA$3,OR(W42/$W$2&gt;$BB$3,X42/$X$2&gt;$BB$3))</f>
        <v>#VALUE!</v>
      </c>
      <c r="BE42" s="32" t="s">
        <v>85</v>
      </c>
    </row>
    <row r="43" spans="1:57" s="27" customFormat="1" ht="12.75" customHeight="1" x14ac:dyDescent="0.2">
      <c r="A43" s="10">
        <v>51152</v>
      </c>
      <c r="B43" s="2">
        <v>16</v>
      </c>
      <c r="C43" s="10">
        <v>21</v>
      </c>
      <c r="D43" s="10">
        <v>25</v>
      </c>
      <c r="E43" s="10"/>
      <c r="F43" s="10"/>
      <c r="G43" s="3"/>
      <c r="H43" s="10"/>
      <c r="I43" s="10"/>
      <c r="J43" s="2">
        <v>30</v>
      </c>
      <c r="K43" s="10">
        <v>50</v>
      </c>
      <c r="L43" s="10">
        <v>51</v>
      </c>
      <c r="M43" s="10"/>
      <c r="N43" s="10"/>
      <c r="O43" s="12"/>
      <c r="P43" s="10">
        <v>101</v>
      </c>
      <c r="Q43" s="41"/>
      <c r="R43" s="2"/>
      <c r="S43" s="10"/>
      <c r="T43" s="13"/>
      <c r="U43" s="1">
        <f t="array" ref="U43">IF(AND(A43&lt;&gt;"",OR(ISNUMBER(B43:I43))),SUM(B43:I43),"")</f>
        <v>62</v>
      </c>
      <c r="V43" s="10">
        <f t="array" ref="V43">IF(AND(A43&lt;&gt;"",OR(ISNUMBER(J43:O43))),SUM(J43:O43),"")</f>
        <v>131</v>
      </c>
      <c r="W43" s="10">
        <f t="array" ref="W43">IF(AND(A43&lt;&gt;"",OR(ISNUMBER(P43),ISNUMBER(Q43))),SUM(MAX(P43:Q43),Q43),"")</f>
        <v>101</v>
      </c>
      <c r="X43" s="10" t="str">
        <f t="array" ref="X43">IF(AND(A43&lt;&gt;"",OR(ISNUMBER(S43),ISNUMBER(T43))),SUM(S43,T43),"")</f>
        <v/>
      </c>
      <c r="Y43" s="13">
        <v>1</v>
      </c>
      <c r="Z43" s="13">
        <f>IF(A43&lt;&gt;"",SUM(U43:Y43),"")</f>
        <v>295</v>
      </c>
      <c r="AA43" s="27">
        <f>IF(A43&lt;&gt;"",(Z43+Normalize_To_Add)/(Point_Total_So_Far)*100,"")</f>
        <v>96.721311475409834</v>
      </c>
      <c r="AB43" s="10">
        <f>IF(A43&lt;&gt;"",RANK(AA43,All_Student_XC),"")</f>
        <v>243</v>
      </c>
      <c r="AC43" s="32" t="str">
        <f>IF(A43&lt;&gt;"",CHOOSE(10-MIN(9,TRUNC((AA43+0.5)/10)),"A","B","C","D","F","F","F","F","F","F"),"")</f>
        <v>A</v>
      </c>
      <c r="AD43" s="32" t="str">
        <f>IF(A43&lt;&gt;"",IF(OR(AA43+0.5&gt;=93,AA43+0.5&lt;60),"",IF(MOD(AA43+0.5,10)&gt;=7,"+",IF(MOD(AA43+0.5,10)&lt;3,"-",""))),"")</f>
        <v/>
      </c>
      <c r="AE43" s="32">
        <f>IF(A43&lt;&gt;"",SUM(W43:X43,$W$8:$X$8)/SUM($W$2:$X$2)*100,"")</f>
        <v>101</v>
      </c>
      <c r="AF43" s="44" t="str">
        <f>IF(A43&lt;&gt;"",CHOOSE(10-MIN(9,TRUNC((AE43+0.5)/10)),"A","B","C","D","F","F","F","F","F","F"),"")</f>
        <v>A</v>
      </c>
      <c r="AG43" s="44" t="str">
        <f>IF(A43&lt;&gt;"",IF(OR(AE43+0.5&gt;=93,AE43+0.5&lt;60),"",IF(MOD(AE43+0.5,10)&gt;=7,"+",IF(MOD(AE43+0.5,10)&lt;3,"-",""))),"")</f>
        <v/>
      </c>
      <c r="AH43" s="36">
        <f>IF(A43&lt;&gt;"",MIN(MAX(AA43,AE43),AA43+$AH$8,AE43+$AH$8),"")</f>
        <v>101</v>
      </c>
      <c r="AI43" s="32" t="str">
        <f>IF(A43&lt;&gt;"",CHOOSE(10-MIN(9,TRUNC((AH43+0.5)/10)),"A","B","C","D","F","F","F","F","F","F"),"")</f>
        <v>A</v>
      </c>
      <c r="AJ43" s="32" t="str">
        <f>IF(A43&lt;&gt;"",IF(OR(AH43+0.5&gt;=93,AH43+0.5&lt;60),"",IF(MOD(AH43+0.5,10)&gt;=7,"+",IF(MOD(AH43+0.5,10)&lt;3,"-",""))),"")</f>
        <v/>
      </c>
      <c r="AK43" s="32" t="b">
        <f>IF(A43&lt;&gt;"",OR(AI43&lt;&gt;AC43,AJ43&lt;&gt;AD43),"")</f>
        <v>0</v>
      </c>
      <c r="AL43" s="84">
        <f>IF(AND(A43&lt;&gt;"",U43&lt;&gt;""),SUM(U43,$AL$8)/$AL$2*100,"")</f>
        <v>82.666666666666671</v>
      </c>
      <c r="AM43" s="24">
        <f>IF(AND(A43&lt;&gt;"",V43&lt;&gt;""),SUM(V43,$AM$8)/$AM$2*100,"")</f>
        <v>100.76923076923077</v>
      </c>
      <c r="AN43" s="24">
        <f>IF(AND(A43&lt;&gt;"",ISNUMBER(P43),P43&gt;=0),SUM(P43,$AN$8)/$AN$2*100,"")</f>
        <v>101</v>
      </c>
      <c r="AO43" s="24" t="str">
        <f>IF(AND(A43&lt;&gt;"",ISNUMBER(Q43),Q43&gt;=0),SUM(Q43,$AO$8)/$AO$2*100,"")</f>
        <v/>
      </c>
      <c r="AP43" s="24" t="str">
        <f>IF(AND(A43&lt;&gt;"",R43&lt;&gt;""),SUM(R43,$AP$8)/$AP$2*100,"")</f>
        <v/>
      </c>
      <c r="AQ43" s="24">
        <f>IF(AND(A43&lt;&gt;"",ISNUMBER(W43),W43&gt;=0),SUM(W43,$AQ$8)/$AQ$2*100,"")</f>
        <v>101</v>
      </c>
      <c r="AR43" s="24" t="str">
        <f>IF(AND(A43&lt;&gt;"",T43&gt;0,ISNUMBER(T43)),SUM(T43,$AR$8)/$AR$2*100,"")</f>
        <v/>
      </c>
      <c r="AS43" s="24" t="str">
        <f>IF(AND(A43&lt;&gt;"",X43&lt;&gt;""),SUM(X43,$AS$8)/$AS$2*100,"")</f>
        <v/>
      </c>
      <c r="AT43" s="89">
        <f>IF(AND(A43&lt;&gt;"",OR(ISNUMBER(W43),ISNUMBER(X43))),SUM(W43:X43,$AT$8)/$AT$2*100,"")</f>
        <v>101</v>
      </c>
      <c r="AU43" s="24">
        <f>AA43</f>
        <v>96.721311475409834</v>
      </c>
      <c r="AV43" s="24"/>
      <c r="AW43" s="27">
        <f>IF(A43&lt;&gt;"",AE43-AA43,"")</f>
        <v>4.2786885245901658</v>
      </c>
      <c r="AY43" s="27" t="b">
        <f>S43&gt;R43</f>
        <v>0</v>
      </c>
      <c r="BA43" s="27" t="e">
        <f>AND(AA43&gt;$BA$3,(W43+$W$8)/$W$2&lt;$BB$3,(X43+$X$8)/$X$2&lt;$BB$3)</f>
        <v>#VALUE!</v>
      </c>
      <c r="BB43" s="27" t="e">
        <f>AND(AA43&lt;$BA$3,AND(W43/$W$2&gt;$BB$3,X43/$X$2&gt;$BB$3))</f>
        <v>#VALUE!</v>
      </c>
      <c r="BC43" s="27" t="e">
        <f>AND(AA43&lt;$BA$3,OR(W43/$W$2&gt;$BB$3,X43/$X$2&gt;$BB$3))</f>
        <v>#VALUE!</v>
      </c>
      <c r="BE43" s="32" t="s">
        <v>84</v>
      </c>
    </row>
    <row r="44" spans="1:57" s="27" customFormat="1" ht="12.75" customHeight="1" x14ac:dyDescent="0.2">
      <c r="A44" s="10">
        <v>51293</v>
      </c>
      <c r="B44" s="2">
        <v>22</v>
      </c>
      <c r="C44" s="10">
        <v>21</v>
      </c>
      <c r="D44" s="10">
        <v>25</v>
      </c>
      <c r="E44" s="10"/>
      <c r="F44" s="10"/>
      <c r="G44" s="3"/>
      <c r="H44" s="10"/>
      <c r="I44" s="10"/>
      <c r="J44" s="2">
        <v>28</v>
      </c>
      <c r="K44" s="10">
        <v>51</v>
      </c>
      <c r="L44" s="10">
        <v>50</v>
      </c>
      <c r="M44" s="10"/>
      <c r="N44" s="10"/>
      <c r="O44" s="12"/>
      <c r="P44" s="35">
        <v>100</v>
      </c>
      <c r="Q44" s="7"/>
      <c r="R44" s="2"/>
      <c r="S44" s="10"/>
      <c r="T44" s="13"/>
      <c r="U44" s="77">
        <f t="array" ref="U44">IF(AND(A44&lt;&gt;"",OR(ISNUMBER(B44:I44))),SUM(B44:I44),"")</f>
        <v>68</v>
      </c>
      <c r="V44" s="10">
        <f t="array" ref="V44">IF(AND(A44&lt;&gt;"",OR(ISNUMBER(J44:O44))),SUM(J44:O44),"")</f>
        <v>129</v>
      </c>
      <c r="W44" s="10">
        <f t="array" ref="W44">IF(AND(A44&lt;&gt;"",OR(ISNUMBER(P44),ISNUMBER(Q44))),SUM(MAX(P44:Q44),Q44),"")</f>
        <v>100</v>
      </c>
      <c r="X44" s="10" t="str">
        <f t="array" ref="X44">IF(AND(A44&lt;&gt;"",OR(ISNUMBER(S44),ISNUMBER(T44))),SUM(S44,T44),"")</f>
        <v/>
      </c>
      <c r="Y44" s="13">
        <v>1</v>
      </c>
      <c r="Z44" s="13">
        <f>IF(A44&lt;&gt;"",SUM(U44:Y44),"")</f>
        <v>298</v>
      </c>
      <c r="AA44" s="27">
        <f>IF(A44&lt;&gt;"",(Z44+Normalize_To_Add)/(Point_Total_So_Far)*100,"")</f>
        <v>97.704918032786878</v>
      </c>
      <c r="AB44" s="10">
        <f>IF(A44&lt;&gt;"",RANK(AA44,All_Student_XC),"")</f>
        <v>210</v>
      </c>
      <c r="AC44" s="32" t="str">
        <f>IF(A44&lt;&gt;"",CHOOSE(10-MIN(9,TRUNC((AA44+0.5)/10)),"A","B","C","D","F","F","F","F","F","F"),"")</f>
        <v>A</v>
      </c>
      <c r="AD44" s="32" t="str">
        <f>IF(A44&lt;&gt;"",IF(OR(AA44+0.5&gt;=93,AA44+0.5&lt;60),"",IF(MOD(AA44+0.5,10)&gt;=7,"+",IF(MOD(AA44+0.5,10)&lt;3,"-",""))),"")</f>
        <v/>
      </c>
      <c r="AE44" s="32">
        <f>IF(A44&lt;&gt;"",SUM(W44:X44,$W$8:$X$8)/SUM($W$2:$X$2)*100,"")</f>
        <v>100</v>
      </c>
      <c r="AF44" s="32" t="str">
        <f>IF(A44&lt;&gt;"",CHOOSE(10-MIN(9,TRUNC((AE44+0.5)/10)),"A","B","C","D","F","F","F","F","F","F"),"")</f>
        <v>A</v>
      </c>
      <c r="AG44" s="32" t="str">
        <f>IF(A44&lt;&gt;"",IF(OR(AE44+0.5&gt;=93,AE44+0.5&lt;60),"",IF(MOD(AE44+0.5,10)&gt;=7,"+",IF(MOD(AE44+0.5,10)&lt;3,"-",""))),"")</f>
        <v/>
      </c>
      <c r="AH44" s="36">
        <f>IF(A44&lt;&gt;"",MIN(MAX(AA44,AE44),AA44+$AH$8,AE44+$AH$8),"")</f>
        <v>100</v>
      </c>
      <c r="AI44" s="32" t="str">
        <f>IF(A44&lt;&gt;"",CHOOSE(10-MIN(9,TRUNC((AH44+0.5)/10)),"A","B","C","D","F","F","F","F","F","F"),"")</f>
        <v>A</v>
      </c>
      <c r="AJ44" s="32" t="str">
        <f>IF(A44&lt;&gt;"",IF(OR(AH44+0.5&gt;=93,AH44+0.5&lt;60),"",IF(MOD(AH44+0.5,10)&gt;=7,"+",IF(MOD(AH44+0.5,10)&lt;3,"-",""))),"")</f>
        <v/>
      </c>
      <c r="AK44" s="32" t="b">
        <f>IF(A44&lt;&gt;"",OR(AI44&lt;&gt;AC44,AJ44&lt;&gt;AD44),"")</f>
        <v>0</v>
      </c>
      <c r="AL44" s="84">
        <f>IF(AND(A44&lt;&gt;"",U44&lt;&gt;""),SUM(U44,$AL$8)/$AL$2*100,"")</f>
        <v>90.666666666666657</v>
      </c>
      <c r="AM44" s="24">
        <f>IF(AND(A44&lt;&gt;"",V44&lt;&gt;""),SUM(V44,$AM$8)/$AM$2*100,"")</f>
        <v>99.230769230769226</v>
      </c>
      <c r="AN44" s="24">
        <f>IF(AND(A44&lt;&gt;"",ISNUMBER(P44),P44&gt;=0),SUM(P44,$AN$8)/$AN$2*100,"")</f>
        <v>100</v>
      </c>
      <c r="AO44" s="24" t="str">
        <f>IF(AND(A44&lt;&gt;"",ISNUMBER(Q44),Q44&gt;=0),SUM(Q44,$AO$8)/$AO$2*100,"")</f>
        <v/>
      </c>
      <c r="AP44" s="24" t="str">
        <f>IF(AND(A44&lt;&gt;"",R44&lt;&gt;""),SUM(R44,$AP$8)/$AP$2*100,"")</f>
        <v/>
      </c>
      <c r="AQ44" s="24">
        <f>IF(AND(A44&lt;&gt;"",ISNUMBER(W44),W44&gt;=0),SUM(W44,$AQ$8)/$AQ$2*100,"")</f>
        <v>100</v>
      </c>
      <c r="AR44" s="24" t="str">
        <f>IF(AND(A44&lt;&gt;"",T44&gt;0,ISNUMBER(T44)),SUM(T44,$AR$8)/$AR$2*100,"")</f>
        <v/>
      </c>
      <c r="AS44" s="24" t="str">
        <f>IF(AND(A44&lt;&gt;"",X44&lt;&gt;""),SUM(X44,$AS$8)/$AS$2*100,"")</f>
        <v/>
      </c>
      <c r="AT44" s="89">
        <f>IF(AND(A44&lt;&gt;"",OR(ISNUMBER(W44),ISNUMBER(X44))),SUM(W44:X44,$AT$8)/$AT$2*100,"")</f>
        <v>100</v>
      </c>
      <c r="AU44" s="24">
        <f>AA44</f>
        <v>97.704918032786878</v>
      </c>
      <c r="AV44" s="24"/>
      <c r="AW44" s="27">
        <f>IF(A44&lt;&gt;"",AE44-AA44,"")</f>
        <v>2.2950819672131217</v>
      </c>
      <c r="AY44" s="27" t="b">
        <f>S44&gt;R44</f>
        <v>0</v>
      </c>
      <c r="BA44" s="27" t="e">
        <f>AND(AA44&gt;$BA$3,(W44+$W$8)/$W$2&lt;$BB$3,(X44+$X$8)/$X$2&lt;$BB$3)</f>
        <v>#VALUE!</v>
      </c>
      <c r="BB44" s="27" t="e">
        <f>AND(AA44&lt;$BA$3,AND(W44/$W$2&gt;$BB$3,X44/$X$2&gt;$BB$3))</f>
        <v>#VALUE!</v>
      </c>
      <c r="BC44" s="27" t="e">
        <f>AND(AA44&lt;$BA$3,OR(W44/$W$2&gt;$BB$3,X44/$X$2&gt;$BB$3))</f>
        <v>#VALUE!</v>
      </c>
      <c r="BE44" s="32">
        <v>32</v>
      </c>
    </row>
    <row r="45" spans="1:57" s="27" customFormat="1" ht="12.75" customHeight="1" x14ac:dyDescent="0.2">
      <c r="A45" s="56">
        <v>51774</v>
      </c>
      <c r="B45" s="2">
        <v>21</v>
      </c>
      <c r="C45" s="10">
        <v>21</v>
      </c>
      <c r="D45" s="10">
        <v>18</v>
      </c>
      <c r="E45" s="10"/>
      <c r="F45" s="10"/>
      <c r="G45" s="3"/>
      <c r="H45" s="10"/>
      <c r="I45" s="10"/>
      <c r="J45" s="2">
        <v>28</v>
      </c>
      <c r="K45" s="10">
        <v>43</v>
      </c>
      <c r="L45" s="10">
        <v>49</v>
      </c>
      <c r="M45" s="10"/>
      <c r="N45" s="10"/>
      <c r="O45" s="12"/>
      <c r="P45" s="10">
        <v>80</v>
      </c>
      <c r="Q45" s="41"/>
      <c r="R45" s="2"/>
      <c r="S45" s="10"/>
      <c r="T45" s="13"/>
      <c r="U45" s="1">
        <f t="array" ref="U45">IF(AND(A45&lt;&gt;"",OR(ISNUMBER(B45:I45))),SUM(B45:I45),"")</f>
        <v>60</v>
      </c>
      <c r="V45" s="10">
        <f t="array" ref="V45">IF(AND(A45&lt;&gt;"",OR(ISNUMBER(J45:O45))),SUM(J45:O45),"")</f>
        <v>120</v>
      </c>
      <c r="W45" s="10">
        <f t="array" ref="W45">IF(AND(A45&lt;&gt;"",OR(ISNUMBER(P45),ISNUMBER(Q45))),SUM(MAX(P45:Q45),Q45),"")</f>
        <v>80</v>
      </c>
      <c r="X45" s="10" t="str">
        <f t="array" ref="X45">IF(AND(A45&lt;&gt;"",OR(ISNUMBER(S45),ISNUMBER(T45))),SUM(S45,T45),"")</f>
        <v/>
      </c>
      <c r="Y45" s="13">
        <v>1</v>
      </c>
      <c r="Z45" s="13">
        <f>IF(A45&lt;&gt;"",SUM(U45:Y45),"")</f>
        <v>261</v>
      </c>
      <c r="AA45" s="27">
        <f>IF(A45&lt;&gt;"",(Z45+Normalize_To_Add)/(Point_Total_So_Far)*100,"")</f>
        <v>85.573770491803288</v>
      </c>
      <c r="AB45" s="10">
        <f>IF(A45&lt;&gt;"",RANK(AA45,All_Student_XC),"")</f>
        <v>374</v>
      </c>
      <c r="AC45" s="32" t="str">
        <f>IF(A45&lt;&gt;"",CHOOSE(10-MIN(9,TRUNC((AA45+0.5)/10)),"A","B","C","D","F","F","F","F","F","F"),"")</f>
        <v>B</v>
      </c>
      <c r="AD45" s="32" t="str">
        <f>IF(A45&lt;&gt;"",IF(OR(AA45+0.5&gt;=93,AA45+0.5&lt;60),"",IF(MOD(AA45+0.5,10)&gt;=7,"+",IF(MOD(AA45+0.5,10)&lt;3,"-",""))),"")</f>
        <v/>
      </c>
      <c r="AE45" s="32">
        <f>IF(A45&lt;&gt;"",SUM(W45:X45,$W$8:$X$8)/SUM($W$2:$X$2)*100,"")</f>
        <v>80</v>
      </c>
      <c r="AF45" s="32" t="str">
        <f>IF(A45&lt;&gt;"",CHOOSE(10-MIN(9,TRUNC((AE45+0.5)/10)),"A","B","C","D","F","F","F","F","F","F"),"")</f>
        <v>B</v>
      </c>
      <c r="AG45" s="32" t="str">
        <f>IF(A45&lt;&gt;"",IF(OR(AE45+0.5&gt;=93,AE45+0.5&lt;60),"",IF(MOD(AE45+0.5,10)&gt;=7,"+",IF(MOD(AE45+0.5,10)&lt;3,"-",""))),"")</f>
        <v>-</v>
      </c>
      <c r="AH45" s="36">
        <f>IF(A45&lt;&gt;"",MIN(MAX(AA45,AE45),AA45+$AH$8,AE45+$AH$8),"")</f>
        <v>85.573770491803288</v>
      </c>
      <c r="AI45" s="32" t="str">
        <f>IF(A45&lt;&gt;"",CHOOSE(10-MIN(9,TRUNC((AH45+0.5)/10)),"A","B","C","D","F","F","F","F","F","F"),"")</f>
        <v>B</v>
      </c>
      <c r="AJ45" s="32" t="str">
        <f>IF(A45&lt;&gt;"",IF(OR(AH45+0.5&gt;=93,AH45+0.5&lt;60),"",IF(MOD(AH45+0.5,10)&gt;=7,"+",IF(MOD(AH45+0.5,10)&lt;3,"-",""))),"")</f>
        <v/>
      </c>
      <c r="AK45" s="32" t="b">
        <f>IF(A45&lt;&gt;"",OR(AI45&lt;&gt;AC45,AJ45&lt;&gt;AD45),"")</f>
        <v>0</v>
      </c>
      <c r="AL45" s="84">
        <f>IF(AND(A45&lt;&gt;"",U45&lt;&gt;""),SUM(U45,$AL$8)/$AL$2*100,"")</f>
        <v>80</v>
      </c>
      <c r="AM45" s="24">
        <f>IF(AND(A45&lt;&gt;"",V45&lt;&gt;""),SUM(V45,$AM$8)/$AM$2*100,"")</f>
        <v>92.307692307692307</v>
      </c>
      <c r="AN45" s="24">
        <f>IF(AND(A45&lt;&gt;"",ISNUMBER(P45),P45&gt;=0),SUM(P45,$AN$8)/$AN$2*100,"")</f>
        <v>80</v>
      </c>
      <c r="AO45" s="24" t="str">
        <f>IF(AND(A45&lt;&gt;"",ISNUMBER(Q45),Q45&gt;=0),SUM(Q45,$AO$8)/$AO$2*100,"")</f>
        <v/>
      </c>
      <c r="AP45" s="24" t="str">
        <f>IF(AND(A45&lt;&gt;"",R45&lt;&gt;""),SUM(R45,$AP$8)/$AP$2*100,"")</f>
        <v/>
      </c>
      <c r="AQ45" s="24">
        <f>IF(AND(A45&lt;&gt;"",ISNUMBER(W45),W45&gt;=0),SUM(W45,$AQ$8)/$AQ$2*100,"")</f>
        <v>80</v>
      </c>
      <c r="AR45" s="24" t="str">
        <f>IF(AND(A45&lt;&gt;"",T45&gt;0,ISNUMBER(T45)),SUM(T45,$AR$8)/$AR$2*100,"")</f>
        <v/>
      </c>
      <c r="AS45" s="24" t="str">
        <f>IF(AND(A45&lt;&gt;"",X45&lt;&gt;""),SUM(X45,$AS$8)/$AS$2*100,"")</f>
        <v/>
      </c>
      <c r="AT45" s="89">
        <f>IF(AND(A45&lt;&gt;"",OR(ISNUMBER(W45),ISNUMBER(X45))),SUM(W45:X45,$AT$8)/$AT$2*100,"")</f>
        <v>80</v>
      </c>
      <c r="AU45" s="24">
        <f>AA45</f>
        <v>85.573770491803288</v>
      </c>
      <c r="AV45" s="24"/>
      <c r="AW45" s="27">
        <f>IF(A45&lt;&gt;"",AE45-AA45,"")</f>
        <v>-5.5737704918032875</v>
      </c>
      <c r="AY45" s="27" t="b">
        <f>S45&gt;R45</f>
        <v>0</v>
      </c>
      <c r="BA45" s="27" t="e">
        <f>AND(AA45&gt;$BA$3,(W45+$W$8)/$W$2&lt;$BB$3,(X45+$X$8)/$X$2&lt;$BB$3)</f>
        <v>#VALUE!</v>
      </c>
      <c r="BB45" s="27" t="e">
        <f>AND(AA45&lt;$BA$3,AND(W45/$W$2&gt;$BB$3,X45/$X$2&gt;$BB$3))</f>
        <v>#VALUE!</v>
      </c>
      <c r="BC45" s="27" t="e">
        <f>AND(AA45&lt;$BA$3,OR(W45/$W$2&gt;$BB$3,X45/$X$2&gt;$BB$3))</f>
        <v>#VALUE!</v>
      </c>
      <c r="BE45" s="32">
        <v>32</v>
      </c>
    </row>
    <row r="46" spans="1:57" s="27" customFormat="1" ht="12.75" customHeight="1" x14ac:dyDescent="0.2">
      <c r="A46" s="10">
        <v>54034</v>
      </c>
      <c r="B46" s="2">
        <v>22</v>
      </c>
      <c r="C46" s="10">
        <v>23</v>
      </c>
      <c r="D46" s="10">
        <v>20</v>
      </c>
      <c r="E46" s="10"/>
      <c r="F46" s="10"/>
      <c r="G46" s="10"/>
      <c r="H46" s="10"/>
      <c r="I46" s="10"/>
      <c r="J46" s="2">
        <v>32</v>
      </c>
      <c r="K46" s="10">
        <v>50</v>
      </c>
      <c r="L46" s="10">
        <v>50</v>
      </c>
      <c r="M46" s="10"/>
      <c r="N46" s="93"/>
      <c r="O46" s="13"/>
      <c r="P46" s="10">
        <v>101</v>
      </c>
      <c r="Q46" s="10"/>
      <c r="R46" s="2"/>
      <c r="S46" s="10"/>
      <c r="T46" s="13"/>
      <c r="U46" s="1">
        <f t="array" ref="U46">IF(AND(A46&lt;&gt;"",OR(ISNUMBER(B46:I46))),SUM(B46:I46),"")</f>
        <v>65</v>
      </c>
      <c r="V46" s="10">
        <f t="array" ref="V46">IF(AND(A46&lt;&gt;"",OR(ISNUMBER(J46:O46))),SUM(J46:O46),"")</f>
        <v>132</v>
      </c>
      <c r="W46" s="10">
        <f t="array" ref="W46">IF(AND(A46&lt;&gt;"",OR(ISNUMBER(P46),ISNUMBER(Q46))),SUM(MAX(P46:Q46),Q46),"")</f>
        <v>101</v>
      </c>
      <c r="X46" s="10" t="str">
        <f t="array" ref="X46">IF(AND(A46&lt;&gt;"",OR(ISNUMBER(S46),ISNUMBER(T46))),SUM(S46,T46),"")</f>
        <v/>
      </c>
      <c r="Y46" s="13">
        <v>1</v>
      </c>
      <c r="Z46" s="13">
        <f>IF(A46&lt;&gt;"",SUM(U46:Y46),"")</f>
        <v>299</v>
      </c>
      <c r="AA46" s="27">
        <f>IF(A46&lt;&gt;"",(Z46+Normalize_To_Add)/(Point_Total_So_Far)*100,"")</f>
        <v>98.032786885245898</v>
      </c>
      <c r="AB46" s="10">
        <f>IF(A46&lt;&gt;"",RANK(AA46,All_Student_XC),"")</f>
        <v>195</v>
      </c>
      <c r="AC46" s="32" t="str">
        <f>IF(A46&lt;&gt;"",CHOOSE(10-MIN(9,TRUNC((AA46+0.5)/10)),"A","B","C","D","F","F","F","F","F","F"),"")</f>
        <v>A</v>
      </c>
      <c r="AD46" s="31" t="str">
        <f>IF(A46&lt;&gt;"",IF(OR(AA46+0.5&gt;=93,AA46+0.5&lt;60),"",IF(MOD(AA46+0.5,10)&gt;=7,"+",IF(MOD(AA46+0.5,10)&lt;3,"-",""))),"")</f>
        <v/>
      </c>
      <c r="AE46" s="32">
        <f>IF(A46&lt;&gt;"",SUM(W46:X46,$W$8:$X$8)/SUM($W$2:$X$2)*100,"")</f>
        <v>101</v>
      </c>
      <c r="AF46" s="32" t="str">
        <f>IF(A46&lt;&gt;"",CHOOSE(10-MIN(9,TRUNC((AE46+0.5)/10)),"A","B","C","D","F","F","F","F","F","F"),"")</f>
        <v>A</v>
      </c>
      <c r="AG46" s="32" t="str">
        <f>IF(A46&lt;&gt;"",IF(OR(AE46+0.5&gt;=93,AE46+0.5&lt;60),"",IF(MOD(AE46+0.5,10)&gt;=7,"+",IF(MOD(AE46+0.5,10)&lt;3,"-",""))),"")</f>
        <v/>
      </c>
      <c r="AH46" s="36">
        <f>IF(A46&lt;&gt;"",MIN(MAX(AA46,AE46),AA46+$AH$8,AE46+$AH$8),"")</f>
        <v>101</v>
      </c>
      <c r="AI46" s="32" t="str">
        <f>IF(A46&lt;&gt;"",CHOOSE(10-MIN(9,TRUNC((AH46+0.5)/10)),"A","B","C","D","F","F","F","F","F","F"),"")</f>
        <v>A</v>
      </c>
      <c r="AJ46" s="32" t="str">
        <f>IF(A46&lt;&gt;"",IF(OR(AH46+0.5&gt;=93,AH46+0.5&lt;60),"",IF(MOD(AH46+0.5,10)&gt;=7,"+",IF(MOD(AH46+0.5,10)&lt;3,"-",""))),"")</f>
        <v/>
      </c>
      <c r="AK46" s="71" t="b">
        <f>IF(A46&lt;&gt;"",OR(AI46&lt;&gt;AC46,AJ46&lt;&gt;AD46),"")</f>
        <v>0</v>
      </c>
      <c r="AL46" s="86">
        <f>IF(AND(A46&lt;&gt;"",U46&lt;&gt;""),SUM(U46,$AL$8)/$AL$2*100,"")</f>
        <v>86.666666666666671</v>
      </c>
      <c r="AM46" s="71">
        <f>IF(AND(A46&lt;&gt;"",V46&lt;&gt;""),SUM(V46,$AM$8)/$AM$2*100,"")</f>
        <v>101.53846153846153</v>
      </c>
      <c r="AN46" s="71">
        <f>IF(AND(A46&lt;&gt;"",ISNUMBER(P46),P46&gt;=0),SUM(P46,$AN$8)/$AN$2*100,"")</f>
        <v>101</v>
      </c>
      <c r="AO46" s="71" t="str">
        <f>IF(AND(A46&lt;&gt;"",ISNUMBER(Q46),Q46&gt;=0),SUM(Q46,$AO$8)/$AO$2*100,"")</f>
        <v/>
      </c>
      <c r="AP46" s="24" t="str">
        <f>IF(AND(A46&lt;&gt;"",R46&lt;&gt;""),SUM(R46,$AP$8)/$AP$2*100,"")</f>
        <v/>
      </c>
      <c r="AQ46" s="24">
        <f>IF(AND(A46&lt;&gt;"",ISNUMBER(W46),W46&gt;=0),SUM(W46,$AQ$8)/$AQ$2*100,"")</f>
        <v>101</v>
      </c>
      <c r="AR46" s="24" t="str">
        <f>IF(AND(A46&lt;&gt;"",T46&gt;0,ISNUMBER(T46)),SUM(T46,$AR$8)/$AR$2*100,"")</f>
        <v/>
      </c>
      <c r="AS46" s="24" t="str">
        <f>IF(AND(A46&lt;&gt;"",X46&lt;&gt;""),SUM(X46,$AS$8)/$AS$2*100,"")</f>
        <v/>
      </c>
      <c r="AT46" s="89">
        <f>IF(AND(A46&lt;&gt;"",OR(ISNUMBER(W46),ISNUMBER(X46))),SUM(W46:X46,$AT$8)/$AT$2*100,"")</f>
        <v>101</v>
      </c>
      <c r="AU46" s="24">
        <f>AA46</f>
        <v>98.032786885245898</v>
      </c>
      <c r="AV46" s="71"/>
      <c r="AW46" s="27">
        <f>IF(A46&lt;&gt;"",AE46-AA46,"")</f>
        <v>2.9672131147541023</v>
      </c>
      <c r="AY46" s="27" t="b">
        <f>S46&gt;R46</f>
        <v>0</v>
      </c>
      <c r="BA46" s="27" t="e">
        <f>AND(AA46&gt;$BA$3,(W46+$W$8)/$W$2&lt;$BB$3,(X46+$X$8)/$X$2&lt;$BB$3)</f>
        <v>#VALUE!</v>
      </c>
      <c r="BB46" s="27" t="e">
        <f>AND(AA46&lt;$BA$3,AND(W46/$W$2&gt;$BB$3,X46/$X$2&gt;$BB$3))</f>
        <v>#VALUE!</v>
      </c>
      <c r="BC46" s="27" t="e">
        <f>AND(AA46&lt;$BA$3,OR(W46/$W$2&gt;$BB$3,X46/$X$2&gt;$BB$3))</f>
        <v>#VALUE!</v>
      </c>
      <c r="BE46" s="32" t="s">
        <v>84</v>
      </c>
    </row>
    <row r="47" spans="1:57" s="27" customFormat="1" ht="12.75" customHeight="1" x14ac:dyDescent="0.2">
      <c r="A47" s="10">
        <v>54495</v>
      </c>
      <c r="B47" s="2">
        <v>23</v>
      </c>
      <c r="C47" s="10">
        <v>20</v>
      </c>
      <c r="D47" s="10">
        <v>24</v>
      </c>
      <c r="E47" s="10"/>
      <c r="F47" s="10"/>
      <c r="G47" s="3"/>
      <c r="H47" s="10"/>
      <c r="I47" s="10"/>
      <c r="J47" s="2">
        <v>31</v>
      </c>
      <c r="K47" s="10">
        <v>47</v>
      </c>
      <c r="L47" s="10">
        <v>50</v>
      </c>
      <c r="M47" s="10"/>
      <c r="N47" s="10"/>
      <c r="O47" s="12"/>
      <c r="P47" s="7">
        <v>100</v>
      </c>
      <c r="Q47" s="7"/>
      <c r="R47" s="2"/>
      <c r="S47" s="10"/>
      <c r="T47" s="13"/>
      <c r="U47" s="77">
        <f t="array" ref="U47">IF(AND(A47&lt;&gt;"",OR(ISNUMBER(B47:I47))),SUM(B47:I47),"")</f>
        <v>67</v>
      </c>
      <c r="V47" s="10">
        <f t="array" ref="V47">IF(AND(A47&lt;&gt;"",OR(ISNUMBER(J47:O47))),SUM(J47:O47),"")</f>
        <v>128</v>
      </c>
      <c r="W47" s="10">
        <f t="array" ref="W47">IF(AND(A47&lt;&gt;"",OR(ISNUMBER(P47),ISNUMBER(Q47))),SUM(MAX(P47:Q47),Q47),"")</f>
        <v>100</v>
      </c>
      <c r="X47" s="10" t="str">
        <f t="array" ref="X47">IF(AND(A47&lt;&gt;"",OR(ISNUMBER(S47),ISNUMBER(T47))),SUM(S47,T47),"")</f>
        <v/>
      </c>
      <c r="Y47" s="13">
        <v>1</v>
      </c>
      <c r="Z47" s="13">
        <f>IF(A47&lt;&gt;"",SUM(U47:Y47),"")</f>
        <v>296</v>
      </c>
      <c r="AA47" s="27">
        <f>IF(A47&lt;&gt;"",(Z47+Normalize_To_Add)/(Point_Total_So_Far)*100,"")</f>
        <v>97.049180327868854</v>
      </c>
      <c r="AB47" s="10">
        <f>IF(A47&lt;&gt;"",RANK(AA47,All_Student_XC),"")</f>
        <v>237</v>
      </c>
      <c r="AC47" s="32" t="str">
        <f>IF(A47&lt;&gt;"",CHOOSE(10-MIN(9,TRUNC((AA47+0.5)/10)),"A","B","C","D","F","F","F","F","F","F"),"")</f>
        <v>A</v>
      </c>
      <c r="AD47" s="32" t="str">
        <f>IF(A47&lt;&gt;"",IF(OR(AA47+0.5&gt;=93,AA47+0.5&lt;60),"",IF(MOD(AA47+0.5,10)&gt;=7,"+",IF(MOD(AA47+0.5,10)&lt;3,"-",""))),"")</f>
        <v/>
      </c>
      <c r="AE47" s="32">
        <f>IF(A47&lt;&gt;"",SUM(W47:X47,$W$8:$X$8)/SUM($W$2:$X$2)*100,"")</f>
        <v>100</v>
      </c>
      <c r="AF47" s="32" t="str">
        <f>IF(A47&lt;&gt;"",CHOOSE(10-MIN(9,TRUNC((AE47+0.5)/10)),"A","B","C","D","F","F","F","F","F","F"),"")</f>
        <v>A</v>
      </c>
      <c r="AG47" s="32" t="str">
        <f>IF(A47&lt;&gt;"",IF(OR(AE47+0.5&gt;=93,AE47+0.5&lt;60),"",IF(MOD(AE47+0.5,10)&gt;=7,"+",IF(MOD(AE47+0.5,10)&lt;3,"-",""))),"")</f>
        <v/>
      </c>
      <c r="AH47" s="36">
        <f>IF(A47&lt;&gt;"",MIN(MAX(AA47,AE47),AA47+$AH$8,AE47+$AH$8),"")</f>
        <v>100</v>
      </c>
      <c r="AI47" s="32" t="str">
        <f>IF(A47&lt;&gt;"",CHOOSE(10-MIN(9,TRUNC((AH47+0.5)/10)),"A","B","C","D","F","F","F","F","F","F"),"")</f>
        <v>A</v>
      </c>
      <c r="AJ47" s="32" t="str">
        <f>IF(A47&lt;&gt;"",IF(OR(AH47+0.5&gt;=93,AH47+0.5&lt;60),"",IF(MOD(AH47+0.5,10)&gt;=7,"+",IF(MOD(AH47+0.5,10)&lt;3,"-",""))),"")</f>
        <v/>
      </c>
      <c r="AK47" s="32" t="b">
        <f>IF(A47&lt;&gt;"",OR(AI47&lt;&gt;AC47,AJ47&lt;&gt;AD47),"")</f>
        <v>0</v>
      </c>
      <c r="AL47" s="84">
        <f>IF(AND(A47&lt;&gt;"",U47&lt;&gt;""),SUM(U47,$AL$8)/$AL$2*100,"")</f>
        <v>89.333333333333329</v>
      </c>
      <c r="AM47" s="24">
        <f>IF(AND(A47&lt;&gt;"",V47&lt;&gt;""),SUM(V47,$AM$8)/$AM$2*100,"")</f>
        <v>98.461538461538467</v>
      </c>
      <c r="AN47" s="24">
        <f>IF(AND(A47&lt;&gt;"",ISNUMBER(P47),P47&gt;=0),SUM(P47,$AN$8)/$AN$2*100,"")</f>
        <v>100</v>
      </c>
      <c r="AO47" s="24" t="str">
        <f>IF(AND(A47&lt;&gt;"",ISNUMBER(Q47),Q47&gt;=0),SUM(Q47,$AO$8)/$AO$2*100,"")</f>
        <v/>
      </c>
      <c r="AP47" s="24" t="str">
        <f>IF(AND(A47&lt;&gt;"",R47&lt;&gt;""),SUM(R47,$AP$8)/$AP$2*100,"")</f>
        <v/>
      </c>
      <c r="AQ47" s="24">
        <f>IF(AND(A47&lt;&gt;"",ISNUMBER(W47),W47&gt;=0),SUM(W47,$AQ$8)/$AQ$2*100,"")</f>
        <v>100</v>
      </c>
      <c r="AR47" s="24" t="str">
        <f>IF(AND(A47&lt;&gt;"",T47&gt;0,ISNUMBER(T47)),SUM(T47,$AR$8)/$AR$2*100,"")</f>
        <v/>
      </c>
      <c r="AS47" s="24" t="str">
        <f>IF(AND(A47&lt;&gt;"",X47&lt;&gt;""),SUM(X47,$AS$8)/$AS$2*100,"")</f>
        <v/>
      </c>
      <c r="AT47" s="89">
        <f>IF(AND(A47&lt;&gt;"",OR(ISNUMBER(W47),ISNUMBER(X47))),SUM(W47:X47,$AT$8)/$AT$2*100,"")</f>
        <v>100</v>
      </c>
      <c r="AU47" s="24">
        <f>AA47</f>
        <v>97.049180327868854</v>
      </c>
      <c r="AV47" s="24"/>
      <c r="AW47" s="27">
        <f>IF(A47&lt;&gt;"",AE47-AA47,"")</f>
        <v>2.9508196721311464</v>
      </c>
      <c r="AY47" s="27" t="b">
        <f>S47&gt;R47</f>
        <v>0</v>
      </c>
      <c r="BA47" s="27" t="e">
        <f>AND(AA47&gt;$BA$3,(W47+$W$8)/$W$2&lt;$BB$3,(X47+$X$8)/$X$2&lt;$BB$3)</f>
        <v>#VALUE!</v>
      </c>
      <c r="BB47" s="27" t="e">
        <f>AND(AA47&lt;$BA$3,AND(W47/$W$2&gt;$BB$3,X47/$X$2&gt;$BB$3))</f>
        <v>#VALUE!</v>
      </c>
      <c r="BC47" s="27" t="e">
        <f>AND(AA47&lt;$BA$3,OR(W47/$W$2&gt;$BB$3,X47/$X$2&gt;$BB$3))</f>
        <v>#VALUE!</v>
      </c>
      <c r="BE47" s="32" t="s">
        <v>85</v>
      </c>
    </row>
    <row r="48" spans="1:57" s="27" customFormat="1" ht="12.75" customHeight="1" x14ac:dyDescent="0.2">
      <c r="A48" s="10">
        <v>54551</v>
      </c>
      <c r="B48" s="2">
        <v>25</v>
      </c>
      <c r="C48" s="10">
        <v>23</v>
      </c>
      <c r="D48" s="10">
        <v>25</v>
      </c>
      <c r="E48" s="10"/>
      <c r="F48" s="10"/>
      <c r="G48" s="3"/>
      <c r="H48" s="10"/>
      <c r="I48" s="10"/>
      <c r="J48" s="2">
        <v>32</v>
      </c>
      <c r="K48" s="10">
        <v>52</v>
      </c>
      <c r="L48" s="10">
        <v>52</v>
      </c>
      <c r="M48" s="10"/>
      <c r="N48" s="10"/>
      <c r="O48" s="12"/>
      <c r="P48" s="7">
        <v>101</v>
      </c>
      <c r="Q48" s="7"/>
      <c r="R48" s="2"/>
      <c r="S48" s="10"/>
      <c r="T48" s="13"/>
      <c r="U48" s="77">
        <f t="array" ref="U48">IF(AND(A48&lt;&gt;"",OR(ISNUMBER(B48:I48))),SUM(B48:I48),"")</f>
        <v>73</v>
      </c>
      <c r="V48" s="10">
        <f t="array" ref="V48">IF(AND(A48&lt;&gt;"",OR(ISNUMBER(J48:O48))),SUM(J48:O48),"")</f>
        <v>136</v>
      </c>
      <c r="W48" s="10">
        <f t="array" ref="W48">IF(AND(A48&lt;&gt;"",OR(ISNUMBER(P48),ISNUMBER(Q48))),SUM(MAX(P48:Q48),Q48),"")</f>
        <v>101</v>
      </c>
      <c r="X48" s="10" t="str">
        <f t="array" ref="X48">IF(AND(A48&lt;&gt;"",OR(ISNUMBER(S48),ISNUMBER(T48))),SUM(S48,T48),"")</f>
        <v/>
      </c>
      <c r="Y48" s="13">
        <v>1</v>
      </c>
      <c r="Z48" s="13">
        <f>IF(A48&lt;&gt;"",SUM(U48:Y48),"")</f>
        <v>311</v>
      </c>
      <c r="AA48" s="27">
        <f>IF(A48&lt;&gt;"",(Z48+Normalize_To_Add)/(Point_Total_So_Far)*100,"")</f>
        <v>101.9672131147541</v>
      </c>
      <c r="AB48" s="10">
        <f>IF(A48&lt;&gt;"",RANK(AA48,All_Student_XC),"")</f>
        <v>7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>
        <f>IF(A48&lt;&gt;"",SUM(W48:X48,$W$8:$X$8)/SUM($W$2:$X$2)*100,"")</f>
        <v>101</v>
      </c>
      <c r="AF48" s="32" t="str">
        <f>IF(A48&lt;&gt;"",CHOOSE(10-MIN(9,TRUNC((AE48+0.5)/10)),"A","B","C","D","F","F","F","F","F","F"),"")</f>
        <v>A</v>
      </c>
      <c r="AG48" s="32" t="str">
        <f>IF(A48&lt;&gt;"",IF(OR(AE48+0.5&gt;=93,AE48+0.5&lt;60),"",IF(MOD(AE48+0.5,10)&gt;=7,"+",IF(MOD(AE48+0.5,10)&lt;3,"-",""))),"")</f>
        <v/>
      </c>
      <c r="AH48" s="36">
        <f>IF(A48&lt;&gt;"",MIN(MAX(AA48,AE48),AA48+$AH$8,AE48+$AH$8),"")</f>
        <v>101.9672131147541</v>
      </c>
      <c r="AI48" s="32" t="str">
        <f>IF(A48&lt;&gt;"",CHOOSE(10-MIN(9,TRUNC((AH48+0.5)/10)),"A","B","C","D","F","F","F","F","F","F"),"")</f>
        <v>A</v>
      </c>
      <c r="AJ48" s="32" t="str">
        <f>IF(A48&lt;&gt;"",IF(OR(AH48+0.5&gt;=93,AH48+0.5&lt;60),"",IF(MOD(AH48+0.5,10)&gt;=7,"+",IF(MOD(AH48+0.5,10)&lt;3,"-",""))),"")</f>
        <v/>
      </c>
      <c r="AK48" s="32" t="b">
        <f>IF(A48&lt;&gt;"",OR(AI48&lt;&gt;AC48,AJ48&lt;&gt;AD48),"")</f>
        <v>0</v>
      </c>
      <c r="AL48" s="84">
        <f>IF(AND(A48&lt;&gt;"",U48&lt;&gt;""),SUM(U48,$AL$8)/$AL$2*100,"")</f>
        <v>97.333333333333343</v>
      </c>
      <c r="AM48" s="24">
        <f>IF(AND(A48&lt;&gt;"",V48&lt;&gt;""),SUM(V48,$AM$8)/$AM$2*100,"")</f>
        <v>104.61538461538463</v>
      </c>
      <c r="AN48" s="24">
        <f>IF(AND(A48&lt;&gt;"",ISNUMBER(P48),P48&gt;=0),SUM(P48,$AN$8)/$AN$2*100,"")</f>
        <v>101</v>
      </c>
      <c r="AO48" s="24" t="str">
        <f>IF(AND(A48&lt;&gt;"",ISNUMBER(Q48),Q48&gt;=0),SUM(Q48,$AO$8)/$AO$2*100,"")</f>
        <v/>
      </c>
      <c r="AP48" s="24" t="str">
        <f>IF(AND(A48&lt;&gt;"",R48&lt;&gt;""),SUM(R48,$AP$8)/$AP$2*100,"")</f>
        <v/>
      </c>
      <c r="AQ48" s="24">
        <f>IF(AND(A48&lt;&gt;"",ISNUMBER(W48),W48&gt;=0),SUM(W48,$AQ$8)/$AQ$2*100,"")</f>
        <v>101</v>
      </c>
      <c r="AR48" s="24" t="str">
        <f>IF(AND(A48&lt;&gt;"",T48&gt;0,ISNUMBER(T48)),SUM(T48,$AR$8)/$AR$2*100,"")</f>
        <v/>
      </c>
      <c r="AS48" s="24" t="str">
        <f>IF(AND(A48&lt;&gt;"",X48&lt;&gt;""),SUM(X48,$AS$8)/$AS$2*100,"")</f>
        <v/>
      </c>
      <c r="AT48" s="89">
        <f>IF(AND(A48&lt;&gt;"",OR(ISNUMBER(W48),ISNUMBER(X48))),SUM(W48:X48,$AT$8)/$AT$2*100,"")</f>
        <v>101</v>
      </c>
      <c r="AU48" s="24">
        <f>AA48</f>
        <v>101.9672131147541</v>
      </c>
      <c r="AV48" s="24"/>
      <c r="AW48" s="27">
        <f>IF(A48&lt;&gt;"",AE48-AA48,"")</f>
        <v>-0.96721311475410232</v>
      </c>
      <c r="AY48" s="27" t="b">
        <f>S48&gt;R48</f>
        <v>0</v>
      </c>
      <c r="BA48" s="27" t="e">
        <f>AND(AA48&gt;$BA$3,(W48+$W$8)/$W$2&lt;$BB$3,(X48+$X$8)/$X$2&lt;$BB$3)</f>
        <v>#VALUE!</v>
      </c>
      <c r="BB48" s="27" t="e">
        <f>AND(AA48&lt;$BA$3,AND(W48/$W$2&gt;$BB$3,X48/$X$2&gt;$BB$3))</f>
        <v>#VALUE!</v>
      </c>
      <c r="BC48" s="27" t="e">
        <f>AND(AA48&lt;$BA$3,OR(W48/$W$2&gt;$BB$3,X48/$X$2&gt;$BB$3))</f>
        <v>#VALUE!</v>
      </c>
      <c r="BE48" s="32" t="s">
        <v>84</v>
      </c>
    </row>
    <row r="49" spans="1:58" s="27" customFormat="1" ht="12.75" customHeight="1" x14ac:dyDescent="0.2">
      <c r="A49" s="10">
        <v>57050</v>
      </c>
      <c r="B49" s="2">
        <v>24</v>
      </c>
      <c r="C49" s="10">
        <v>24</v>
      </c>
      <c r="D49" s="10">
        <v>25</v>
      </c>
      <c r="E49" s="10"/>
      <c r="F49" s="10"/>
      <c r="G49" s="10"/>
      <c r="H49" s="10"/>
      <c r="I49" s="10"/>
      <c r="J49" s="2">
        <v>28</v>
      </c>
      <c r="K49" s="10">
        <v>50</v>
      </c>
      <c r="L49" s="10">
        <v>50</v>
      </c>
      <c r="M49" s="10"/>
      <c r="N49" s="93"/>
      <c r="O49" s="13"/>
      <c r="P49" s="10">
        <v>100</v>
      </c>
      <c r="Q49" s="10"/>
      <c r="R49" s="2"/>
      <c r="S49" s="10"/>
      <c r="T49" s="13"/>
      <c r="U49" s="1">
        <f t="array" ref="U49">IF(AND(A49&lt;&gt;"",OR(ISNUMBER(B49:I49))),SUM(B49:I49),"")</f>
        <v>73</v>
      </c>
      <c r="V49" s="10">
        <f t="array" ref="V49">IF(AND(A49&lt;&gt;"",OR(ISNUMBER(J49:O49))),SUM(J49:O49),"")</f>
        <v>128</v>
      </c>
      <c r="W49" s="10">
        <f t="array" ref="W49">IF(AND(A49&lt;&gt;"",OR(ISNUMBER(P49),ISNUMBER(Q49))),SUM(MAX(P49:Q49),Q49),"")</f>
        <v>100</v>
      </c>
      <c r="X49" s="10" t="str">
        <f t="array" ref="X49">IF(AND(A49&lt;&gt;"",OR(ISNUMBER(S49),ISNUMBER(T49))),SUM(S49,T49),"")</f>
        <v/>
      </c>
      <c r="Y49" s="13">
        <v>1</v>
      </c>
      <c r="Z49" s="13">
        <f>IF(A49&lt;&gt;"",SUM(U49:Y49),"")</f>
        <v>302</v>
      </c>
      <c r="AA49" s="27">
        <f>IF(A49&lt;&gt;"",(Z49+Normalize_To_Add)/(Point_Total_So_Far)*100,"")</f>
        <v>99.016393442622956</v>
      </c>
      <c r="AB49" s="10">
        <f>IF(A49&lt;&gt;"",RANK(AA49,All_Student_XC),"")</f>
        <v>164</v>
      </c>
      <c r="AC49" s="32" t="str">
        <f>IF(A49&lt;&gt;"",CHOOSE(10-MIN(9,TRUNC((AA49+0.5)/10)),"A","B","C","D","F","F","F","F","F","F"),"")</f>
        <v>A</v>
      </c>
      <c r="AD49" s="31" t="str">
        <f>IF(A49&lt;&gt;"",IF(OR(AA49+0.5&gt;=93,AA49+0.5&lt;60),"",IF(MOD(AA49+0.5,10)&gt;=7,"+",IF(MOD(AA49+0.5,10)&lt;3,"-",""))),"")</f>
        <v/>
      </c>
      <c r="AE49" s="32">
        <f>IF(A49&lt;&gt;"",SUM(W49:X49,$W$8:$X$8)/SUM($W$2:$X$2)*100,"")</f>
        <v>100</v>
      </c>
      <c r="AF49" s="32" t="str">
        <f>IF(A49&lt;&gt;"",CHOOSE(10-MIN(9,TRUNC((AE49+0.5)/10)),"A","B","C","D","F","F","F","F","F","F"),"")</f>
        <v>A</v>
      </c>
      <c r="AG49" s="32" t="str">
        <f>IF(A49&lt;&gt;"",IF(OR(AE49+0.5&gt;=93,AE49+0.5&lt;60),"",IF(MOD(AE49+0.5,10)&gt;=7,"+",IF(MOD(AE49+0.5,10)&lt;3,"-",""))),"")</f>
        <v/>
      </c>
      <c r="AH49" s="36">
        <f>IF(A49&lt;&gt;"",MIN(MAX(AA49,AE49),AA49+$AH$8,AE49+$AH$8),"")</f>
        <v>100</v>
      </c>
      <c r="AI49" s="32" t="str">
        <f>IF(A49&lt;&gt;"",CHOOSE(10-MIN(9,TRUNC((AH49+0.5)/10)),"A","B","C","D","F","F","F","F","F","F"),"")</f>
        <v>A</v>
      </c>
      <c r="AJ49" s="32" t="str">
        <f>IF(A49&lt;&gt;"",IF(OR(AH49+0.5&gt;=93,AH49+0.5&lt;60),"",IF(MOD(AH49+0.5,10)&gt;=7,"+",IF(MOD(AH49+0.5,10)&lt;3,"-",""))),"")</f>
        <v/>
      </c>
      <c r="AK49" s="71" t="b">
        <f>IF(A49&lt;&gt;"",OR(AI49&lt;&gt;AC49,AJ49&lt;&gt;AD49),"")</f>
        <v>0</v>
      </c>
      <c r="AL49" s="86">
        <f>IF(AND(A49&lt;&gt;"",U49&lt;&gt;""),SUM(U49,$AL$8)/$AL$2*100,"")</f>
        <v>97.333333333333343</v>
      </c>
      <c r="AM49" s="71">
        <f>IF(AND(A49&lt;&gt;"",V49&lt;&gt;""),SUM(V49,$AM$8)/$AM$2*100,"")</f>
        <v>98.461538461538467</v>
      </c>
      <c r="AN49" s="71">
        <f>IF(AND(A49&lt;&gt;"",ISNUMBER(P49),P49&gt;=0),SUM(P49,$AN$8)/$AN$2*100,"")</f>
        <v>100</v>
      </c>
      <c r="AO49" s="71" t="str">
        <f>IF(AND(A49&lt;&gt;"",ISNUMBER(Q49),Q49&gt;=0),SUM(Q49,$AO$8)/$AO$2*100,"")</f>
        <v/>
      </c>
      <c r="AP49" s="24" t="str">
        <f>IF(AND(A49&lt;&gt;"",R49&lt;&gt;""),SUM(R49,$AP$8)/$AP$2*100,"")</f>
        <v/>
      </c>
      <c r="AQ49" s="24">
        <f>IF(AND(A49&lt;&gt;"",ISNUMBER(W49),W49&gt;=0),SUM(W49,$AQ$8)/$AQ$2*100,"")</f>
        <v>100</v>
      </c>
      <c r="AR49" s="24" t="str">
        <f>IF(AND(A49&lt;&gt;"",T49&gt;0,ISNUMBER(T49)),SUM(T49,$AR$8)/$AR$2*100,"")</f>
        <v/>
      </c>
      <c r="AS49" s="24" t="str">
        <f>IF(AND(A49&lt;&gt;"",X49&lt;&gt;""),SUM(X49,$AS$8)/$AS$2*100,"")</f>
        <v/>
      </c>
      <c r="AT49" s="89">
        <f>IF(AND(A49&lt;&gt;"",OR(ISNUMBER(W49),ISNUMBER(X49))),SUM(W49:X49,$AT$8)/$AT$2*100,"")</f>
        <v>100</v>
      </c>
      <c r="AU49" s="24">
        <f>AA49</f>
        <v>99.016393442622956</v>
      </c>
      <c r="AV49" s="71"/>
      <c r="AW49" s="27">
        <f>IF(A49&lt;&gt;"",AE49-AA49,"")</f>
        <v>0.98360655737704406</v>
      </c>
      <c r="AY49" s="27" t="b">
        <f>S49&gt;R49</f>
        <v>0</v>
      </c>
      <c r="BA49" s="27" t="e">
        <f>AND(AA49&gt;$BA$3,(W49+$W$8)/$W$2&lt;$BB$3,(X49+$X$8)/$X$2&lt;$BB$3)</f>
        <v>#VALUE!</v>
      </c>
      <c r="BB49" s="27" t="e">
        <f>AND(AA49&lt;$BA$3,AND(W49/$W$2&gt;$BB$3,X49/$X$2&gt;$BB$3))</f>
        <v>#VALUE!</v>
      </c>
      <c r="BC49" s="27" t="e">
        <f>AND(AA49&lt;$BA$3,OR(W49/$W$2&gt;$BB$3,X49/$X$2&gt;$BB$3))</f>
        <v>#VALUE!</v>
      </c>
      <c r="BE49" s="32" t="s">
        <v>84</v>
      </c>
    </row>
    <row r="50" spans="1:58" s="27" customFormat="1" ht="12.75" customHeight="1" x14ac:dyDescent="0.2">
      <c r="A50" s="10">
        <v>60558</v>
      </c>
      <c r="B50" s="2">
        <v>24</v>
      </c>
      <c r="C50" s="10">
        <v>23</v>
      </c>
      <c r="D50" s="10">
        <v>25</v>
      </c>
      <c r="E50" s="10"/>
      <c r="F50" s="10"/>
      <c r="G50" s="10"/>
      <c r="H50" s="10"/>
      <c r="I50" s="10"/>
      <c r="J50" s="2">
        <v>28</v>
      </c>
      <c r="K50" s="10">
        <v>49</v>
      </c>
      <c r="L50" s="10">
        <v>50</v>
      </c>
      <c r="M50" s="10"/>
      <c r="N50" s="93"/>
      <c r="O50" s="13"/>
      <c r="P50" s="10">
        <v>100</v>
      </c>
      <c r="Q50" s="10"/>
      <c r="R50" s="2"/>
      <c r="S50" s="10"/>
      <c r="T50" s="13"/>
      <c r="U50" s="1">
        <f t="array" ref="U50">IF(AND(A50&lt;&gt;"",OR(ISNUMBER(B50:I50))),SUM(B50:I50),"")</f>
        <v>72</v>
      </c>
      <c r="V50" s="10">
        <f t="array" ref="V50">IF(AND(A50&lt;&gt;"",OR(ISNUMBER(J50:O50))),SUM(J50:O50),"")</f>
        <v>127</v>
      </c>
      <c r="W50" s="10">
        <f t="array" ref="W50">IF(AND(A50&lt;&gt;"",OR(ISNUMBER(P50),ISNUMBER(Q50))),SUM(MAX(P50:Q50),Q50),"")</f>
        <v>100</v>
      </c>
      <c r="X50" s="10" t="str">
        <f t="array" ref="X50">IF(AND(A50&lt;&gt;"",OR(ISNUMBER(S50),ISNUMBER(T50))),SUM(S50,T50),"")</f>
        <v/>
      </c>
      <c r="Y50" s="13">
        <v>1</v>
      </c>
      <c r="Z50" s="13">
        <f>IF(A50&lt;&gt;"",SUM(U50:Y50),"")</f>
        <v>300</v>
      </c>
      <c r="AA50" s="27">
        <f>IF(A50&lt;&gt;"",(Z50+Normalize_To_Add)/(Point_Total_So_Far)*100,"")</f>
        <v>98.360655737704917</v>
      </c>
      <c r="AB50" s="10">
        <f>IF(A50&lt;&gt;"",RANK(AA50,All_Student_XC),"")</f>
        <v>186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>
        <f>IF(A50&lt;&gt;"",SUM(W50:X50,$W$8:$X$8)/SUM($W$2:$X$2)*100,"")</f>
        <v>100</v>
      </c>
      <c r="AF50" s="32" t="str">
        <f>IF(A50&lt;&gt;"",CHOOSE(10-MIN(9,TRUNC((AE50+0.5)/10)),"A","B","C","D","F","F","F","F","F","F"),"")</f>
        <v>A</v>
      </c>
      <c r="AG50" s="32" t="str">
        <f>IF(A50&lt;&gt;"",IF(OR(AE50+0.5&gt;=93,AE50+0.5&lt;60),"",IF(MOD(AE50+0.5,10)&gt;=7,"+",IF(MOD(AE50+0.5,10)&lt;3,"-",""))),"")</f>
        <v/>
      </c>
      <c r="AH50" s="36">
        <f>IF(A50&lt;&gt;"",MIN(MAX(AA50,AE50),AA50+$AH$8,AE50+$AH$8),"")</f>
        <v>100</v>
      </c>
      <c r="AI50" s="32" t="str">
        <f>IF(A50&lt;&gt;"",CHOOSE(10-MIN(9,TRUNC((AH50+0.5)/10)),"A","B","C","D","F","F","F","F","F","F"),"")</f>
        <v>A</v>
      </c>
      <c r="AJ50" s="32" t="str">
        <f>IF(A50&lt;&gt;"",IF(OR(AH50+0.5&gt;=93,AH50+0.5&lt;60),"",IF(MOD(AH50+0.5,10)&gt;=7,"+",IF(MOD(AH50+0.5,10)&lt;3,"-",""))),"")</f>
        <v/>
      </c>
      <c r="AK50" s="71" t="b">
        <f>IF(A50&lt;&gt;"",OR(AI50&lt;&gt;AC50,AJ50&lt;&gt;AD50),"")</f>
        <v>0</v>
      </c>
      <c r="AL50" s="86">
        <f>IF(AND(A50&lt;&gt;"",U50&lt;&gt;""),SUM(U50,$AL$8)/$AL$2*100,"")</f>
        <v>96</v>
      </c>
      <c r="AM50" s="71">
        <f>IF(AND(A50&lt;&gt;"",V50&lt;&gt;""),SUM(V50,$AM$8)/$AM$2*100,"")</f>
        <v>97.692307692307693</v>
      </c>
      <c r="AN50" s="71">
        <f>IF(AND(A50&lt;&gt;"",ISNUMBER(P50),P50&gt;=0),SUM(P50,$AN$8)/$AN$2*100,"")</f>
        <v>100</v>
      </c>
      <c r="AO50" s="71" t="str">
        <f>IF(AND(A50&lt;&gt;"",ISNUMBER(Q50),Q50&gt;=0),SUM(Q50,$AO$8)/$AO$2*100,"")</f>
        <v/>
      </c>
      <c r="AP50" s="24" t="str">
        <f>IF(AND(A50&lt;&gt;"",R50&lt;&gt;""),SUM(R50,$AP$8)/$AP$2*100,"")</f>
        <v/>
      </c>
      <c r="AQ50" s="24">
        <f>IF(AND(A50&lt;&gt;"",ISNUMBER(W50),W50&gt;=0),SUM(W50,$AQ$8)/$AQ$2*100,"")</f>
        <v>100</v>
      </c>
      <c r="AR50" s="24" t="str">
        <f>IF(AND(A50&lt;&gt;"",T50&gt;0,ISNUMBER(T50)),SUM(T50,$AR$8)/$AR$2*100,"")</f>
        <v/>
      </c>
      <c r="AS50" s="24" t="str">
        <f>IF(AND(A50&lt;&gt;"",X50&lt;&gt;""),SUM(X50,$AS$8)/$AS$2*100,"")</f>
        <v/>
      </c>
      <c r="AT50" s="89">
        <f>IF(AND(A50&lt;&gt;"",OR(ISNUMBER(W50),ISNUMBER(X50))),SUM(W50:X50,$AT$8)/$AT$2*100,"")</f>
        <v>100</v>
      </c>
      <c r="AU50" s="24">
        <f>AA50</f>
        <v>98.360655737704917</v>
      </c>
      <c r="AV50" s="71"/>
      <c r="AW50" s="27">
        <f>IF(A50&lt;&gt;"",AE50-AA50,"")</f>
        <v>1.6393442622950829</v>
      </c>
      <c r="AY50" s="27" t="b">
        <f>S50&gt;R50</f>
        <v>0</v>
      </c>
      <c r="BA50" s="27" t="e">
        <f>AND(AA50&gt;$BA$3,(W50+$W$8)/$W$2&lt;$BB$3,(X50+$X$8)/$X$2&lt;$BB$3)</f>
        <v>#VALUE!</v>
      </c>
      <c r="BB50" s="27" t="e">
        <f>AND(AA50&lt;$BA$3,AND(W50/$W$2&gt;$BB$3,X50/$X$2&gt;$BB$3))</f>
        <v>#VALUE!</v>
      </c>
      <c r="BC50" s="27" t="e">
        <f>AND(AA50&lt;$BA$3,OR(W50/$W$2&gt;$BB$3,X50/$X$2&gt;$BB$3))</f>
        <v>#VALUE!</v>
      </c>
      <c r="BE50" s="32">
        <v>32</v>
      </c>
    </row>
    <row r="51" spans="1:58" s="27" customFormat="1" ht="12.75" customHeight="1" x14ac:dyDescent="0.2">
      <c r="A51" s="56">
        <v>65027</v>
      </c>
      <c r="B51" s="2">
        <v>25</v>
      </c>
      <c r="C51" s="10">
        <v>24</v>
      </c>
      <c r="D51" s="10">
        <v>25</v>
      </c>
      <c r="E51" s="10"/>
      <c r="F51" s="10"/>
      <c r="G51" s="3"/>
      <c r="H51" s="10"/>
      <c r="I51" s="10"/>
      <c r="J51" s="2">
        <v>29</v>
      </c>
      <c r="K51" s="107">
        <v>42</v>
      </c>
      <c r="L51" s="10">
        <v>50</v>
      </c>
      <c r="M51" s="10"/>
      <c r="N51" s="93"/>
      <c r="O51" s="12"/>
      <c r="P51" s="10">
        <v>101</v>
      </c>
      <c r="Q51" s="41"/>
      <c r="R51" s="2"/>
      <c r="S51" s="10"/>
      <c r="T51" s="13"/>
      <c r="U51" s="1">
        <f t="array" ref="U51">IF(AND(A51&lt;&gt;"",OR(ISNUMBER(B51:I51))),SUM(B51:I51),"")</f>
        <v>74</v>
      </c>
      <c r="V51" s="10">
        <f t="array" ref="V51">IF(AND(A51&lt;&gt;"",OR(ISNUMBER(J51:O51))),SUM(J51:O51),"")</f>
        <v>121</v>
      </c>
      <c r="W51" s="10">
        <f t="array" ref="W51">IF(AND(A51&lt;&gt;"",OR(ISNUMBER(P51),ISNUMBER(Q51))),SUM(MAX(P51:Q51),Q51),"")</f>
        <v>101</v>
      </c>
      <c r="X51" s="10" t="str">
        <f t="array" ref="X51">IF(AND(A51&lt;&gt;"",OR(ISNUMBER(S51),ISNUMBER(T51))),SUM(S51,T51),"")</f>
        <v/>
      </c>
      <c r="Y51" s="13">
        <v>1</v>
      </c>
      <c r="Z51" s="13">
        <f>IF(A51&lt;&gt;"",SUM(U51:Y51),"")</f>
        <v>297</v>
      </c>
      <c r="AA51" s="27">
        <f>IF(A51&lt;&gt;"",(Z51+Normalize_To_Add)/(Point_Total_So_Far)*100,"")</f>
        <v>97.377049180327873</v>
      </c>
      <c r="AB51" s="10">
        <f>IF(A51&lt;&gt;"",RANK(AA51,All_Student_XC),"")</f>
        <v>224</v>
      </c>
      <c r="AC51" s="32" t="str">
        <f>IF(A51&lt;&gt;"",CHOOSE(10-MIN(9,TRUNC((AA51+0.5)/10)),"A","B","C","D","F","F","F","F","F","F"),"")</f>
        <v>A</v>
      </c>
      <c r="AD51" s="32" t="str">
        <f>IF(A51&lt;&gt;"",IF(OR(AA51+0.5&gt;=93,AA51+0.5&lt;60),"",IF(MOD(AA51+0.5,10)&gt;=7,"+",IF(MOD(AA51+0.5,10)&lt;3,"-",""))),"")</f>
        <v/>
      </c>
      <c r="AE51" s="32">
        <f>IF(A51&lt;&gt;"",SUM(W51:X51,$W$8:$X$8)/SUM($W$2:$X$2)*100,"")</f>
        <v>101</v>
      </c>
      <c r="AF51" s="32" t="str">
        <f>IF(A51&lt;&gt;"",CHOOSE(10-MIN(9,TRUNC((AE51+0.5)/10)),"A","B","C","D","F","F","F","F","F","F"),"")</f>
        <v>A</v>
      </c>
      <c r="AG51" s="32" t="str">
        <f>IF(A51&lt;&gt;"",IF(OR(AE51+0.5&gt;=93,AE51+0.5&lt;60),"",IF(MOD(AE51+0.5,10)&gt;=7,"+",IF(MOD(AE51+0.5,10)&lt;3,"-",""))),"")</f>
        <v/>
      </c>
      <c r="AH51" s="36">
        <f>IF(A51&lt;&gt;"",MIN(MAX(AA51,AE51),AA51+$AH$8,AE51+$AH$8),"")</f>
        <v>101</v>
      </c>
      <c r="AI51" s="32" t="str">
        <f>IF(A51&lt;&gt;"",CHOOSE(10-MIN(9,TRUNC((AH51+0.5)/10)),"A","B","C","D","F","F","F","F","F","F"),"")</f>
        <v>A</v>
      </c>
      <c r="AJ51" s="32" t="str">
        <f>IF(A51&lt;&gt;"",IF(OR(AH51+0.5&gt;=93,AH51+0.5&lt;60),"",IF(MOD(AH51+0.5,10)&gt;=7,"+",IF(MOD(AH51+0.5,10)&lt;3,"-",""))),"")</f>
        <v/>
      </c>
      <c r="AK51" s="32" t="b">
        <f>IF(A51&lt;&gt;"",OR(AI51&lt;&gt;AC51,AJ51&lt;&gt;AD51),"")</f>
        <v>0</v>
      </c>
      <c r="AL51" s="84">
        <f>IF(AND(A51&lt;&gt;"",U51&lt;&gt;""),SUM(U51,$AL$8)/$AL$2*100,"")</f>
        <v>98.666666666666671</v>
      </c>
      <c r="AM51" s="24">
        <f>IF(AND(A51&lt;&gt;"",V51&lt;&gt;""),SUM(V51,$AM$8)/$AM$2*100,"")</f>
        <v>93.07692307692308</v>
      </c>
      <c r="AN51" s="24">
        <f>IF(AND(A51&lt;&gt;"",ISNUMBER(P51),P51&gt;=0),SUM(P51,$AN$8)/$AN$2*100,"")</f>
        <v>101</v>
      </c>
      <c r="AO51" s="24" t="str">
        <f>IF(AND(A51&lt;&gt;"",ISNUMBER(Q51),Q51&gt;=0),SUM(Q51,$AO$8)/$AO$2*100,"")</f>
        <v/>
      </c>
      <c r="AP51" s="24" t="str">
        <f>IF(AND(A51&lt;&gt;"",R51&lt;&gt;""),SUM(R51,$AP$8)/$AP$2*100,"")</f>
        <v/>
      </c>
      <c r="AQ51" s="24">
        <f>IF(AND(A51&lt;&gt;"",ISNUMBER(W51),W51&gt;=0),SUM(W51,$AQ$8)/$AQ$2*100,"")</f>
        <v>101</v>
      </c>
      <c r="AR51" s="24" t="str">
        <f>IF(AND(A51&lt;&gt;"",T51&gt;0,ISNUMBER(T51)),SUM(T51,$AR$8)/$AR$2*100,"")</f>
        <v/>
      </c>
      <c r="AS51" s="24" t="str">
        <f>IF(AND(A51&lt;&gt;"",X51&lt;&gt;""),SUM(X51,$AS$8)/$AS$2*100,"")</f>
        <v/>
      </c>
      <c r="AT51" s="89">
        <f>IF(AND(A51&lt;&gt;"",OR(ISNUMBER(W51),ISNUMBER(X51))),SUM(W51:X51,$AT$8)/$AT$2*100,"")</f>
        <v>101</v>
      </c>
      <c r="AU51" s="24">
        <f>AA51</f>
        <v>97.377049180327873</v>
      </c>
      <c r="AV51" s="24"/>
      <c r="AW51" s="27">
        <f>IF(A51&lt;&gt;"",AE51-AA51,"")</f>
        <v>3.622950819672127</v>
      </c>
      <c r="AY51" s="27" t="b">
        <f>S51&gt;R51</f>
        <v>0</v>
      </c>
      <c r="BA51" s="27" t="e">
        <f>AND(AA51&gt;$BA$3,(W51+$W$8)/$W$2&lt;$BB$3,(X51+$X$8)/$X$2&lt;$BB$3)</f>
        <v>#VALUE!</v>
      </c>
      <c r="BB51" s="27" t="e">
        <f>AND(AA51&lt;$BA$3,AND(W51/$W$2&gt;$BB$3,X51/$X$2&gt;$BB$3))</f>
        <v>#VALUE!</v>
      </c>
      <c r="BC51" s="27" t="e">
        <f>AND(AA51&lt;$BA$3,OR(W51/$W$2&gt;$BB$3,X51/$X$2&gt;$BB$3))</f>
        <v>#VALUE!</v>
      </c>
      <c r="BE51" s="32">
        <v>32</v>
      </c>
    </row>
    <row r="52" spans="1:58" s="99" customFormat="1" ht="12.75" customHeight="1" x14ac:dyDescent="0.2">
      <c r="A52" s="78">
        <v>67268</v>
      </c>
      <c r="B52" s="97">
        <v>22</v>
      </c>
      <c r="C52" s="78">
        <v>21</v>
      </c>
      <c r="D52" s="78">
        <v>25</v>
      </c>
      <c r="E52" s="78"/>
      <c r="F52" s="78"/>
      <c r="G52" s="78"/>
      <c r="H52" s="78"/>
      <c r="I52" s="78"/>
      <c r="J52" s="97">
        <v>32</v>
      </c>
      <c r="K52" s="78">
        <v>51</v>
      </c>
      <c r="L52" s="78">
        <v>52</v>
      </c>
      <c r="M52" s="78"/>
      <c r="N52" s="103"/>
      <c r="O52" s="98"/>
      <c r="P52" s="78">
        <v>101</v>
      </c>
      <c r="Q52" s="78"/>
      <c r="R52" s="97"/>
      <c r="S52" s="78"/>
      <c r="T52" s="98"/>
      <c r="U52" s="111">
        <f t="array" ref="U52">IF(AND(A52&lt;&gt;"",OR(ISNUMBER(B52:I52))),SUM(B52:I52),"")</f>
        <v>68</v>
      </c>
      <c r="V52" s="78">
        <f t="array" ref="V52">IF(AND(A52&lt;&gt;"",OR(ISNUMBER(J52:O52))),SUM(J52:O52),"")</f>
        <v>135</v>
      </c>
      <c r="W52" s="78">
        <f t="array" ref="W52">IF(AND(A52&lt;&gt;"",OR(ISNUMBER(P52),ISNUMBER(Q52))),SUM(MAX(P52:Q52),Q52),"")</f>
        <v>101</v>
      </c>
      <c r="X52" s="78" t="str">
        <f t="array" ref="X52">IF(AND(A52&lt;&gt;"",OR(ISNUMBER(S52),ISNUMBER(T52))),SUM(S52,T52),"")</f>
        <v/>
      </c>
      <c r="Y52" s="98">
        <v>1</v>
      </c>
      <c r="Z52" s="98">
        <f>IF(A52&lt;&gt;"",SUM(U52:Y52),"")</f>
        <v>305</v>
      </c>
      <c r="AA52" s="99">
        <f>IF(A52&lt;&gt;"",(Z52+Normalize_To_Add)/(Point_Total_So_Far)*100,"")</f>
        <v>100</v>
      </c>
      <c r="AB52" s="78">
        <f>IF(A52&lt;&gt;"",RANK(AA52,All_Student_XC),"")</f>
        <v>109</v>
      </c>
      <c r="AC52" s="100" t="str">
        <f>IF(A52&lt;&gt;"",CHOOSE(10-MIN(9,TRUNC((AA52+0.5)/10)),"A","B","C","D","F","F","F","F","F","F"),"")</f>
        <v>A</v>
      </c>
      <c r="AD52" s="96" t="str">
        <f>IF(A52&lt;&gt;"",IF(OR(AA52+0.5&gt;=93,AA52+0.5&lt;60),"",IF(MOD(AA52+0.5,10)&gt;=7,"+",IF(MOD(AA52+0.5,10)&lt;3,"-",""))),"")</f>
        <v/>
      </c>
      <c r="AE52" s="100">
        <f>IF(A52&lt;&gt;"",SUM(W52:X52,$W$8:$X$8)/SUM($W$2:$X$2)*100,"")</f>
        <v>101</v>
      </c>
      <c r="AF52" s="100" t="str">
        <f>IF(A52&lt;&gt;"",CHOOSE(10-MIN(9,TRUNC((AE52+0.5)/10)),"A","B","C","D","F","F","F","F","F","F"),"")</f>
        <v>A</v>
      </c>
      <c r="AG52" s="100" t="str">
        <f>IF(A52&lt;&gt;"",IF(OR(AE52+0.5&gt;=93,AE52+0.5&lt;60),"",IF(MOD(AE52+0.5,10)&gt;=7,"+",IF(MOD(AE52+0.5,10)&lt;3,"-",""))),"")</f>
        <v/>
      </c>
      <c r="AH52" s="101">
        <f>IF(A52&lt;&gt;"",MIN(MAX(AA52,AE52),AA52+$AH$8,AE52+$AH$8),"")</f>
        <v>101</v>
      </c>
      <c r="AI52" s="100" t="str">
        <f>IF(A52&lt;&gt;"",CHOOSE(10-MIN(9,TRUNC((AH52+0.5)/10)),"A","B","C","D","F","F","F","F","F","F"),"")</f>
        <v>A</v>
      </c>
      <c r="AJ52" s="100" t="str">
        <f>IF(A52&lt;&gt;"",IF(OR(AH52+0.5&gt;=93,AH52+0.5&lt;60),"",IF(MOD(AH52+0.5,10)&gt;=7,"+",IF(MOD(AH52+0.5,10)&lt;3,"-",""))),"")</f>
        <v/>
      </c>
      <c r="AK52" s="95" t="b">
        <f>IF(A52&lt;&gt;"",OR(AI52&lt;&gt;AC52,AJ52&lt;&gt;AD52),"")</f>
        <v>0</v>
      </c>
      <c r="AL52" s="104">
        <f>IF(AND(A52&lt;&gt;"",U52&lt;&gt;""),SUM(U52,$AL$8)/$AL$2*100,"")</f>
        <v>90.666666666666657</v>
      </c>
      <c r="AM52" s="95">
        <f>IF(AND(A52&lt;&gt;"",V52&lt;&gt;""),SUM(V52,$AM$8)/$AM$2*100,"")</f>
        <v>103.84615384615385</v>
      </c>
      <c r="AN52" s="95">
        <f>IF(AND(A52&lt;&gt;"",ISNUMBER(P52),P52&gt;=0),SUM(P52,$AN$8)/$AN$2*100,"")</f>
        <v>101</v>
      </c>
      <c r="AO52" s="95" t="str">
        <f>IF(AND(A52&lt;&gt;"",ISNUMBER(Q52),Q52&gt;=0),SUM(Q52,$AO$8)/$AO$2*100,"")</f>
        <v/>
      </c>
      <c r="AP52" s="94" t="str">
        <f>IF(AND(A52&lt;&gt;"",R52&lt;&gt;""),SUM(R52,$AP$8)/$AP$2*100,"")</f>
        <v/>
      </c>
      <c r="AQ52" s="94">
        <f>IF(AND(A52&lt;&gt;"",ISNUMBER(W52),W52&gt;=0),SUM(W52,$AQ$8)/$AQ$2*100,"")</f>
        <v>101</v>
      </c>
      <c r="AR52" s="94" t="str">
        <f>IF(AND(A52&lt;&gt;"",T52&gt;0,ISNUMBER(T52)),SUM(T52,$AR$8)/$AR$2*100,"")</f>
        <v/>
      </c>
      <c r="AS52" s="94" t="str">
        <f>IF(AND(A52&lt;&gt;"",X52&lt;&gt;""),SUM(X52,$AS$8)/$AS$2*100,"")</f>
        <v/>
      </c>
      <c r="AT52" s="102">
        <f>IF(AND(A52&lt;&gt;"",OR(ISNUMBER(W52),ISNUMBER(X52))),SUM(W52:X52,$AT$8)/$AT$2*100,"")</f>
        <v>101</v>
      </c>
      <c r="AU52" s="94">
        <f>AA52</f>
        <v>100</v>
      </c>
      <c r="AV52" s="95"/>
      <c r="AW52" s="99">
        <f>IF(A52&lt;&gt;"",AE52-AA52,"")</f>
        <v>1</v>
      </c>
      <c r="AY52" s="99" t="b">
        <f>S52&gt;R52</f>
        <v>0</v>
      </c>
      <c r="BA52" s="99" t="e">
        <f>AND(AA52&gt;$BA$3,(W52+$W$8)/$W$2&lt;$BB$3,(X52+$X$8)/$X$2&lt;$BB$3)</f>
        <v>#VALUE!</v>
      </c>
      <c r="BB52" s="99" t="e">
        <f>AND(AA52&lt;$BA$3,AND(W52/$W$2&gt;$BB$3,X52/$X$2&gt;$BB$3))</f>
        <v>#VALUE!</v>
      </c>
      <c r="BC52" s="99" t="e">
        <f>AND(AA52&lt;$BA$3,OR(W52/$W$2&gt;$BB$3,X52/$X$2&gt;$BB$3))</f>
        <v>#VALUE!</v>
      </c>
      <c r="BE52" s="100" t="s">
        <v>84</v>
      </c>
    </row>
    <row r="53" spans="1:58" s="27" customFormat="1" ht="12.75" customHeight="1" x14ac:dyDescent="0.2">
      <c r="A53" s="10">
        <v>69760</v>
      </c>
      <c r="B53" s="2">
        <v>20</v>
      </c>
      <c r="C53" s="10">
        <v>20</v>
      </c>
      <c r="D53" s="10">
        <v>22</v>
      </c>
      <c r="E53" s="10"/>
      <c r="F53" s="10"/>
      <c r="G53" s="10"/>
      <c r="H53" s="10"/>
      <c r="I53" s="10"/>
      <c r="J53" s="2">
        <v>25</v>
      </c>
      <c r="K53" s="10">
        <v>39</v>
      </c>
      <c r="L53" s="10">
        <v>49</v>
      </c>
      <c r="M53" s="10"/>
      <c r="N53" s="93"/>
      <c r="O53" s="13"/>
      <c r="P53" s="10">
        <v>101</v>
      </c>
      <c r="Q53" s="10"/>
      <c r="R53" s="2"/>
      <c r="S53" s="10"/>
      <c r="T53" s="13"/>
      <c r="U53" s="1">
        <f t="array" ref="U53">IF(AND(A53&lt;&gt;"",OR(ISNUMBER(B53:I53))),SUM(B53:I53),"")</f>
        <v>62</v>
      </c>
      <c r="V53" s="10">
        <f t="array" ref="V53">IF(AND(A53&lt;&gt;"",OR(ISNUMBER(J53:O53))),SUM(J53:O53),"")</f>
        <v>113</v>
      </c>
      <c r="W53" s="10">
        <f t="array" ref="W53">IF(AND(A53&lt;&gt;"",OR(ISNUMBER(P53),ISNUMBER(Q53))),SUM(MAX(P53:Q53),Q53),"")</f>
        <v>101</v>
      </c>
      <c r="X53" s="10" t="str">
        <f t="array" ref="X53">IF(AND(A53&lt;&gt;"",OR(ISNUMBER(S53),ISNUMBER(T53))),SUM(S53,T53),"")</f>
        <v/>
      </c>
      <c r="Y53" s="13">
        <v>1</v>
      </c>
      <c r="Z53" s="13">
        <f>IF(A53&lt;&gt;"",SUM(U53:Y53),"")</f>
        <v>277</v>
      </c>
      <c r="AA53" s="27">
        <f>IF(A53&lt;&gt;"",(Z53+Normalize_To_Add)/(Point_Total_So_Far)*100,"")</f>
        <v>90.819672131147541</v>
      </c>
      <c r="AB53" s="10">
        <f>IF(A53&lt;&gt;"",RANK(AA53,All_Student_XC),"")</f>
        <v>324</v>
      </c>
      <c r="AC53" s="32" t="str">
        <f>IF(A53&lt;&gt;"",CHOOSE(10-MIN(9,TRUNC((AA53+0.5)/10)),"A","B","C","D","F","F","F","F","F","F"),"")</f>
        <v>A</v>
      </c>
      <c r="AD53" s="31" t="str">
        <f>IF(A53&lt;&gt;"",IF(OR(AA53+0.5&gt;=93,AA53+0.5&lt;60),"",IF(MOD(AA53+0.5,10)&gt;=7,"+",IF(MOD(AA53+0.5,10)&lt;3,"-",""))),"")</f>
        <v>-</v>
      </c>
      <c r="AE53" s="32">
        <f>IF(A53&lt;&gt;"",SUM(W53:X53,$W$8:$X$8)/SUM($W$2:$X$2)*100,"")</f>
        <v>101</v>
      </c>
      <c r="AF53" s="32" t="str">
        <f>IF(A53&lt;&gt;"",CHOOSE(10-MIN(9,TRUNC((AE53+0.5)/10)),"A","B","C","D","F","F","F","F","F","F"),"")</f>
        <v>A</v>
      </c>
      <c r="AG53" s="32" t="str">
        <f>IF(A53&lt;&gt;"",IF(OR(AE53+0.5&gt;=93,AE53+0.5&lt;60),"",IF(MOD(AE53+0.5,10)&gt;=7,"+",IF(MOD(AE53+0.5,10)&lt;3,"-",""))),"")</f>
        <v/>
      </c>
      <c r="AH53" s="36">
        <f>IF(A53&lt;&gt;"",MIN(MAX(AA53,AE53),AA53+$AH$8,AE53+$AH$8),"")</f>
        <v>101</v>
      </c>
      <c r="AI53" s="32" t="str">
        <f>IF(A53&lt;&gt;"",CHOOSE(10-MIN(9,TRUNC((AH53+0.5)/10)),"A","B","C","D","F","F","F","F","F","F"),"")</f>
        <v>A</v>
      </c>
      <c r="AJ53" s="32" t="str">
        <f>IF(A53&lt;&gt;"",IF(OR(AH53+0.5&gt;=93,AH53+0.5&lt;60),"",IF(MOD(AH53+0.5,10)&gt;=7,"+",IF(MOD(AH53+0.5,10)&lt;3,"-",""))),"")</f>
        <v/>
      </c>
      <c r="AK53" s="71" t="b">
        <f>IF(A53&lt;&gt;"",OR(AI53&lt;&gt;AC53,AJ53&lt;&gt;AD53),"")</f>
        <v>1</v>
      </c>
      <c r="AL53" s="86">
        <f>IF(AND(A53&lt;&gt;"",U53&lt;&gt;""),SUM(U53,$AL$8)/$AL$2*100,"")</f>
        <v>82.666666666666671</v>
      </c>
      <c r="AM53" s="71">
        <f>IF(AND(A53&lt;&gt;"",V53&lt;&gt;""),SUM(V53,$AM$8)/$AM$2*100,"")</f>
        <v>86.92307692307692</v>
      </c>
      <c r="AN53" s="71">
        <f>IF(AND(A53&lt;&gt;"",ISNUMBER(P53),P53&gt;=0),SUM(P53,$AN$8)/$AN$2*100,"")</f>
        <v>101</v>
      </c>
      <c r="AO53" s="71" t="str">
        <f>IF(AND(A53&lt;&gt;"",ISNUMBER(Q53),Q53&gt;=0),SUM(Q53,$AO$8)/$AO$2*100,"")</f>
        <v/>
      </c>
      <c r="AP53" s="24" t="str">
        <f>IF(AND(A53&lt;&gt;"",R53&lt;&gt;""),SUM(R53,$AP$8)/$AP$2*100,"")</f>
        <v/>
      </c>
      <c r="AQ53" s="24">
        <f>IF(AND(A53&lt;&gt;"",ISNUMBER(W53),W53&gt;=0),SUM(W53,$AQ$8)/$AQ$2*100,"")</f>
        <v>101</v>
      </c>
      <c r="AR53" s="24" t="str">
        <f>IF(AND(A53&lt;&gt;"",T53&gt;0,ISNUMBER(T53)),SUM(T53,$AR$8)/$AR$2*100,"")</f>
        <v/>
      </c>
      <c r="AS53" s="24" t="str">
        <f>IF(AND(A53&lt;&gt;"",X53&lt;&gt;""),SUM(X53,$AS$8)/$AS$2*100,"")</f>
        <v/>
      </c>
      <c r="AT53" s="89">
        <f>IF(AND(A53&lt;&gt;"",OR(ISNUMBER(W53),ISNUMBER(X53))),SUM(W53:X53,$AT$8)/$AT$2*100,"")</f>
        <v>101</v>
      </c>
      <c r="AU53" s="24">
        <f>AA53</f>
        <v>90.819672131147541</v>
      </c>
      <c r="AV53" s="71"/>
      <c r="AW53" s="27">
        <f>IF(A53&lt;&gt;"",AE53-AA53,"")</f>
        <v>10.180327868852459</v>
      </c>
      <c r="AY53" s="27" t="b">
        <f>S53&gt;R53</f>
        <v>0</v>
      </c>
      <c r="BA53" s="27" t="e">
        <f>AND(AA53&gt;$BA$3,(W53+$W$8)/$W$2&lt;$BB$3,(X53+$X$8)/$X$2&lt;$BB$3)</f>
        <v>#VALUE!</v>
      </c>
      <c r="BB53" s="27" t="e">
        <f>AND(AA53&lt;$BA$3,AND(W53/$W$2&gt;$BB$3,X53/$X$2&gt;$BB$3))</f>
        <v>#VALUE!</v>
      </c>
      <c r="BC53" s="27" t="e">
        <f>AND(AA53&lt;$BA$3,OR(W53/$W$2&gt;$BB$3,X53/$X$2&gt;$BB$3))</f>
        <v>#VALUE!</v>
      </c>
      <c r="BE53" s="32">
        <v>32</v>
      </c>
    </row>
    <row r="54" spans="1:58" s="27" customFormat="1" ht="12.75" customHeight="1" x14ac:dyDescent="0.2">
      <c r="A54" s="10">
        <v>69880</v>
      </c>
      <c r="B54" s="2">
        <v>24</v>
      </c>
      <c r="C54" s="10">
        <v>23</v>
      </c>
      <c r="D54" s="10">
        <v>25</v>
      </c>
      <c r="E54" s="10"/>
      <c r="F54" s="10"/>
      <c r="G54" s="3"/>
      <c r="H54" s="10"/>
      <c r="I54" s="10"/>
      <c r="J54" s="2">
        <v>30</v>
      </c>
      <c r="K54" s="10">
        <v>51</v>
      </c>
      <c r="L54" s="10">
        <v>52</v>
      </c>
      <c r="M54" s="10"/>
      <c r="N54" s="10"/>
      <c r="O54" s="12"/>
      <c r="P54" s="7">
        <v>101</v>
      </c>
      <c r="Q54" s="7"/>
      <c r="R54" s="2"/>
      <c r="S54" s="10"/>
      <c r="T54" s="13"/>
      <c r="U54" s="77">
        <f t="array" ref="U54">IF(AND(A54&lt;&gt;"",OR(ISNUMBER(B54:I54))),SUM(B54:I54),"")</f>
        <v>72</v>
      </c>
      <c r="V54" s="10">
        <f t="array" ref="V54">IF(AND(A54&lt;&gt;"",OR(ISNUMBER(J54:O54))),SUM(J54:O54),"")</f>
        <v>133</v>
      </c>
      <c r="W54" s="10">
        <f t="array" ref="W54">IF(AND(A54&lt;&gt;"",OR(ISNUMBER(P54),ISNUMBER(Q54))),SUM(MAX(P54:Q54),Q54),"")</f>
        <v>101</v>
      </c>
      <c r="X54" s="10" t="str">
        <f t="array" ref="X54">IF(AND(A54&lt;&gt;"",OR(ISNUMBER(S54),ISNUMBER(T54))),SUM(S54,T54),"")</f>
        <v/>
      </c>
      <c r="Y54" s="13">
        <v>1</v>
      </c>
      <c r="Z54" s="13">
        <f>IF(A54&lt;&gt;"",SUM(U54:Y54),"")</f>
        <v>307</v>
      </c>
      <c r="AA54" s="27">
        <f>IF(A54&lt;&gt;"",(Z54+Normalize_To_Add)/(Point_Total_So_Far)*100,"")</f>
        <v>100.65573770491802</v>
      </c>
      <c r="AB54" s="10">
        <f>IF(A54&lt;&gt;"",RANK(AA54,All_Student_XC),"")</f>
        <v>72</v>
      </c>
      <c r="AC54" s="32" t="str">
        <f>IF(A54&lt;&gt;"",CHOOSE(10-MIN(9,TRUNC((AA54+0.5)/10)),"A","B","C","D","F","F","F","F","F","F"),"")</f>
        <v>A</v>
      </c>
      <c r="AD54" s="32" t="str">
        <f>IF(A54&lt;&gt;"",IF(OR(AA54+0.5&gt;=93,AA54+0.5&lt;60),"",IF(MOD(AA54+0.5,10)&gt;=7,"+",IF(MOD(AA54+0.5,10)&lt;3,"-",""))),"")</f>
        <v/>
      </c>
      <c r="AE54" s="32">
        <f>IF(A54&lt;&gt;"",SUM(W54:X54,$W$8:$X$8)/SUM($W$2:$X$2)*100,"")</f>
        <v>101</v>
      </c>
      <c r="AF54" s="32" t="str">
        <f>IF(A54&lt;&gt;"",CHOOSE(10-MIN(9,TRUNC((AE54+0.5)/10)),"A","B","C","D","F","F","F","F","F","F"),"")</f>
        <v>A</v>
      </c>
      <c r="AG54" s="32" t="str">
        <f>IF(A54&lt;&gt;"",IF(OR(AE54+0.5&gt;=93,AE54+0.5&lt;60),"",IF(MOD(AE54+0.5,10)&gt;=7,"+",IF(MOD(AE54+0.5,10)&lt;3,"-",""))),"")</f>
        <v/>
      </c>
      <c r="AH54" s="36">
        <f>IF(A54&lt;&gt;"",MIN(MAX(AA54,AE54),AA54+$AH$8,AE54+$AH$8),"")</f>
        <v>101</v>
      </c>
      <c r="AI54" s="32" t="str">
        <f>IF(A54&lt;&gt;"",CHOOSE(10-MIN(9,TRUNC((AH54+0.5)/10)),"A","B","C","D","F","F","F","F","F","F"),"")</f>
        <v>A</v>
      </c>
      <c r="AJ54" s="32" t="str">
        <f>IF(A54&lt;&gt;"",IF(OR(AH54+0.5&gt;=93,AH54+0.5&lt;60),"",IF(MOD(AH54+0.5,10)&gt;=7,"+",IF(MOD(AH54+0.5,10)&lt;3,"-",""))),"")</f>
        <v/>
      </c>
      <c r="AK54" s="32" t="b">
        <f>IF(A54&lt;&gt;"",OR(AI54&lt;&gt;AC54,AJ54&lt;&gt;AD54),"")</f>
        <v>0</v>
      </c>
      <c r="AL54" s="84">
        <f>IF(AND(A54&lt;&gt;"",U54&lt;&gt;""),SUM(U54,$AL$8)/$AL$2*100,"")</f>
        <v>96</v>
      </c>
      <c r="AM54" s="24">
        <f>IF(AND(A54&lt;&gt;"",V54&lt;&gt;""),SUM(V54,$AM$8)/$AM$2*100,"")</f>
        <v>102.30769230769229</v>
      </c>
      <c r="AN54" s="24">
        <f>IF(AND(A54&lt;&gt;"",ISNUMBER(P54),P54&gt;=0),SUM(P54,$AN$8)/$AN$2*100,"")</f>
        <v>101</v>
      </c>
      <c r="AO54" s="24" t="str">
        <f>IF(AND(A54&lt;&gt;"",ISNUMBER(Q54),Q54&gt;=0),SUM(Q54,$AO$8)/$AO$2*100,"")</f>
        <v/>
      </c>
      <c r="AP54" s="24" t="str">
        <f>IF(AND(A54&lt;&gt;"",R54&lt;&gt;""),SUM(R54,$AP$8)/$AP$2*100,"")</f>
        <v/>
      </c>
      <c r="AQ54" s="24">
        <f>IF(AND(A54&lt;&gt;"",ISNUMBER(W54),W54&gt;=0),SUM(W54,$AQ$8)/$AQ$2*100,"")</f>
        <v>101</v>
      </c>
      <c r="AR54" s="24" t="str">
        <f>IF(AND(A54&lt;&gt;"",T54&gt;0,ISNUMBER(T54)),SUM(T54,$AR$8)/$AR$2*100,"")</f>
        <v/>
      </c>
      <c r="AS54" s="24" t="str">
        <f>IF(AND(A54&lt;&gt;"",X54&lt;&gt;""),SUM(X54,$AS$8)/$AS$2*100,"")</f>
        <v/>
      </c>
      <c r="AT54" s="89">
        <f>IF(AND(A54&lt;&gt;"",OR(ISNUMBER(W54),ISNUMBER(X54))),SUM(W54:X54,$AT$8)/$AT$2*100,"")</f>
        <v>101</v>
      </c>
      <c r="AU54" s="24">
        <f>AA54</f>
        <v>100.65573770491802</v>
      </c>
      <c r="AV54" s="24"/>
      <c r="AW54" s="27">
        <f>IF(A54&lt;&gt;"",AE54-AA54,"")</f>
        <v>0.34426229508197537</v>
      </c>
      <c r="AY54" s="27" t="b">
        <f>S54&gt;R54</f>
        <v>0</v>
      </c>
      <c r="BA54" s="27" t="e">
        <f>AND(AA54&gt;$BA$3,(W54+$W$8)/$W$2&lt;$BB$3,(X54+$X$8)/$X$2&lt;$BB$3)</f>
        <v>#VALUE!</v>
      </c>
      <c r="BB54" s="27" t="e">
        <f>AND(AA54&lt;$BA$3,AND(W54/$W$2&gt;$BB$3,X54/$X$2&gt;$BB$3))</f>
        <v>#VALUE!</v>
      </c>
      <c r="BC54" s="27" t="e">
        <f>AND(AA54&lt;$BA$3,OR(W54/$W$2&gt;$BB$3,X54/$X$2&gt;$BB$3))</f>
        <v>#VALUE!</v>
      </c>
      <c r="BE54" s="32" t="s">
        <v>84</v>
      </c>
    </row>
    <row r="55" spans="1:58" s="27" customFormat="1" ht="12.75" customHeight="1" x14ac:dyDescent="0.2">
      <c r="A55" s="10">
        <v>70231</v>
      </c>
      <c r="B55" s="2">
        <v>20</v>
      </c>
      <c r="C55" s="10">
        <v>23</v>
      </c>
      <c r="D55" s="10">
        <v>25</v>
      </c>
      <c r="E55" s="10"/>
      <c r="F55" s="10"/>
      <c r="G55" s="10"/>
      <c r="H55" s="10"/>
      <c r="I55" s="10"/>
      <c r="J55" s="2">
        <v>31</v>
      </c>
      <c r="K55" s="10">
        <v>52</v>
      </c>
      <c r="L55" s="10">
        <v>52</v>
      </c>
      <c r="M55" s="10"/>
      <c r="N55" s="93"/>
      <c r="O55" s="12"/>
      <c r="P55" s="10">
        <v>101</v>
      </c>
      <c r="Q55" s="10"/>
      <c r="R55" s="2"/>
      <c r="S55" s="10"/>
      <c r="T55" s="13"/>
      <c r="U55" s="1">
        <f t="array" ref="U55">IF(AND(A55&lt;&gt;"",OR(ISNUMBER(B55:I55))),SUM(B55:I55),"")</f>
        <v>68</v>
      </c>
      <c r="V55" s="10">
        <f t="array" ref="V55">IF(AND(A55&lt;&gt;"",OR(ISNUMBER(J55:O55))),SUM(J55:O55),"")</f>
        <v>135</v>
      </c>
      <c r="W55" s="10">
        <f t="array" ref="W55">IF(AND(A55&lt;&gt;"",OR(ISNUMBER(P55),ISNUMBER(Q55))),SUM(MAX(P55:Q55),Q55),"")</f>
        <v>101</v>
      </c>
      <c r="X55" s="10" t="str">
        <f t="array" ref="X55">IF(AND(A55&lt;&gt;"",OR(ISNUMBER(S55),ISNUMBER(T55))),SUM(S55,T55),"")</f>
        <v/>
      </c>
      <c r="Y55" s="13">
        <v>1</v>
      </c>
      <c r="Z55" s="13">
        <f>IF(A55&lt;&gt;"",SUM(U55:Y55),"")</f>
        <v>305</v>
      </c>
      <c r="AA55" s="27">
        <f>IF(A55&lt;&gt;"",(Z55+Normalize_To_Add)/(Point_Total_So_Far)*100,"")</f>
        <v>100</v>
      </c>
      <c r="AB55" s="10">
        <f>IF(A55&lt;&gt;"",RANK(AA55,All_Student_XC),"")</f>
        <v>109</v>
      </c>
      <c r="AC55" s="32" t="str">
        <f>IF(A55&lt;&gt;"",CHOOSE(10-MIN(9,TRUNC((AA55+0.5)/10)),"A","B","C","D","F","F","F","F","F","F"),"")</f>
        <v>A</v>
      </c>
      <c r="AD55" s="31" t="str">
        <f>IF(A55&lt;&gt;"",IF(OR(AA55+0.5&gt;=93,AA55+0.5&lt;60),"",IF(MOD(AA55+0.5,10)&gt;=7,"+",IF(MOD(AA55+0.5,10)&lt;3,"-",""))),"")</f>
        <v/>
      </c>
      <c r="AE55" s="32">
        <f>IF(A55&lt;&gt;"",SUM(W55:X55,$W$8:$X$8)/SUM($W$2:$X$2)*100,"")</f>
        <v>101</v>
      </c>
      <c r="AF55" s="32" t="str">
        <f>IF(A55&lt;&gt;"",CHOOSE(10-MIN(9,TRUNC((AE55+0.5)/10)),"A","B","C","D","F","F","F","F","F","F"),"")</f>
        <v>A</v>
      </c>
      <c r="AG55" s="32" t="str">
        <f>IF(A55&lt;&gt;"",IF(OR(AE55+0.5&gt;=93,AE55+0.5&lt;60),"",IF(MOD(AE55+0.5,10)&gt;=7,"+",IF(MOD(AE55+0.5,10)&lt;3,"-",""))),"")</f>
        <v/>
      </c>
      <c r="AH55" s="36">
        <f>IF(A55&lt;&gt;"",MIN(MAX(AA55,AE55),AA55+$AH$8,AE55+$AH$8),"")</f>
        <v>101</v>
      </c>
      <c r="AI55" s="32" t="str">
        <f>IF(A55&lt;&gt;"",CHOOSE(10-MIN(9,TRUNC((AH55+0.5)/10)),"A","B","C","D","F","F","F","F","F","F"),"")</f>
        <v>A</v>
      </c>
      <c r="AJ55" s="32" t="str">
        <f>IF(A55&lt;&gt;"",IF(OR(AH55+0.5&gt;=93,AH55+0.5&lt;60),"",IF(MOD(AH55+0.5,10)&gt;=7,"+",IF(MOD(AH55+0.5,10)&lt;3,"-",""))),"")</f>
        <v/>
      </c>
      <c r="AK55" s="71" t="b">
        <f>IF(A55&lt;&gt;"",OR(AI55&lt;&gt;AC55,AJ55&lt;&gt;AD55),"")</f>
        <v>0</v>
      </c>
      <c r="AL55" s="86">
        <f>IF(AND(A55&lt;&gt;"",U55&lt;&gt;""),SUM(U55,$AL$8)/$AL$2*100,"")</f>
        <v>90.666666666666657</v>
      </c>
      <c r="AM55" s="71">
        <f>IF(AND(A55&lt;&gt;"",V55&lt;&gt;""),SUM(V55,$AM$8)/$AM$2*100,"")</f>
        <v>103.84615384615385</v>
      </c>
      <c r="AN55" s="71">
        <f>IF(AND(A55&lt;&gt;"",ISNUMBER(P55),P55&gt;=0),SUM(P55,$AN$8)/$AN$2*100,"")</f>
        <v>101</v>
      </c>
      <c r="AO55" s="71" t="str">
        <f>IF(AND(A55&lt;&gt;"",ISNUMBER(Q55),Q55&gt;=0),SUM(Q55,$AO$8)/$AO$2*100,"")</f>
        <v/>
      </c>
      <c r="AP55" s="24" t="str">
        <f>IF(AND(A55&lt;&gt;"",R55&lt;&gt;""),SUM(R55,$AP$8)/$AP$2*100,"")</f>
        <v/>
      </c>
      <c r="AQ55" s="24">
        <f>IF(AND(A55&lt;&gt;"",ISNUMBER(W55),W55&gt;=0),SUM(W55,$AQ$8)/$AQ$2*100,"")</f>
        <v>101</v>
      </c>
      <c r="AR55" s="24" t="str">
        <f>IF(AND(A55&lt;&gt;"",T55&gt;0,ISNUMBER(T55)),SUM(T55,$AR$8)/$AR$2*100,"")</f>
        <v/>
      </c>
      <c r="AS55" s="24" t="str">
        <f>IF(AND(A55&lt;&gt;"",X55&lt;&gt;""),SUM(X55,$AS$8)/$AS$2*100,"")</f>
        <v/>
      </c>
      <c r="AT55" s="89">
        <f>IF(AND(A55&lt;&gt;"",OR(ISNUMBER(W55),ISNUMBER(X55))),SUM(W55:X55,$AT$8)/$AT$2*100,"")</f>
        <v>101</v>
      </c>
      <c r="AU55" s="24">
        <f>AA55</f>
        <v>100</v>
      </c>
      <c r="AV55" s="71"/>
      <c r="AW55" s="27">
        <f>IF(A55&lt;&gt;"",AE55-AA55,"")</f>
        <v>1</v>
      </c>
      <c r="AY55" s="27" t="b">
        <f>S55&gt;R55</f>
        <v>0</v>
      </c>
      <c r="BA55" s="27" t="e">
        <f>AND(AA55&gt;$BA$3,(W55+$W$8)/$W$2&lt;$BB$3,(X55+$X$8)/$X$2&lt;$BB$3)</f>
        <v>#VALUE!</v>
      </c>
      <c r="BB55" s="27" t="e">
        <f>AND(AA55&lt;$BA$3,AND(W55/$W$2&gt;$BB$3,X55/$X$2&gt;$BB$3))</f>
        <v>#VALUE!</v>
      </c>
      <c r="BC55" s="27" t="e">
        <f>AND(AA55&lt;$BA$3,OR(W55/$W$2&gt;$BB$3,X55/$X$2&gt;$BB$3))</f>
        <v>#VALUE!</v>
      </c>
      <c r="BE55" s="32">
        <v>32</v>
      </c>
    </row>
    <row r="56" spans="1:58" s="27" customFormat="1" ht="12.75" customHeight="1" x14ac:dyDescent="0.2">
      <c r="A56" s="10">
        <v>74578</v>
      </c>
      <c r="B56" s="2">
        <v>21</v>
      </c>
      <c r="C56" s="10">
        <v>22</v>
      </c>
      <c r="D56" s="10">
        <v>24</v>
      </c>
      <c r="E56" s="10"/>
      <c r="F56" s="10"/>
      <c r="G56" s="3"/>
      <c r="H56" s="10"/>
      <c r="I56" s="10"/>
      <c r="J56" s="2">
        <v>31</v>
      </c>
      <c r="K56" s="10">
        <v>51</v>
      </c>
      <c r="L56" s="10">
        <v>49</v>
      </c>
      <c r="M56" s="10"/>
      <c r="N56" s="10"/>
      <c r="O56" s="12"/>
      <c r="P56" s="7">
        <v>101</v>
      </c>
      <c r="Q56" s="7"/>
      <c r="R56" s="2"/>
      <c r="S56" s="10"/>
      <c r="T56" s="13"/>
      <c r="U56" s="77">
        <f t="array" ref="U56">IF(AND(A56&lt;&gt;"",OR(ISNUMBER(B56:I56))),SUM(B56:I56),"")</f>
        <v>67</v>
      </c>
      <c r="V56" s="10">
        <f t="array" ref="V56">IF(AND(A56&lt;&gt;"",OR(ISNUMBER(J56:O56))),SUM(J56:O56),"")</f>
        <v>131</v>
      </c>
      <c r="W56" s="10">
        <f t="array" ref="W56">IF(AND(A56&lt;&gt;"",OR(ISNUMBER(P56),ISNUMBER(Q56))),SUM(MAX(P56:Q56),Q56),"")</f>
        <v>101</v>
      </c>
      <c r="X56" s="10" t="str">
        <f t="array" ref="X56">IF(AND(A56&lt;&gt;"",OR(ISNUMBER(S56),ISNUMBER(T56))),SUM(S56,T56),"")</f>
        <v/>
      </c>
      <c r="Y56" s="13">
        <v>1</v>
      </c>
      <c r="Z56" s="13">
        <f>IF(A56&lt;&gt;"",SUM(U56:Y56),"")</f>
        <v>300</v>
      </c>
      <c r="AA56" s="27">
        <f>IF(A56&lt;&gt;"",(Z56+Normalize_To_Add)/(Point_Total_So_Far)*100,"")</f>
        <v>98.360655737704917</v>
      </c>
      <c r="AB56" s="10">
        <f>IF(A56&lt;&gt;"",RANK(AA56,All_Student_XC),"")</f>
        <v>186</v>
      </c>
      <c r="AC56" s="32" t="str">
        <f>IF(A56&lt;&gt;"",CHOOSE(10-MIN(9,TRUNC((AA56+0.5)/10)),"A","B","C","D","F","F","F","F","F","F"),"")</f>
        <v>A</v>
      </c>
      <c r="AD56" s="32" t="str">
        <f>IF(A56&lt;&gt;"",IF(OR(AA56+0.5&gt;=93,AA56+0.5&lt;60),"",IF(MOD(AA56+0.5,10)&gt;=7,"+",IF(MOD(AA56+0.5,10)&lt;3,"-",""))),"")</f>
        <v/>
      </c>
      <c r="AE56" s="32">
        <f>IF(A56&lt;&gt;"",SUM(W56:X56,$W$8:$X$8)/SUM($W$2:$X$2)*100,"")</f>
        <v>101</v>
      </c>
      <c r="AF56" s="32" t="str">
        <f>IF(A56&lt;&gt;"",CHOOSE(10-MIN(9,TRUNC((AE56+0.5)/10)),"A","B","C","D","F","F","F","F","F","F"),"")</f>
        <v>A</v>
      </c>
      <c r="AG56" s="32" t="str">
        <f>IF(A56&lt;&gt;"",IF(OR(AE56+0.5&gt;=93,AE56+0.5&lt;60),"",IF(MOD(AE56+0.5,10)&gt;=7,"+",IF(MOD(AE56+0.5,10)&lt;3,"-",""))),"")</f>
        <v/>
      </c>
      <c r="AH56" s="36">
        <f>IF(A56&lt;&gt;"",MIN(MAX(AA56,AE56),AA56+$AH$8,AE56+$AH$8),"")</f>
        <v>101</v>
      </c>
      <c r="AI56" s="32" t="str">
        <f>IF(A56&lt;&gt;"",CHOOSE(10-MIN(9,TRUNC((AH56+0.5)/10)),"A","B","C","D","F","F","F","F","F","F"),"")</f>
        <v>A</v>
      </c>
      <c r="AJ56" s="32" t="str">
        <f>IF(A56&lt;&gt;"",IF(OR(AH56+0.5&gt;=93,AH56+0.5&lt;60),"",IF(MOD(AH56+0.5,10)&gt;=7,"+",IF(MOD(AH56+0.5,10)&lt;3,"-",""))),"")</f>
        <v/>
      </c>
      <c r="AK56" s="32" t="b">
        <f>IF(A56&lt;&gt;"",OR(AI56&lt;&gt;AC56,AJ56&lt;&gt;AD56),"")</f>
        <v>0</v>
      </c>
      <c r="AL56" s="84">
        <f>IF(AND(A56&lt;&gt;"",U56&lt;&gt;""),SUM(U56,$AL$8)/$AL$2*100,"")</f>
        <v>89.333333333333329</v>
      </c>
      <c r="AM56" s="24">
        <f>IF(AND(A56&lt;&gt;"",V56&lt;&gt;""),SUM(V56,$AM$8)/$AM$2*100,"")</f>
        <v>100.76923076923077</v>
      </c>
      <c r="AN56" s="24">
        <f>IF(AND(A56&lt;&gt;"",ISNUMBER(P56),P56&gt;=0),SUM(P56,$AN$8)/$AN$2*100,"")</f>
        <v>101</v>
      </c>
      <c r="AO56" s="24" t="str">
        <f>IF(AND(A56&lt;&gt;"",ISNUMBER(Q56),Q56&gt;=0),SUM(Q56,$AO$8)/$AO$2*100,"")</f>
        <v/>
      </c>
      <c r="AP56" s="24" t="str">
        <f>IF(AND(A56&lt;&gt;"",R56&lt;&gt;""),SUM(R56,$AP$8)/$AP$2*100,"")</f>
        <v/>
      </c>
      <c r="AQ56" s="24">
        <f>IF(AND(A56&lt;&gt;"",ISNUMBER(W56),W56&gt;=0),SUM(W56,$AQ$8)/$AQ$2*100,"")</f>
        <v>101</v>
      </c>
      <c r="AR56" s="24" t="str">
        <f>IF(AND(A56&lt;&gt;"",T56&gt;0,ISNUMBER(T56)),SUM(T56,$AR$8)/$AR$2*100,"")</f>
        <v/>
      </c>
      <c r="AS56" s="24" t="str">
        <f>IF(AND(A56&lt;&gt;"",X56&lt;&gt;""),SUM(X56,$AS$8)/$AS$2*100,"")</f>
        <v/>
      </c>
      <c r="AT56" s="89">
        <f>IF(AND(A56&lt;&gt;"",OR(ISNUMBER(W56),ISNUMBER(X56))),SUM(W56:X56,$AT$8)/$AT$2*100,"")</f>
        <v>101</v>
      </c>
      <c r="AU56" s="24">
        <f>AA56</f>
        <v>98.360655737704917</v>
      </c>
      <c r="AV56" s="24"/>
      <c r="AW56" s="27">
        <f>IF(A56&lt;&gt;"",AE56-AA56,"")</f>
        <v>2.6393442622950829</v>
      </c>
      <c r="AY56" s="27" t="b">
        <f>S56&gt;R56</f>
        <v>0</v>
      </c>
      <c r="BA56" s="27" t="e">
        <f>AND(AA56&gt;$BA$3,(W56+$W$8)/$W$2&lt;$BB$3,(X56+$X$8)/$X$2&lt;$BB$3)</f>
        <v>#VALUE!</v>
      </c>
      <c r="BB56" s="27" t="e">
        <f>AND(AA56&lt;$BA$3,AND(W56/$W$2&gt;$BB$3,X56/$X$2&gt;$BB$3))</f>
        <v>#VALUE!</v>
      </c>
      <c r="BC56" s="27" t="e">
        <f>AND(AA56&lt;$BA$3,OR(W56/$W$2&gt;$BB$3,X56/$X$2&gt;$BB$3))</f>
        <v>#VALUE!</v>
      </c>
      <c r="BE56" s="32">
        <v>32</v>
      </c>
    </row>
    <row r="57" spans="1:58" s="27" customFormat="1" ht="12.75" customHeight="1" x14ac:dyDescent="0.2">
      <c r="A57" s="10">
        <v>74580</v>
      </c>
      <c r="B57" s="2"/>
      <c r="C57" s="10">
        <v>9</v>
      </c>
      <c r="D57" s="10">
        <v>18</v>
      </c>
      <c r="E57" s="10"/>
      <c r="F57" s="10"/>
      <c r="G57" s="10"/>
      <c r="H57" s="10"/>
      <c r="I57" s="10"/>
      <c r="J57" s="2"/>
      <c r="K57" s="10">
        <v>6</v>
      </c>
      <c r="L57" s="10">
        <v>50</v>
      </c>
      <c r="M57" s="10"/>
      <c r="N57" s="10"/>
      <c r="O57" s="13"/>
      <c r="P57" s="10">
        <v>100</v>
      </c>
      <c r="Q57" s="10"/>
      <c r="R57" s="2"/>
      <c r="S57" s="10"/>
      <c r="T57" s="13"/>
      <c r="U57" s="1">
        <f t="array" ref="U57">IF(AND(A57&lt;&gt;"",OR(ISNUMBER(B57:I57))),SUM(B57:I57),"")</f>
        <v>27</v>
      </c>
      <c r="V57" s="10">
        <f t="array" ref="V57">IF(AND(A57&lt;&gt;"",OR(ISNUMBER(J57:O57))),SUM(J57:O57),"")</f>
        <v>56</v>
      </c>
      <c r="W57" s="10">
        <f t="array" ref="W57">IF(AND(A57&lt;&gt;"",OR(ISNUMBER(P57),ISNUMBER(Q57))),SUM(MAX(P57:Q57),Q57),"")</f>
        <v>100</v>
      </c>
      <c r="X57" s="10" t="str">
        <f t="array" ref="X57">IF(AND(A57&lt;&gt;"",OR(ISNUMBER(S57),ISNUMBER(T57))),SUM(S57,T57),"")</f>
        <v/>
      </c>
      <c r="Y57" s="13"/>
      <c r="Z57" s="13">
        <f>IF(A57&lt;&gt;"",SUM(U57:Y57),"")</f>
        <v>183</v>
      </c>
      <c r="AA57" s="27">
        <f>IF(A57&lt;&gt;"",(Z57+Normalize_To_Add)/(Point_Total_So_Far)*100,"")</f>
        <v>60</v>
      </c>
      <c r="AB57" s="10">
        <f>IF(A57&lt;&gt;"",RANK(AA57,All_Student_XC),"")</f>
        <v>477</v>
      </c>
      <c r="AC57" s="32" t="str">
        <f>IF(A57&lt;&gt;"",CHOOSE(10-MIN(9,TRUNC((AA57+0.5)/10)),"A","B","C","D","F","F","F","F","F","F"),"")</f>
        <v>D</v>
      </c>
      <c r="AD57" s="31" t="str">
        <f>IF(A57&lt;&gt;"",IF(OR(AA57+0.5&gt;=93,AA57+0.5&lt;60),"",IF(MOD(AA57+0.5,10)&gt;=7,"+",IF(MOD(AA57+0.5,10)&lt;3,"-",""))),"")</f>
        <v>-</v>
      </c>
      <c r="AE57" s="32">
        <f>IF(A57&lt;&gt;"",SUM(W57:X57,$W$8:$X$8)/SUM($W$2:$X$2)*100,"")</f>
        <v>100</v>
      </c>
      <c r="AF57" s="32" t="str">
        <f>IF(A57&lt;&gt;"",CHOOSE(10-MIN(9,TRUNC((AE57+0.5)/10)),"A","B","C","D","F","F","F","F","F","F"),"")</f>
        <v>A</v>
      </c>
      <c r="AG57" s="32" t="str">
        <f>IF(A57&lt;&gt;"",IF(OR(AE57+0.5&gt;=93,AE57+0.5&lt;60),"",IF(MOD(AE57+0.5,10)&gt;=7,"+",IF(MOD(AE57+0.5,10)&lt;3,"-",""))),"")</f>
        <v/>
      </c>
      <c r="AH57" s="36">
        <f>IF(A57&lt;&gt;"",MIN(MAX(AA57,AE57),AA57+$AH$8,AE57+$AH$8),"")</f>
        <v>100</v>
      </c>
      <c r="AI57" s="32" t="str">
        <f>IF(A57&lt;&gt;"",CHOOSE(10-MIN(9,TRUNC((AH57+0.5)/10)),"A","B","C","D","F","F","F","F","F","F"),"")</f>
        <v>A</v>
      </c>
      <c r="AJ57" s="32" t="str">
        <f>IF(A57&lt;&gt;"",IF(OR(AH57+0.5&gt;=93,AH57+0.5&lt;60),"",IF(MOD(AH57+0.5,10)&gt;=7,"+",IF(MOD(AH57+0.5,10)&lt;3,"-",""))),"")</f>
        <v/>
      </c>
      <c r="AK57" s="71" t="b">
        <f>IF(A57&lt;&gt;"",OR(AI57&lt;&gt;AC57,AJ57&lt;&gt;AD57),"")</f>
        <v>1</v>
      </c>
      <c r="AL57" s="86">
        <f>IF(AND(A57&lt;&gt;"",U57&lt;&gt;""),SUM(U57,$AL$8)/$AL$2*100,"")</f>
        <v>36</v>
      </c>
      <c r="AM57" s="71">
        <f>IF(AND(A57&lt;&gt;"",V57&lt;&gt;""),SUM(V57,$AM$8)/$AM$2*100,"")</f>
        <v>43.07692307692308</v>
      </c>
      <c r="AN57" s="71">
        <f>IF(AND(A57&lt;&gt;"",ISNUMBER(P57),P57&gt;=0),SUM(P57,$AN$8)/$AN$2*100,"")</f>
        <v>100</v>
      </c>
      <c r="AO57" s="71" t="str">
        <f>IF(AND(A57&lt;&gt;"",ISNUMBER(Q57),Q57&gt;=0),SUM(Q57,$AO$8)/$AO$2*100,"")</f>
        <v/>
      </c>
      <c r="AP57" s="24" t="str">
        <f>IF(AND(A57&lt;&gt;"",R57&lt;&gt;""),SUM(R57,$AP$8)/$AP$2*100,"")</f>
        <v/>
      </c>
      <c r="AQ57" s="24">
        <f>IF(AND(A57&lt;&gt;"",ISNUMBER(W57),W57&gt;=0),SUM(W57,$AQ$8)/$AQ$2*100,"")</f>
        <v>100</v>
      </c>
      <c r="AR57" s="24" t="str">
        <f>IF(AND(A57&lt;&gt;"",T57&gt;0,ISNUMBER(T57)),SUM(T57,$AR$8)/$AR$2*100,"")</f>
        <v/>
      </c>
      <c r="AS57" s="24" t="str">
        <f>IF(AND(A57&lt;&gt;"",X57&lt;&gt;""),SUM(X57,$AS$8)/$AS$2*100,"")</f>
        <v/>
      </c>
      <c r="AT57" s="89">
        <f>IF(AND(A57&lt;&gt;"",OR(ISNUMBER(W57),ISNUMBER(X57))),SUM(W57:X57,$AT$8)/$AT$2*100,"")</f>
        <v>100</v>
      </c>
      <c r="AU57" s="24">
        <f>AA57</f>
        <v>60</v>
      </c>
      <c r="AV57" s="71"/>
      <c r="AW57" s="27">
        <f>IF(A57&lt;&gt;"",AE57-AA57,"")</f>
        <v>40</v>
      </c>
      <c r="AY57" s="27" t="b">
        <f>S57&gt;R57</f>
        <v>0</v>
      </c>
      <c r="BA57" s="27" t="e">
        <f>AND(AA57&gt;$BA$3,(W57+$W$8)/$W$2&lt;$BB$3,(X57+$X$8)/$X$2&lt;$BB$3)</f>
        <v>#VALUE!</v>
      </c>
      <c r="BB57" s="27" t="e">
        <f>AND(AA57&lt;$BA$3,AND(W57/$W$2&gt;$BB$3,X57/$X$2&gt;$BB$3))</f>
        <v>#VALUE!</v>
      </c>
      <c r="BC57" s="27" t="e">
        <f>AND(AA57&lt;$BA$3,OR(W57/$W$2&gt;$BB$3,X57/$X$2&gt;$BB$3))</f>
        <v>#VALUE!</v>
      </c>
      <c r="BE57" s="32"/>
    </row>
    <row r="58" spans="1:58" s="27" customFormat="1" ht="12.75" customHeight="1" x14ac:dyDescent="0.2">
      <c r="A58" s="10">
        <v>76319</v>
      </c>
      <c r="B58" s="2">
        <v>19</v>
      </c>
      <c r="C58" s="10">
        <v>17</v>
      </c>
      <c r="D58" s="10">
        <v>17</v>
      </c>
      <c r="E58" s="10"/>
      <c r="F58" s="10"/>
      <c r="G58" s="3"/>
      <c r="H58" s="10"/>
      <c r="I58" s="10"/>
      <c r="J58" s="2">
        <v>28</v>
      </c>
      <c r="K58" s="10">
        <v>6</v>
      </c>
      <c r="L58" s="10">
        <v>49</v>
      </c>
      <c r="M58" s="10"/>
      <c r="N58" s="93"/>
      <c r="O58" s="12"/>
      <c r="P58" s="10">
        <v>101</v>
      </c>
      <c r="Q58" s="41"/>
      <c r="R58" s="2"/>
      <c r="S58" s="10"/>
      <c r="T58" s="13"/>
      <c r="U58" s="1">
        <f t="array" ref="U58">IF(AND(A58&lt;&gt;"",OR(ISNUMBER(B58:I58))),SUM(B58:I58),"")</f>
        <v>53</v>
      </c>
      <c r="V58" s="10">
        <f t="array" ref="V58">IF(AND(A58&lt;&gt;"",OR(ISNUMBER(J58:O58))),SUM(J58:O58),"")</f>
        <v>83</v>
      </c>
      <c r="W58" s="10">
        <f t="array" ref="W58">IF(AND(A58&lt;&gt;"",OR(ISNUMBER(P58),ISNUMBER(Q58))),SUM(MAX(P58:Q58),Q58),"")</f>
        <v>101</v>
      </c>
      <c r="X58" s="10" t="str">
        <f t="array" ref="X58">IF(AND(A58&lt;&gt;"",OR(ISNUMBER(S58),ISNUMBER(T58))),SUM(S58,T58),"")</f>
        <v/>
      </c>
      <c r="Y58" s="13">
        <v>1</v>
      </c>
      <c r="Z58" s="13">
        <f>IF(A58&lt;&gt;"",SUM(U58:Y58),"")</f>
        <v>238</v>
      </c>
      <c r="AA58" s="27">
        <f>IF(A58&lt;&gt;"",(Z58+Normalize_To_Add)/(Point_Total_So_Far)*100,"")</f>
        <v>78.032786885245898</v>
      </c>
      <c r="AB58" s="10">
        <f>IF(A58&lt;&gt;"",RANK(AA58,All_Student_XC),"")</f>
        <v>423</v>
      </c>
      <c r="AC58" s="32" t="str">
        <f>IF(A58&lt;&gt;"",CHOOSE(10-MIN(9,TRUNC((AA58+0.5)/10)),"A","B","C","D","F","F","F","F","F","F"),"")</f>
        <v>C</v>
      </c>
      <c r="AD58" s="32" t="str">
        <f>IF(A58&lt;&gt;"",IF(OR(AA58+0.5&gt;=93,AA58+0.5&lt;60),"",IF(MOD(AA58+0.5,10)&gt;=7,"+",IF(MOD(AA58+0.5,10)&lt;3,"-",""))),"")</f>
        <v>+</v>
      </c>
      <c r="AE58" s="32">
        <f>IF(A58&lt;&gt;"",SUM(W58:X58,$W$8:$X$8)/SUM($W$2:$X$2)*100,"")</f>
        <v>101</v>
      </c>
      <c r="AF58" s="32" t="str">
        <f>IF(A58&lt;&gt;"",CHOOSE(10-MIN(9,TRUNC((AE58+0.5)/10)),"A","B","C","D","F","F","F","F","F","F"),"")</f>
        <v>A</v>
      </c>
      <c r="AG58" s="32" t="str">
        <f>IF(A58&lt;&gt;"",IF(OR(AE58+0.5&gt;=93,AE58+0.5&lt;60),"",IF(MOD(AE58+0.5,10)&gt;=7,"+",IF(MOD(AE58+0.5,10)&lt;3,"-",""))),"")</f>
        <v/>
      </c>
      <c r="AH58" s="36">
        <f>IF(A58&lt;&gt;"",MIN(MAX(AA58,AE58),AA58+$AH$8,AE58+$AH$8),"")</f>
        <v>101</v>
      </c>
      <c r="AI58" s="32" t="str">
        <f>IF(A58&lt;&gt;"",CHOOSE(10-MIN(9,TRUNC((AH58+0.5)/10)),"A","B","C","D","F","F","F","F","F","F"),"")</f>
        <v>A</v>
      </c>
      <c r="AJ58" s="32" t="str">
        <f>IF(A58&lt;&gt;"",IF(OR(AH58+0.5&gt;=93,AH58+0.5&lt;60),"",IF(MOD(AH58+0.5,10)&gt;=7,"+",IF(MOD(AH58+0.5,10)&lt;3,"-",""))),"")</f>
        <v/>
      </c>
      <c r="AK58" s="32" t="b">
        <f>IF(A58&lt;&gt;"",OR(AI58&lt;&gt;AC58,AJ58&lt;&gt;AD58),"")</f>
        <v>1</v>
      </c>
      <c r="AL58" s="84">
        <f>IF(AND(A58&lt;&gt;"",U58&lt;&gt;""),SUM(U58,$AL$8)/$AL$2*100,"")</f>
        <v>70.666666666666671</v>
      </c>
      <c r="AM58" s="24">
        <f>IF(AND(A58&lt;&gt;"",V58&lt;&gt;""),SUM(V58,$AM$8)/$AM$2*100,"")</f>
        <v>63.84615384615384</v>
      </c>
      <c r="AN58" s="24">
        <f>IF(AND(A58&lt;&gt;"",ISNUMBER(P58),P58&gt;=0),SUM(P58,$AN$8)/$AN$2*100,"")</f>
        <v>101</v>
      </c>
      <c r="AO58" s="24" t="str">
        <f>IF(AND(A58&lt;&gt;"",ISNUMBER(Q58),Q58&gt;=0),SUM(Q58,$AO$8)/$AO$2*100,"")</f>
        <v/>
      </c>
      <c r="AP58" s="24" t="str">
        <f>IF(AND(A58&lt;&gt;"",R58&lt;&gt;""),SUM(R58,$AP$8)/$AP$2*100,"")</f>
        <v/>
      </c>
      <c r="AQ58" s="24">
        <f>IF(AND(A58&lt;&gt;"",ISNUMBER(W58),W58&gt;=0),SUM(W58,$AQ$8)/$AQ$2*100,"")</f>
        <v>101</v>
      </c>
      <c r="AR58" s="24" t="str">
        <f>IF(AND(A58&lt;&gt;"",T58&gt;0,ISNUMBER(T58)),SUM(T58,$AR$8)/$AR$2*100,"")</f>
        <v/>
      </c>
      <c r="AS58" s="24" t="str">
        <f>IF(AND(A58&lt;&gt;"",X58&lt;&gt;""),SUM(X58,$AS$8)/$AS$2*100,"")</f>
        <v/>
      </c>
      <c r="AT58" s="89">
        <f>IF(AND(A58&lt;&gt;"",OR(ISNUMBER(W58),ISNUMBER(X58))),SUM(W58:X58,$AT$8)/$AT$2*100,"")</f>
        <v>101</v>
      </c>
      <c r="AU58" s="24">
        <f>AA58</f>
        <v>78.032786885245898</v>
      </c>
      <c r="AV58" s="24"/>
      <c r="AW58" s="27">
        <f>IF(A58&lt;&gt;"",AE58-AA58,"")</f>
        <v>22.967213114754102</v>
      </c>
      <c r="AY58" s="27" t="b">
        <f>S58&gt;R58</f>
        <v>0</v>
      </c>
      <c r="BA58" s="27" t="e">
        <f>AND(AA58&gt;$BA$3,(W58+$W$8)/$W$2&lt;$BB$3,(X58+$X$8)/$X$2&lt;$BB$3)</f>
        <v>#VALUE!</v>
      </c>
      <c r="BB58" s="27" t="e">
        <f>AND(AA58&lt;$BA$3,AND(W58/$W$2&gt;$BB$3,X58/$X$2&gt;$BB$3))</f>
        <v>#VALUE!</v>
      </c>
      <c r="BC58" s="27" t="e">
        <f>AND(AA58&lt;$BA$3,OR(W58/$W$2&gt;$BB$3,X58/$X$2&gt;$BB$3))</f>
        <v>#VALUE!</v>
      </c>
      <c r="BE58" s="32">
        <v>32</v>
      </c>
    </row>
    <row r="59" spans="1:58" s="27" customFormat="1" ht="12.75" customHeight="1" x14ac:dyDescent="0.2">
      <c r="A59" s="10">
        <v>76489</v>
      </c>
      <c r="B59" s="2">
        <v>19</v>
      </c>
      <c r="C59" s="10">
        <v>23</v>
      </c>
      <c r="D59" s="10">
        <v>25</v>
      </c>
      <c r="E59" s="10"/>
      <c r="F59" s="10"/>
      <c r="G59" s="10"/>
      <c r="H59" s="10"/>
      <c r="I59" s="10"/>
      <c r="J59" s="2">
        <v>28</v>
      </c>
      <c r="K59" s="10">
        <v>52</v>
      </c>
      <c r="L59" s="10">
        <v>52</v>
      </c>
      <c r="M59" s="10"/>
      <c r="N59" s="93"/>
      <c r="O59" s="13"/>
      <c r="P59" s="10">
        <v>101</v>
      </c>
      <c r="Q59" s="10"/>
      <c r="R59" s="2"/>
      <c r="S59" s="10"/>
      <c r="T59" s="13"/>
      <c r="U59" s="1">
        <f t="array" ref="U59">IF(AND(A59&lt;&gt;"",OR(ISNUMBER(B59:I59))),SUM(B59:I59),"")</f>
        <v>67</v>
      </c>
      <c r="V59" s="10">
        <f t="array" ref="V59">IF(AND(A59&lt;&gt;"",OR(ISNUMBER(J59:O59))),SUM(J59:O59),"")</f>
        <v>132</v>
      </c>
      <c r="W59" s="10">
        <f t="array" ref="W59">IF(AND(A59&lt;&gt;"",OR(ISNUMBER(P59),ISNUMBER(Q59))),SUM(MAX(P59:Q59),Q59),"")</f>
        <v>101</v>
      </c>
      <c r="X59" s="10" t="str">
        <f t="array" ref="X59">IF(AND(A59&lt;&gt;"",OR(ISNUMBER(S59),ISNUMBER(T59))),SUM(S59,T59),"")</f>
        <v/>
      </c>
      <c r="Y59" s="13">
        <v>1</v>
      </c>
      <c r="Z59" s="13">
        <f>IF(A59&lt;&gt;"",SUM(U59:Y59),"")</f>
        <v>301</v>
      </c>
      <c r="AA59" s="27">
        <f>IF(A59&lt;&gt;"",(Z59+Normalize_To_Add)/(Point_Total_So_Far)*100,"")</f>
        <v>98.688524590163937</v>
      </c>
      <c r="AB59" s="10">
        <f>IF(A59&lt;&gt;"",RANK(AA59,All_Student_XC),"")</f>
        <v>176</v>
      </c>
      <c r="AC59" s="32" t="str">
        <f>IF(A59&lt;&gt;"",CHOOSE(10-MIN(9,TRUNC((AA59+0.5)/10)),"A","B","C","D","F","F","F","F","F","F"),"")</f>
        <v>A</v>
      </c>
      <c r="AD59" s="31" t="str">
        <f>IF(A59&lt;&gt;"",IF(OR(AA59+0.5&gt;=93,AA59+0.5&lt;60),"",IF(MOD(AA59+0.5,10)&gt;=7,"+",IF(MOD(AA59+0.5,10)&lt;3,"-",""))),"")</f>
        <v/>
      </c>
      <c r="AE59" s="32">
        <f>IF(A59&lt;&gt;"",SUM(W59:X59,$W$8:$X$8)/SUM($W$2:$X$2)*100,"")</f>
        <v>101</v>
      </c>
      <c r="AF59" s="32" t="str">
        <f>IF(A59&lt;&gt;"",CHOOSE(10-MIN(9,TRUNC((AE59+0.5)/10)),"A","B","C","D","F","F","F","F","F","F"),"")</f>
        <v>A</v>
      </c>
      <c r="AG59" s="32" t="str">
        <f>IF(A59&lt;&gt;"",IF(OR(AE59+0.5&gt;=93,AE59+0.5&lt;60),"",IF(MOD(AE59+0.5,10)&gt;=7,"+",IF(MOD(AE59+0.5,10)&lt;3,"-",""))),"")</f>
        <v/>
      </c>
      <c r="AH59" s="36">
        <f>IF(A59&lt;&gt;"",MIN(MAX(AA59,AE59),AA59+$AH$8,AE59+$AH$8),"")</f>
        <v>101</v>
      </c>
      <c r="AI59" s="32" t="str">
        <f>IF(A59&lt;&gt;"",CHOOSE(10-MIN(9,TRUNC((AH59+0.5)/10)),"A","B","C","D","F","F","F","F","F","F"),"")</f>
        <v>A</v>
      </c>
      <c r="AJ59" s="32" t="str">
        <f>IF(A59&lt;&gt;"",IF(OR(AH59+0.5&gt;=93,AH59+0.5&lt;60),"",IF(MOD(AH59+0.5,10)&gt;=7,"+",IF(MOD(AH59+0.5,10)&lt;3,"-",""))),"")</f>
        <v/>
      </c>
      <c r="AK59" s="71" t="b">
        <f>IF(A59&lt;&gt;"",OR(AI59&lt;&gt;AC59,AJ59&lt;&gt;AD59),"")</f>
        <v>0</v>
      </c>
      <c r="AL59" s="86">
        <f>IF(AND(A59&lt;&gt;"",U59&lt;&gt;""),SUM(U59,$AL$8)/$AL$2*100,"")</f>
        <v>89.333333333333329</v>
      </c>
      <c r="AM59" s="71">
        <f>IF(AND(A59&lt;&gt;"",V59&lt;&gt;""),SUM(V59,$AM$8)/$AM$2*100,"")</f>
        <v>101.53846153846153</v>
      </c>
      <c r="AN59" s="71">
        <f>IF(AND(A59&lt;&gt;"",ISNUMBER(P59),P59&gt;=0),SUM(P59,$AN$8)/$AN$2*100,"")</f>
        <v>101</v>
      </c>
      <c r="AO59" s="71" t="str">
        <f>IF(AND(A59&lt;&gt;"",ISNUMBER(Q59),Q59&gt;=0),SUM(Q59,$AO$8)/$AO$2*100,"")</f>
        <v/>
      </c>
      <c r="AP59" s="24" t="str">
        <f>IF(AND(A59&lt;&gt;"",R59&lt;&gt;""),SUM(R59,$AP$8)/$AP$2*100,"")</f>
        <v/>
      </c>
      <c r="AQ59" s="24">
        <f>IF(AND(A59&lt;&gt;"",ISNUMBER(W59),W59&gt;=0),SUM(W59,$AQ$8)/$AQ$2*100,"")</f>
        <v>101</v>
      </c>
      <c r="AR59" s="24" t="str">
        <f>IF(AND(A59&lt;&gt;"",T59&gt;0,ISNUMBER(T59)),SUM(T59,$AR$8)/$AR$2*100,"")</f>
        <v/>
      </c>
      <c r="AS59" s="24" t="str">
        <f>IF(AND(A59&lt;&gt;"",X59&lt;&gt;""),SUM(X59,$AS$8)/$AS$2*100,"")</f>
        <v/>
      </c>
      <c r="AT59" s="89">
        <f>IF(AND(A59&lt;&gt;"",OR(ISNUMBER(W59),ISNUMBER(X59))),SUM(W59:X59,$AT$8)/$AT$2*100,"")</f>
        <v>101</v>
      </c>
      <c r="AU59" s="24">
        <f>AA59</f>
        <v>98.688524590163937</v>
      </c>
      <c r="AV59" s="71"/>
      <c r="AW59" s="27">
        <f>IF(A59&lt;&gt;"",AE59-AA59,"")</f>
        <v>2.3114754098360635</v>
      </c>
      <c r="AY59" s="27" t="b">
        <f>S59&gt;R59</f>
        <v>0</v>
      </c>
      <c r="BA59" s="27" t="e">
        <f>AND(AA59&gt;$BA$3,(W59+$W$8)/$W$2&lt;$BB$3,(X59+$X$8)/$X$2&lt;$BB$3)</f>
        <v>#VALUE!</v>
      </c>
      <c r="BB59" s="27" t="e">
        <f>AND(AA59&lt;$BA$3,AND(W59/$W$2&gt;$BB$3,X59/$X$2&gt;$BB$3))</f>
        <v>#VALUE!</v>
      </c>
      <c r="BC59" s="27" t="e">
        <f>AND(AA59&lt;$BA$3,OR(W59/$W$2&gt;$BB$3,X59/$X$2&gt;$BB$3))</f>
        <v>#VALUE!</v>
      </c>
      <c r="BE59" s="32">
        <v>32</v>
      </c>
    </row>
    <row r="60" spans="1:58" s="27" customFormat="1" ht="12.75" customHeight="1" x14ac:dyDescent="0.2">
      <c r="A60" s="10">
        <v>81048</v>
      </c>
      <c r="B60" s="2">
        <v>25</v>
      </c>
      <c r="C60" s="10">
        <v>23</v>
      </c>
      <c r="D60" s="10">
        <v>25</v>
      </c>
      <c r="E60" s="10"/>
      <c r="F60" s="10"/>
      <c r="G60" s="10"/>
      <c r="H60" s="10"/>
      <c r="I60" s="10"/>
      <c r="J60" s="2">
        <v>32</v>
      </c>
      <c r="K60" s="10">
        <v>51</v>
      </c>
      <c r="L60" s="10">
        <v>51</v>
      </c>
      <c r="M60" s="10"/>
      <c r="N60" s="93"/>
      <c r="O60" s="13"/>
      <c r="P60" s="10">
        <v>101</v>
      </c>
      <c r="Q60" s="10"/>
      <c r="R60" s="2"/>
      <c r="S60" s="10"/>
      <c r="T60" s="13"/>
      <c r="U60" s="1">
        <f t="array" ref="U60">IF(AND(A60&lt;&gt;"",OR(ISNUMBER(B60:I60))),SUM(B60:I60),"")</f>
        <v>73</v>
      </c>
      <c r="V60" s="10">
        <f t="array" ref="V60">IF(AND(A60&lt;&gt;"",OR(ISNUMBER(J60:O60))),SUM(J60:O60),"")</f>
        <v>134</v>
      </c>
      <c r="W60" s="10">
        <f t="array" ref="W60">IF(AND(A60&lt;&gt;"",OR(ISNUMBER(P60),ISNUMBER(Q60))),SUM(MAX(P60:Q60),Q60),"")</f>
        <v>101</v>
      </c>
      <c r="X60" s="10" t="str">
        <f t="array" ref="X60">IF(AND(A60&lt;&gt;"",OR(ISNUMBER(S60),ISNUMBER(T60))),SUM(S60,T60),"")</f>
        <v/>
      </c>
      <c r="Y60" s="13">
        <v>1</v>
      </c>
      <c r="Z60" s="13">
        <f>IF(A60&lt;&gt;"",SUM(U60:Y60),"")</f>
        <v>309</v>
      </c>
      <c r="AA60" s="27">
        <f>IF(A60&lt;&gt;"",(Z60+Normalize_To_Add)/(Point_Total_So_Far)*100,"")</f>
        <v>101.31147540983608</v>
      </c>
      <c r="AB60" s="10">
        <f>IF(A60&lt;&gt;"",RANK(AA60,All_Student_XC),"")</f>
        <v>35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>
        <f>IF(A60&lt;&gt;"",SUM(W60:X60,$W$8:$X$8)/SUM($W$2:$X$2)*100,"")</f>
        <v>101</v>
      </c>
      <c r="AF60" s="32" t="str">
        <f>IF(A60&lt;&gt;"",CHOOSE(10-MIN(9,TRUNC((AE60+0.5)/10)),"A","B","C","D","F","F","F","F","F","F"),"")</f>
        <v>A</v>
      </c>
      <c r="AG60" s="32" t="str">
        <f>IF(A60&lt;&gt;"",IF(OR(AE60+0.5&gt;=93,AE60+0.5&lt;60),"",IF(MOD(AE60+0.5,10)&gt;=7,"+",IF(MOD(AE60+0.5,10)&lt;3,"-",""))),"")</f>
        <v/>
      </c>
      <c r="AH60" s="36">
        <f>IF(A60&lt;&gt;"",MIN(MAX(AA60,AE60),AA60+$AH$8,AE60+$AH$8),"")</f>
        <v>101.31147540983608</v>
      </c>
      <c r="AI60" s="32" t="str">
        <f>IF(A60&lt;&gt;"",CHOOSE(10-MIN(9,TRUNC((AH60+0.5)/10)),"A","B","C","D","F","F","F","F","F","F"),"")</f>
        <v>A</v>
      </c>
      <c r="AJ60" s="32" t="str">
        <f>IF(A60&lt;&gt;"",IF(OR(AH60+0.5&gt;=93,AH60+0.5&lt;60),"",IF(MOD(AH60+0.5,10)&gt;=7,"+",IF(MOD(AH60+0.5,10)&lt;3,"-",""))),"")</f>
        <v/>
      </c>
      <c r="AK60" s="71" t="b">
        <f>IF(A60&lt;&gt;"",OR(AI60&lt;&gt;AC60,AJ60&lt;&gt;AD60),"")</f>
        <v>0</v>
      </c>
      <c r="AL60" s="86">
        <f>IF(AND(A60&lt;&gt;"",U60&lt;&gt;""),SUM(U60,$AL$8)/$AL$2*100,"")</f>
        <v>97.333333333333343</v>
      </c>
      <c r="AM60" s="71">
        <f>IF(AND(A60&lt;&gt;"",V60&lt;&gt;""),SUM(V60,$AM$8)/$AM$2*100,"")</f>
        <v>103.07692307692307</v>
      </c>
      <c r="AN60" s="71">
        <f>IF(AND(A60&lt;&gt;"",ISNUMBER(P60),P60&gt;=0),SUM(P60,$AN$8)/$AN$2*100,"")</f>
        <v>101</v>
      </c>
      <c r="AO60" s="71" t="str">
        <f>IF(AND(A60&lt;&gt;"",ISNUMBER(Q60),Q60&gt;=0),SUM(Q60,$AO$8)/$AO$2*100,"")</f>
        <v/>
      </c>
      <c r="AP60" s="24" t="str">
        <f>IF(AND(A60&lt;&gt;"",R60&lt;&gt;""),SUM(R60,$AP$8)/$AP$2*100,"")</f>
        <v/>
      </c>
      <c r="AQ60" s="24">
        <f>IF(AND(A60&lt;&gt;"",ISNUMBER(W60),W60&gt;=0),SUM(W60,$AQ$8)/$AQ$2*100,"")</f>
        <v>101</v>
      </c>
      <c r="AR60" s="24" t="str">
        <f>IF(AND(A60&lt;&gt;"",T60&gt;0,ISNUMBER(T60)),SUM(T60,$AR$8)/$AR$2*100,"")</f>
        <v/>
      </c>
      <c r="AS60" s="24" t="str">
        <f>IF(AND(A60&lt;&gt;"",X60&lt;&gt;""),SUM(X60,$AS$8)/$AS$2*100,"")</f>
        <v/>
      </c>
      <c r="AT60" s="89">
        <f>IF(AND(A60&lt;&gt;"",OR(ISNUMBER(W60),ISNUMBER(X60))),SUM(W60:X60,$AT$8)/$AT$2*100,"")</f>
        <v>101</v>
      </c>
      <c r="AU60" s="24">
        <f>AA60</f>
        <v>101.31147540983608</v>
      </c>
      <c r="AV60" s="71"/>
      <c r="AW60" s="27">
        <f>IF(A60&lt;&gt;"",AE60-AA60,"")</f>
        <v>-0.31147540983607769</v>
      </c>
      <c r="AY60" s="27" t="b">
        <f>S60&gt;R60</f>
        <v>0</v>
      </c>
      <c r="BA60" s="27" t="e">
        <f>AND(AA60&gt;$BA$3,(W60+$W$8)/$W$2&lt;$BB$3,(X60+$X$8)/$X$2&lt;$BB$3)</f>
        <v>#VALUE!</v>
      </c>
      <c r="BB60" s="27" t="e">
        <f>AND(AA60&lt;$BA$3,AND(W60/$W$2&gt;$BB$3,X60/$X$2&gt;$BB$3))</f>
        <v>#VALUE!</v>
      </c>
      <c r="BC60" s="27" t="e">
        <f>AND(AA60&lt;$BA$3,OR(W60/$W$2&gt;$BB$3,X60/$X$2&gt;$BB$3))</f>
        <v>#VALUE!</v>
      </c>
      <c r="BE60" s="32" t="s">
        <v>84</v>
      </c>
      <c r="BF60" s="58"/>
    </row>
    <row r="61" spans="1:58" s="27" customFormat="1" ht="12.75" customHeight="1" x14ac:dyDescent="0.2">
      <c r="A61" s="10">
        <v>81806</v>
      </c>
      <c r="B61" s="2">
        <v>22</v>
      </c>
      <c r="C61" s="10">
        <v>13</v>
      </c>
      <c r="D61" s="10">
        <v>25</v>
      </c>
      <c r="E61" s="10"/>
      <c r="F61" s="10"/>
      <c r="G61" s="10"/>
      <c r="H61" s="10"/>
      <c r="I61" s="10"/>
      <c r="J61" s="2">
        <v>30</v>
      </c>
      <c r="K61" s="10">
        <v>48</v>
      </c>
      <c r="L61" s="10">
        <v>49</v>
      </c>
      <c r="M61" s="10"/>
      <c r="N61" s="10"/>
      <c r="O61" s="12"/>
      <c r="P61" s="7">
        <v>100</v>
      </c>
      <c r="Q61" s="7"/>
      <c r="R61" s="2"/>
      <c r="S61" s="10"/>
      <c r="T61" s="13"/>
      <c r="U61" s="77">
        <f t="array" ref="U61">IF(AND(A61&lt;&gt;"",OR(ISNUMBER(B61:I61))),SUM(B61:I61),"")</f>
        <v>60</v>
      </c>
      <c r="V61" s="10">
        <f t="array" ref="V61">IF(AND(A61&lt;&gt;"",OR(ISNUMBER(J61:O61))),SUM(J61:O61),"")</f>
        <v>127</v>
      </c>
      <c r="W61" s="10">
        <f t="array" ref="W61">IF(AND(A61&lt;&gt;"",OR(ISNUMBER(P61),ISNUMBER(Q61))),SUM(MAX(P61:Q61),Q61),"")</f>
        <v>100</v>
      </c>
      <c r="X61" s="10" t="str">
        <f t="array" ref="X61">IF(AND(A61&lt;&gt;"",OR(ISNUMBER(S61),ISNUMBER(T61))),SUM(S61,T61),"")</f>
        <v/>
      </c>
      <c r="Y61" s="13">
        <v>1</v>
      </c>
      <c r="Z61" s="13">
        <f>IF(A61&lt;&gt;"",SUM(U61:Y61),"")</f>
        <v>288</v>
      </c>
      <c r="AA61" s="27">
        <f>IF(A61&lt;&gt;"",(Z61+Normalize_To_Add)/(Point_Total_So_Far)*100,"")</f>
        <v>94.426229508196727</v>
      </c>
      <c r="AB61" s="10">
        <f>IF(A61&lt;&gt;"",RANK(AA61,All_Student_XC),"")</f>
        <v>279</v>
      </c>
      <c r="AC61" s="32" t="str">
        <f>IF(A61&lt;&gt;"",CHOOSE(10-MIN(9,TRUNC((AA61+0.5)/10)),"A","B","C","D","F","F","F","F","F","F"),"")</f>
        <v>A</v>
      </c>
      <c r="AD61" s="32" t="str">
        <f>IF(A61&lt;&gt;"",IF(OR(AA61+0.5&gt;=93,AA61+0.5&lt;60),"",IF(MOD(AA61+0.5,10)&gt;=7,"+",IF(MOD(AA61+0.5,10)&lt;3,"-",""))),"")</f>
        <v/>
      </c>
      <c r="AE61" s="32">
        <f>IF(A61&lt;&gt;"",SUM(W61:X61,$W$8:$X$8)/SUM($W$2:$X$2)*100,"")</f>
        <v>100</v>
      </c>
      <c r="AF61" s="32" t="str">
        <f>IF(A61&lt;&gt;"",CHOOSE(10-MIN(9,TRUNC((AE61+0.5)/10)),"A","B","C","D","F","F","F","F","F","F"),"")</f>
        <v>A</v>
      </c>
      <c r="AG61" s="32" t="str">
        <f>IF(A61&lt;&gt;"",IF(OR(AE61+0.5&gt;=93,AE61+0.5&lt;60),"",IF(MOD(AE61+0.5,10)&gt;=7,"+",IF(MOD(AE61+0.5,10)&lt;3,"-",""))),"")</f>
        <v/>
      </c>
      <c r="AH61" s="36">
        <f>IF(A61&lt;&gt;"",MIN(MAX(AA61,AE61),AA61+$AH$8,AE61+$AH$8),"")</f>
        <v>100</v>
      </c>
      <c r="AI61" s="32" t="str">
        <f>IF(A61&lt;&gt;"",CHOOSE(10-MIN(9,TRUNC((AH61+0.5)/10)),"A","B","C","D","F","F","F","F","F","F"),"")</f>
        <v>A</v>
      </c>
      <c r="AJ61" s="32" t="str">
        <f>IF(A61&lt;&gt;"",IF(OR(AH61+0.5&gt;=93,AH61+0.5&lt;60),"",IF(MOD(AH61+0.5,10)&gt;=7,"+",IF(MOD(AH61+0.5,10)&lt;3,"-",""))),"")</f>
        <v/>
      </c>
      <c r="AK61" s="32" t="b">
        <f>IF(A61&lt;&gt;"",OR(AI61&lt;&gt;AC61,AJ61&lt;&gt;AD61),"")</f>
        <v>0</v>
      </c>
      <c r="AL61" s="84">
        <f>IF(AND(A61&lt;&gt;"",U61&lt;&gt;""),SUM(U61,$AL$8)/$AL$2*100,"")</f>
        <v>80</v>
      </c>
      <c r="AM61" s="24">
        <f>IF(AND(A61&lt;&gt;"",V61&lt;&gt;""),SUM(V61,$AM$8)/$AM$2*100,"")</f>
        <v>97.692307692307693</v>
      </c>
      <c r="AN61" s="24">
        <f>IF(AND(A61&lt;&gt;"",ISNUMBER(P61),P61&gt;=0),SUM(P61,$AN$8)/$AN$2*100,"")</f>
        <v>100</v>
      </c>
      <c r="AO61" s="24" t="str">
        <f>IF(AND(A61&lt;&gt;"",ISNUMBER(Q61),Q61&gt;=0),SUM(Q61,$AO$8)/$AO$2*100,"")</f>
        <v/>
      </c>
      <c r="AP61" s="24" t="str">
        <f>IF(AND(A61&lt;&gt;"",R61&lt;&gt;""),SUM(R61,$AP$8)/$AP$2*100,"")</f>
        <v/>
      </c>
      <c r="AQ61" s="24">
        <f>IF(AND(A61&lt;&gt;"",ISNUMBER(W61),W61&gt;=0),SUM(W61,$AQ$8)/$AQ$2*100,"")</f>
        <v>100</v>
      </c>
      <c r="AR61" s="24" t="str">
        <f>IF(AND(A61&lt;&gt;"",T61&gt;0,ISNUMBER(T61)),SUM(T61,$AR$8)/$AR$2*100,"")</f>
        <v/>
      </c>
      <c r="AS61" s="24" t="str">
        <f>IF(AND(A61&lt;&gt;"",X61&lt;&gt;""),SUM(X61,$AS$8)/$AS$2*100,"")</f>
        <v/>
      </c>
      <c r="AT61" s="89">
        <f>IF(AND(A61&lt;&gt;"",OR(ISNUMBER(W61),ISNUMBER(X61))),SUM(W61:X61,$AT$8)/$AT$2*100,"")</f>
        <v>100</v>
      </c>
      <c r="AU61" s="24">
        <f>AA61</f>
        <v>94.426229508196727</v>
      </c>
      <c r="AV61" s="24"/>
      <c r="AW61" s="27">
        <f>IF(A61&lt;&gt;"",AE61-AA61,"")</f>
        <v>5.5737704918032733</v>
      </c>
      <c r="AY61" s="27" t="b">
        <f>S61&gt;R61</f>
        <v>0</v>
      </c>
      <c r="BA61" s="27" t="e">
        <f>AND(AA61&gt;$BA$3,(W61+$W$8)/$W$2&lt;$BB$3,(X61+$X$8)/$X$2&lt;$BB$3)</f>
        <v>#VALUE!</v>
      </c>
      <c r="BB61" s="27" t="e">
        <f>AND(AA61&lt;$BA$3,AND(W61/$W$2&gt;$BB$3,X61/$X$2&gt;$BB$3))</f>
        <v>#VALUE!</v>
      </c>
      <c r="BC61" s="27" t="e">
        <f>AND(AA61&lt;$BA$3,OR(W61/$W$2&gt;$BB$3,X61/$X$2&gt;$BB$3))</f>
        <v>#VALUE!</v>
      </c>
      <c r="BE61" s="32">
        <v>32</v>
      </c>
    </row>
    <row r="62" spans="1:58" s="27" customFormat="1" ht="12.75" customHeight="1" x14ac:dyDescent="0.2">
      <c r="A62" s="10">
        <v>85652</v>
      </c>
      <c r="B62" s="2">
        <v>4</v>
      </c>
      <c r="C62" s="10">
        <v>9</v>
      </c>
      <c r="D62" s="10">
        <v>20</v>
      </c>
      <c r="E62" s="10"/>
      <c r="F62" s="10"/>
      <c r="G62" s="3"/>
      <c r="H62" s="10"/>
      <c r="I62" s="10"/>
      <c r="J62" s="2">
        <v>32</v>
      </c>
      <c r="K62" s="10">
        <v>4</v>
      </c>
      <c r="L62" s="10">
        <v>50</v>
      </c>
      <c r="M62" s="10"/>
      <c r="N62" s="93"/>
      <c r="O62" s="12"/>
      <c r="P62" s="10">
        <v>101</v>
      </c>
      <c r="Q62" s="41"/>
      <c r="R62" s="2"/>
      <c r="S62" s="10"/>
      <c r="T62" s="13"/>
      <c r="U62" s="1">
        <f t="array" ref="U62">IF(AND(A62&lt;&gt;"",OR(ISNUMBER(B62:I62))),SUM(B62:I62),"")</f>
        <v>33</v>
      </c>
      <c r="V62" s="10">
        <f t="array" ref="V62">IF(AND(A62&lt;&gt;"",OR(ISNUMBER(J62:O62))),SUM(J62:O62),"")</f>
        <v>86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221</v>
      </c>
      <c r="AA62" s="27">
        <f>IF(A62&lt;&gt;"",(Z62+Normalize_To_Add)/(Point_Total_So_Far)*100,"")</f>
        <v>72.459016393442624</v>
      </c>
      <c r="AB62" s="10">
        <f>IF(A62&lt;&gt;"",RANK(AA62,All_Student_XC),"")</f>
        <v>449</v>
      </c>
      <c r="AC62" s="32" t="str">
        <f>IF(A62&lt;&gt;"",CHOOSE(10-MIN(9,TRUNC((AA62+0.5)/10)),"A","B","C","D","F","F","F","F","F","F"),"")</f>
        <v>C</v>
      </c>
      <c r="AD62" s="32" t="str">
        <f>IF(A62&lt;&gt;"",IF(OR(AA62+0.5&gt;=93,AA62+0.5&lt;60),"",IF(MOD(AA62+0.5,10)&gt;=7,"+",IF(MOD(AA62+0.5,10)&lt;3,"-",""))),"")</f>
        <v>-</v>
      </c>
      <c r="AE62" s="32">
        <f>IF(A62&lt;&gt;"",SUM(W62:X62,$W$8:$X$8)/SUM($W$2:$X$2)*100,"")</f>
        <v>101</v>
      </c>
      <c r="AF62" s="32" t="str">
        <f>IF(A62&lt;&gt;"",CHOOSE(10-MIN(9,TRUNC((AE62+0.5)/10)),"A","B","C","D","F","F","F","F","F","F"),"")</f>
        <v>A</v>
      </c>
      <c r="AG62" s="32" t="str">
        <f>IF(A62&lt;&gt;"",IF(OR(AE62+0.5&gt;=93,AE62+0.5&lt;60),"",IF(MOD(AE62+0.5,10)&gt;=7,"+",IF(MOD(AE62+0.5,10)&lt;3,"-",""))),"")</f>
        <v/>
      </c>
      <c r="AH62" s="36">
        <f>IF(A62&lt;&gt;"",MIN(MAX(AA62,AE62),AA62+$AH$8,AE62+$AH$8),"")</f>
        <v>101</v>
      </c>
      <c r="AI62" s="32" t="str">
        <f>IF(A62&lt;&gt;"",CHOOSE(10-MIN(9,TRUNC((AH62+0.5)/10)),"A","B","C","D","F","F","F","F","F","F"),"")</f>
        <v>A</v>
      </c>
      <c r="AJ62" s="32" t="str">
        <f>IF(A62&lt;&gt;"",IF(OR(AH62+0.5&gt;=93,AH62+0.5&lt;60),"",IF(MOD(AH62+0.5,10)&gt;=7,"+",IF(MOD(AH62+0.5,10)&lt;3,"-",""))),"")</f>
        <v/>
      </c>
      <c r="AK62" s="32" t="b">
        <f>IF(A62&lt;&gt;"",OR(AI62&lt;&gt;AC62,AJ62&lt;&gt;AD62),"")</f>
        <v>1</v>
      </c>
      <c r="AL62" s="84">
        <f>IF(AND(A62&lt;&gt;"",U62&lt;&gt;""),SUM(U62,$AL$8)/$AL$2*100,"")</f>
        <v>44</v>
      </c>
      <c r="AM62" s="24">
        <f>IF(AND(A62&lt;&gt;"",V62&lt;&gt;""),SUM(V62,$AM$8)/$AM$2*100,"")</f>
        <v>66.153846153846146</v>
      </c>
      <c r="AN62" s="24">
        <f>IF(AND(A62&lt;&gt;"",ISNUMBER(P62),P62&gt;=0),SUM(P62,$AN$8)/$AN$2*100,"")</f>
        <v>101</v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>
        <f>IF(AND(A62&lt;&gt;"",ISNUMBER(W62),W62&gt;=0),SUM(W62,$AQ$8)/$AQ$2*100,"")</f>
        <v>101</v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9">
        <f>IF(AND(A62&lt;&gt;"",OR(ISNUMBER(W62),ISNUMBER(X62))),SUM(W62:X62,$AT$8)/$AT$2*100,"")</f>
        <v>101</v>
      </c>
      <c r="AU62" s="24">
        <f>AA62</f>
        <v>72.459016393442624</v>
      </c>
      <c r="AV62" s="24"/>
      <c r="AW62" s="27">
        <f>IF(A62&lt;&gt;"",AE62-AA62,"")</f>
        <v>28.540983606557376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  <c r="BE62" s="32">
        <v>32</v>
      </c>
    </row>
    <row r="63" spans="1:58" s="27" customFormat="1" ht="12.75" customHeight="1" x14ac:dyDescent="0.2">
      <c r="A63" s="56">
        <v>85760</v>
      </c>
      <c r="B63" s="55">
        <v>21</v>
      </c>
      <c r="C63" s="10">
        <v>13</v>
      </c>
      <c r="D63" s="10">
        <v>22</v>
      </c>
      <c r="E63" s="10"/>
      <c r="F63" s="10"/>
      <c r="G63" s="10"/>
      <c r="H63" s="10"/>
      <c r="I63" s="10"/>
      <c r="J63" s="2">
        <v>30</v>
      </c>
      <c r="K63" s="10">
        <v>34</v>
      </c>
      <c r="L63" s="10">
        <v>30</v>
      </c>
      <c r="M63" s="10"/>
      <c r="N63" s="93"/>
      <c r="O63" s="12"/>
      <c r="P63" s="10">
        <v>100</v>
      </c>
      <c r="Q63" s="41"/>
      <c r="R63" s="2"/>
      <c r="S63" s="10"/>
      <c r="T63" s="13"/>
      <c r="U63" s="1">
        <f t="array" ref="U63">IF(AND(A63&lt;&gt;"",OR(ISNUMBER(B63:I63))),SUM(B63:I63),"")</f>
        <v>56</v>
      </c>
      <c r="V63" s="10">
        <f t="array" ref="V63">IF(AND(A63&lt;&gt;"",OR(ISNUMBER(J63:O63))),SUM(J63:O63),"")</f>
        <v>94</v>
      </c>
      <c r="W63" s="10">
        <f t="array" ref="W63">IF(AND(A63&lt;&gt;"",OR(ISNUMBER(P63),ISNUMBER(Q63))),SUM(MAX(P63:Q63),Q63),"")</f>
        <v>100</v>
      </c>
      <c r="X63" s="10" t="str">
        <f t="array" ref="X63">IF(AND(A63&lt;&gt;"",OR(ISNUMBER(S63),ISNUMBER(T63))),SUM(S63,T63),"")</f>
        <v/>
      </c>
      <c r="Y63" s="13">
        <v>1</v>
      </c>
      <c r="Z63" s="13">
        <f>IF(A63&lt;&gt;"",SUM(U63:Y63),"")</f>
        <v>251</v>
      </c>
      <c r="AA63" s="27">
        <f>IF(A63&lt;&gt;"",(Z63+Normalize_To_Add)/(Point_Total_So_Far)*100,"")</f>
        <v>82.295081967213108</v>
      </c>
      <c r="AB63" s="10">
        <f>IF(A63&lt;&gt;"",RANK(AA63,All_Student_XC),"")</f>
        <v>395</v>
      </c>
      <c r="AC63" s="32" t="str">
        <f>IF(A63&lt;&gt;"",CHOOSE(10-MIN(9,TRUNC((AA63+0.5)/10)),"A","B","C","D","F","F","F","F","F","F"),"")</f>
        <v>B</v>
      </c>
      <c r="AD63" s="32" t="str">
        <f>IF(A63&lt;&gt;"",IF(OR(AA63+0.5&gt;=93,AA63+0.5&lt;60),"",IF(MOD(AA63+0.5,10)&gt;=7,"+",IF(MOD(AA63+0.5,10)&lt;3,"-",""))),"")</f>
        <v>-</v>
      </c>
      <c r="AE63" s="32">
        <f>IF(A63&lt;&gt;"",SUM(W63:X63,$W$8:$X$8)/SUM($W$2:$X$2)*100,"")</f>
        <v>100</v>
      </c>
      <c r="AF63" s="32" t="str">
        <f>IF(A63&lt;&gt;"",CHOOSE(10-MIN(9,TRUNC((AE63+0.5)/10)),"A","B","C","D","F","F","F","F","F","F"),"")</f>
        <v>A</v>
      </c>
      <c r="AG63" s="32" t="str">
        <f>IF(A63&lt;&gt;"",IF(OR(AE63+0.5&gt;=93,AE63+0.5&lt;60),"",IF(MOD(AE63+0.5,10)&gt;=7,"+",IF(MOD(AE63+0.5,10)&lt;3,"-",""))),"")</f>
        <v/>
      </c>
      <c r="AH63" s="36">
        <f>IF(A63&lt;&gt;"",MIN(MAX(AA63,AE63),AA63+$AH$8,AE63+$AH$8),"")</f>
        <v>100</v>
      </c>
      <c r="AI63" s="32" t="str">
        <f>IF(A63&lt;&gt;"",CHOOSE(10-MIN(9,TRUNC((AH63+0.5)/10)),"A","B","C","D","F","F","F","F","F","F"),"")</f>
        <v>A</v>
      </c>
      <c r="AJ63" s="32" t="str">
        <f>IF(A63&lt;&gt;"",IF(OR(AH63+0.5&gt;=93,AH63+0.5&lt;60),"",IF(MOD(AH63+0.5,10)&gt;=7,"+",IF(MOD(AH63+0.5,10)&lt;3,"-",""))),"")</f>
        <v/>
      </c>
      <c r="AK63" s="32" t="b">
        <f>IF(A63&lt;&gt;"",OR(AI63&lt;&gt;AC63,AJ63&lt;&gt;AD63),"")</f>
        <v>1</v>
      </c>
      <c r="AL63" s="84">
        <f>IF(AND(A63&lt;&gt;"",U63&lt;&gt;""),SUM(U63,$AL$8)/$AL$2*100,"")</f>
        <v>74.666666666666671</v>
      </c>
      <c r="AM63" s="24">
        <f>IF(AND(A63&lt;&gt;"",V63&lt;&gt;""),SUM(V63,$AM$8)/$AM$2*100,"")</f>
        <v>72.307692307692307</v>
      </c>
      <c r="AN63" s="24">
        <f>IF(AND(A63&lt;&gt;"",ISNUMBER(P63),P63&gt;=0),SUM(P63,$AN$8)/$AN$2*100,"")</f>
        <v>100</v>
      </c>
      <c r="AO63" s="24" t="str">
        <f>IF(AND(A63&lt;&gt;"",ISNUMBER(Q63),Q63&gt;=0),SUM(Q63,$AO$8)/$AO$2*100,"")</f>
        <v/>
      </c>
      <c r="AP63" s="24" t="str">
        <f>IF(AND(A63&lt;&gt;"",R63&lt;&gt;""),SUM(R63,$AP$8)/$AP$2*100,"")</f>
        <v/>
      </c>
      <c r="AQ63" s="24">
        <f>IF(AND(A63&lt;&gt;"",ISNUMBER(W63),W63&gt;=0),SUM(W63,$AQ$8)/$AQ$2*100,"")</f>
        <v>100</v>
      </c>
      <c r="AR63" s="24" t="str">
        <f>IF(AND(A63&lt;&gt;"",T63&gt;0,ISNUMBER(T63)),SUM(T63,$AR$8)/$AR$2*100,"")</f>
        <v/>
      </c>
      <c r="AS63" s="24" t="str">
        <f>IF(AND(A63&lt;&gt;"",X63&lt;&gt;""),SUM(X63,$AS$8)/$AS$2*100,"")</f>
        <v/>
      </c>
      <c r="AT63" s="89">
        <f>IF(AND(A63&lt;&gt;"",OR(ISNUMBER(W63),ISNUMBER(X63))),SUM(W63:X63,$AT$8)/$AT$2*100,"")</f>
        <v>100</v>
      </c>
      <c r="AU63" s="24">
        <f>AA63</f>
        <v>82.295081967213108</v>
      </c>
      <c r="AV63" s="24"/>
      <c r="AW63" s="27">
        <f>IF(A63&lt;&gt;"",AE63-AA63,"")</f>
        <v>17.704918032786892</v>
      </c>
      <c r="AY63" s="27" t="b">
        <f>S63&gt;R63</f>
        <v>0</v>
      </c>
      <c r="BA63" s="27" t="e">
        <f>AND(AA63&gt;$BA$3,(W63+$W$8)/$W$2&lt;$BB$3,(X63+$X$8)/$X$2&lt;$BB$3)</f>
        <v>#VALUE!</v>
      </c>
      <c r="BB63" s="27" t="e">
        <f>AND(AA63&lt;$BA$3,AND(W63/$W$2&gt;$BB$3,X63/$X$2&gt;$BB$3))</f>
        <v>#VALUE!</v>
      </c>
      <c r="BC63" s="27" t="e">
        <f>AND(AA63&lt;$BA$3,OR(W63/$W$2&gt;$BB$3,X63/$X$2&gt;$BB$3))</f>
        <v>#VALUE!</v>
      </c>
      <c r="BE63" s="32">
        <v>32</v>
      </c>
    </row>
    <row r="64" spans="1:58" s="27" customFormat="1" ht="12.75" customHeight="1" x14ac:dyDescent="0.2">
      <c r="A64" s="10">
        <v>86359</v>
      </c>
      <c r="B64" s="2">
        <v>14</v>
      </c>
      <c r="C64" s="10">
        <v>19</v>
      </c>
      <c r="D64" s="10">
        <v>22</v>
      </c>
      <c r="E64" s="10"/>
      <c r="F64" s="10"/>
      <c r="G64" s="3"/>
      <c r="H64" s="10"/>
      <c r="I64" s="10"/>
      <c r="J64" s="2">
        <v>25</v>
      </c>
      <c r="K64" s="10">
        <v>46</v>
      </c>
      <c r="L64" s="10">
        <v>50</v>
      </c>
      <c r="M64" s="10"/>
      <c r="N64" s="10"/>
      <c r="O64" s="12"/>
      <c r="P64" s="41">
        <v>101</v>
      </c>
      <c r="Q64" s="41"/>
      <c r="R64" s="2"/>
      <c r="S64" s="10"/>
      <c r="T64" s="13"/>
      <c r="U64" s="1">
        <f t="array" ref="U64">IF(AND(A64&lt;&gt;"",OR(ISNUMBER(B64:I64))),SUM(B64:I64),"")</f>
        <v>55</v>
      </c>
      <c r="V64" s="10">
        <f t="array" ref="V64">IF(AND(A64&lt;&gt;"",OR(ISNUMBER(J64:O64))),SUM(J64:O64),"")</f>
        <v>121</v>
      </c>
      <c r="W64" s="10">
        <f t="array" ref="W64">IF(AND(A64&lt;&gt;"",OR(ISNUMBER(P64),ISNUMBER(Q64))),SUM(MAX(P64:Q64),Q64),"")</f>
        <v>101</v>
      </c>
      <c r="X64" s="10" t="str">
        <f t="array" ref="X64">IF(AND(A64&lt;&gt;"",OR(ISNUMBER(S64),ISNUMBER(T64))),SUM(S64,T64),"")</f>
        <v/>
      </c>
      <c r="Y64" s="13">
        <v>1</v>
      </c>
      <c r="Z64" s="13">
        <f>IF(A64&lt;&gt;"",SUM(U64:Y64),"")</f>
        <v>278</v>
      </c>
      <c r="AA64" s="27">
        <f>IF(A64&lt;&gt;"",(Z64+Normalize_To_Add)/(Point_Total_So_Far)*100,"")</f>
        <v>91.147540983606561</v>
      </c>
      <c r="AB64" s="10">
        <f>IF(A64&lt;&gt;"",RANK(AA64,All_Student_XC),"")</f>
        <v>320</v>
      </c>
      <c r="AC64" s="32" t="str">
        <f>IF(A64&lt;&gt;"",CHOOSE(10-MIN(9,TRUNC((AA64+0.5)/10)),"A","B","C","D","F","F","F","F","F","F"),"")</f>
        <v>A</v>
      </c>
      <c r="AD64" s="32" t="str">
        <f>IF(A64&lt;&gt;"",IF(OR(AA64+0.5&gt;=93,AA64+0.5&lt;60),"",IF(MOD(AA64+0.5,10)&gt;=7,"+",IF(MOD(AA64+0.5,10)&lt;3,"-",""))),"")</f>
        <v>-</v>
      </c>
      <c r="AE64" s="32">
        <f>IF(A64&lt;&gt;"",SUM(W64:X64,$W$8:$X$8)/SUM($W$2:$X$2)*100,"")</f>
        <v>101</v>
      </c>
      <c r="AF64" s="32" t="str">
        <f>IF(A64&lt;&gt;"",CHOOSE(10-MIN(9,TRUNC((AE64+0.5)/10)),"A","B","C","D","F","F","F","F","F","F"),"")</f>
        <v>A</v>
      </c>
      <c r="AG64" s="32" t="str">
        <f>IF(A64&lt;&gt;"",IF(OR(AE64+0.5&gt;=93,AE64+0.5&lt;60),"",IF(MOD(AE64+0.5,10)&gt;=7,"+",IF(MOD(AE64+0.5,10)&lt;3,"-",""))),"")</f>
        <v/>
      </c>
      <c r="AH64" s="36">
        <f>IF(A64&lt;&gt;"",MIN(MAX(AA64,AE64),AA64+$AH$8,AE64+$AH$8),"")</f>
        <v>101</v>
      </c>
      <c r="AI64" s="32" t="str">
        <f>IF(A64&lt;&gt;"",CHOOSE(10-MIN(9,TRUNC((AH64+0.5)/10)),"A","B","C","D","F","F","F","F","F","F"),"")</f>
        <v>A</v>
      </c>
      <c r="AJ64" s="32" t="str">
        <f>IF(A64&lt;&gt;"",IF(OR(AH64+0.5&gt;=93,AH64+0.5&lt;60),"",IF(MOD(AH64+0.5,10)&gt;=7,"+",IF(MOD(AH64+0.5,10)&lt;3,"-",""))),"")</f>
        <v/>
      </c>
      <c r="AK64" s="32" t="b">
        <f>IF(A64&lt;&gt;"",OR(AI64&lt;&gt;AC64,AJ64&lt;&gt;AD64),"")</f>
        <v>1</v>
      </c>
      <c r="AL64" s="84">
        <f>IF(AND(A64&lt;&gt;"",U64&lt;&gt;""),SUM(U64,$AL$8)/$AL$2*100,"")</f>
        <v>73.333333333333329</v>
      </c>
      <c r="AM64" s="24">
        <f>IF(AND(A64&lt;&gt;"",V64&lt;&gt;""),SUM(V64,$AM$8)/$AM$2*100,"")</f>
        <v>93.07692307692308</v>
      </c>
      <c r="AN64" s="24">
        <f>IF(AND(A64&lt;&gt;"",ISNUMBER(P64),P64&gt;=0),SUM(P64,$AN$8)/$AN$2*100,"")</f>
        <v>101</v>
      </c>
      <c r="AO64" s="24" t="str">
        <f>IF(AND(A64&lt;&gt;"",ISNUMBER(Q64),Q64&gt;=0),SUM(Q64,$AO$8)/$AO$2*100,"")</f>
        <v/>
      </c>
      <c r="AP64" s="24" t="str">
        <f>IF(AND(A64&lt;&gt;"",R64&lt;&gt;""),SUM(R64,$AP$8)/$AP$2*100,"")</f>
        <v/>
      </c>
      <c r="AQ64" s="24">
        <f>IF(AND(A64&lt;&gt;"",ISNUMBER(W64),W64&gt;=0),SUM(W64,$AQ$8)/$AQ$2*100,"")</f>
        <v>101</v>
      </c>
      <c r="AR64" s="24" t="str">
        <f>IF(AND(A64&lt;&gt;"",T64&gt;0,ISNUMBER(T64)),SUM(T64,$AR$8)/$AR$2*100,"")</f>
        <v/>
      </c>
      <c r="AS64" s="24" t="str">
        <f>IF(AND(A64&lt;&gt;"",X64&lt;&gt;""),SUM(X64,$AS$8)/$AS$2*100,"")</f>
        <v/>
      </c>
      <c r="AT64" s="89">
        <f>IF(AND(A64&lt;&gt;"",OR(ISNUMBER(W64),ISNUMBER(X64))),SUM(W64:X64,$AT$8)/$AT$2*100,"")</f>
        <v>101</v>
      </c>
      <c r="AU64" s="24">
        <f>AA64</f>
        <v>91.147540983606561</v>
      </c>
      <c r="AV64" s="24"/>
      <c r="AW64" s="27">
        <f>IF(A64&lt;&gt;"",AE64-AA64,"")</f>
        <v>9.8524590163934391</v>
      </c>
      <c r="AY64" s="27" t="b">
        <f>S64&gt;R64</f>
        <v>0</v>
      </c>
      <c r="BA64" s="27" t="e">
        <f>AND(AA64&gt;$BA$3,(W64+$W$8)/$W$2&lt;$BB$3,(X64+$X$8)/$X$2&lt;$BB$3)</f>
        <v>#VALUE!</v>
      </c>
      <c r="BB64" s="27" t="e">
        <f>AND(AA64&lt;$BA$3,AND(W64/$W$2&gt;$BB$3,X64/$X$2&gt;$BB$3))</f>
        <v>#VALUE!</v>
      </c>
      <c r="BC64" s="27" t="e">
        <f>AND(AA64&lt;$BA$3,OR(W64/$W$2&gt;$BB$3,X64/$X$2&gt;$BB$3))</f>
        <v>#VALUE!</v>
      </c>
      <c r="BE64" s="32">
        <v>32</v>
      </c>
    </row>
    <row r="65" spans="1:57" s="27" customFormat="1" ht="12.75" customHeight="1" x14ac:dyDescent="0.2">
      <c r="A65" s="10">
        <v>88016</v>
      </c>
      <c r="B65" s="2">
        <v>23</v>
      </c>
      <c r="C65" s="10">
        <v>21</v>
      </c>
      <c r="D65" s="10">
        <v>25</v>
      </c>
      <c r="E65" s="10"/>
      <c r="F65" s="10"/>
      <c r="G65" s="3"/>
      <c r="H65" s="10"/>
      <c r="I65" s="10"/>
      <c r="J65" s="2">
        <v>29</v>
      </c>
      <c r="K65" s="10">
        <v>48</v>
      </c>
      <c r="L65" s="10">
        <v>50</v>
      </c>
      <c r="M65" s="10"/>
      <c r="N65" s="10"/>
      <c r="O65" s="12"/>
      <c r="P65" s="41">
        <v>101</v>
      </c>
      <c r="Q65" s="41"/>
      <c r="R65" s="2"/>
      <c r="S65" s="10"/>
      <c r="T65" s="13"/>
      <c r="U65" s="1">
        <f t="array" ref="U65">IF(AND(A65&lt;&gt;"",OR(ISNUMBER(B65:I65))),SUM(B65:I65),"")</f>
        <v>69</v>
      </c>
      <c r="V65" s="10">
        <f t="array" ref="V65">IF(AND(A65&lt;&gt;"",OR(ISNUMBER(J65:O65))),SUM(J65:O65),"")</f>
        <v>127</v>
      </c>
      <c r="W65" s="10">
        <f t="array" ref="W65">IF(AND(A65&lt;&gt;"",OR(ISNUMBER(P65),ISNUMBER(Q65))),SUM(MAX(P65:Q65),Q65),"")</f>
        <v>101</v>
      </c>
      <c r="X65" s="10" t="str">
        <f t="array" ref="X65">IF(AND(A65&lt;&gt;"",OR(ISNUMBER(S65),ISNUMBER(T65))),SUM(S65,T65),"")</f>
        <v/>
      </c>
      <c r="Y65" s="13">
        <v>1</v>
      </c>
      <c r="Z65" s="13">
        <f>IF(A65&lt;&gt;"",SUM(U65:Y65),"")</f>
        <v>298</v>
      </c>
      <c r="AA65" s="27">
        <f>IF(A65&lt;&gt;"",(Z65+Normalize_To_Add)/(Point_Total_So_Far)*100,"")</f>
        <v>97.704918032786878</v>
      </c>
      <c r="AB65" s="10">
        <f>IF(A65&lt;&gt;"",RANK(AA65,All_Student_XC),"")</f>
        <v>210</v>
      </c>
      <c r="AC65" s="32" t="str">
        <f>IF(A65&lt;&gt;"",CHOOSE(10-MIN(9,TRUNC((AA65+0.5)/10)),"A","B","C","D","F","F","F","F","F","F"),"")</f>
        <v>A</v>
      </c>
      <c r="AD65" s="32" t="str">
        <f>IF(A65&lt;&gt;"",IF(OR(AA65+0.5&gt;=93,AA65+0.5&lt;60),"",IF(MOD(AA65+0.5,10)&gt;=7,"+",IF(MOD(AA65+0.5,10)&lt;3,"-",""))),"")</f>
        <v/>
      </c>
      <c r="AE65" s="32">
        <f>IF(A65&lt;&gt;"",SUM(W65:X65,$W$8:$X$8)/SUM($W$2:$X$2)*100,"")</f>
        <v>101</v>
      </c>
      <c r="AF65" s="32" t="str">
        <f>IF(A65&lt;&gt;"",CHOOSE(10-MIN(9,TRUNC((AE65+0.5)/10)),"A","B","C","D","F","F","F","F","F","F"),"")</f>
        <v>A</v>
      </c>
      <c r="AG65" s="32" t="str">
        <f>IF(A65&lt;&gt;"",IF(OR(AE65+0.5&gt;=93,AE65+0.5&lt;60),"",IF(MOD(AE65+0.5,10)&gt;=7,"+",IF(MOD(AE65+0.5,10)&lt;3,"-",""))),"")</f>
        <v/>
      </c>
      <c r="AH65" s="36">
        <f>IF(A65&lt;&gt;"",MIN(MAX(AA65,AE65),AA65+$AH$8,AE65+$AH$8),"")</f>
        <v>101</v>
      </c>
      <c r="AI65" s="32" t="str">
        <f>IF(A65&lt;&gt;"",CHOOSE(10-MIN(9,TRUNC((AH65+0.5)/10)),"A","B","C","D","F","F","F","F","F","F"),"")</f>
        <v>A</v>
      </c>
      <c r="AJ65" s="32" t="str">
        <f>IF(A65&lt;&gt;"",IF(OR(AH65+0.5&gt;=93,AH65+0.5&lt;60),"",IF(MOD(AH65+0.5,10)&gt;=7,"+",IF(MOD(AH65+0.5,10)&lt;3,"-",""))),"")</f>
        <v/>
      </c>
      <c r="AK65" s="32" t="b">
        <f>IF(A65&lt;&gt;"",OR(AI65&lt;&gt;AC65,AJ65&lt;&gt;AD65),"")</f>
        <v>0</v>
      </c>
      <c r="AL65" s="84">
        <f>IF(AND(A65&lt;&gt;"",U65&lt;&gt;""),SUM(U65,$AL$8)/$AL$2*100,"")</f>
        <v>92</v>
      </c>
      <c r="AM65" s="24">
        <f>IF(AND(A65&lt;&gt;"",V65&lt;&gt;""),SUM(V65,$AM$8)/$AM$2*100,"")</f>
        <v>97.692307692307693</v>
      </c>
      <c r="AN65" s="24">
        <f>IF(AND(A65&lt;&gt;"",ISNUMBER(P65),P65&gt;=0),SUM(P65,$AN$8)/$AN$2*100,"")</f>
        <v>101</v>
      </c>
      <c r="AO65" s="24" t="str">
        <f>IF(AND(A65&lt;&gt;"",ISNUMBER(Q65),Q65&gt;=0),SUM(Q65,$AO$8)/$AO$2*100,"")</f>
        <v/>
      </c>
      <c r="AP65" s="24" t="str">
        <f>IF(AND(A65&lt;&gt;"",R65&lt;&gt;""),SUM(R65,$AP$8)/$AP$2*100,"")</f>
        <v/>
      </c>
      <c r="AQ65" s="24">
        <f>IF(AND(A65&lt;&gt;"",ISNUMBER(W65),W65&gt;=0),SUM(W65,$AQ$8)/$AQ$2*100,"")</f>
        <v>101</v>
      </c>
      <c r="AR65" s="24" t="str">
        <f>IF(AND(A65&lt;&gt;"",T65&gt;0,ISNUMBER(T65)),SUM(T65,$AR$8)/$AR$2*100,"")</f>
        <v/>
      </c>
      <c r="AS65" s="24" t="str">
        <f>IF(AND(A65&lt;&gt;"",X65&lt;&gt;""),SUM(X65,$AS$8)/$AS$2*100,"")</f>
        <v/>
      </c>
      <c r="AT65" s="89">
        <f>IF(AND(A65&lt;&gt;"",OR(ISNUMBER(W65),ISNUMBER(X65))),SUM(W65:X65,$AT$8)/$AT$2*100,"")</f>
        <v>101</v>
      </c>
      <c r="AU65" s="24">
        <f>AA65</f>
        <v>97.704918032786878</v>
      </c>
      <c r="AV65" s="24"/>
      <c r="AW65" s="27">
        <f>IF(A65&lt;&gt;"",AE65-AA65,"")</f>
        <v>3.2950819672131217</v>
      </c>
      <c r="AY65" s="27" t="b">
        <f>S65&gt;R65</f>
        <v>0</v>
      </c>
      <c r="BA65" s="27" t="e">
        <f>AND(AA65&gt;$BA$3,(W65+$W$8)/$W$2&lt;$BB$3,(X65+$X$8)/$X$2&lt;$BB$3)</f>
        <v>#VALUE!</v>
      </c>
      <c r="BB65" s="27" t="e">
        <f>AND(AA65&lt;$BA$3,AND(W65/$W$2&gt;$BB$3,X65/$X$2&gt;$BB$3))</f>
        <v>#VALUE!</v>
      </c>
      <c r="BC65" s="27" t="e">
        <f>AND(AA65&lt;$BA$3,OR(W65/$W$2&gt;$BB$3,X65/$X$2&gt;$BB$3))</f>
        <v>#VALUE!</v>
      </c>
      <c r="BE65" s="32" t="s">
        <v>84</v>
      </c>
    </row>
    <row r="66" spans="1:57" s="27" customFormat="1" ht="12.75" customHeight="1" x14ac:dyDescent="0.2">
      <c r="A66" s="10">
        <v>88137</v>
      </c>
      <c r="B66" s="2">
        <v>22</v>
      </c>
      <c r="C66" s="10">
        <v>22</v>
      </c>
      <c r="D66" s="10">
        <v>25</v>
      </c>
      <c r="E66" s="10"/>
      <c r="F66" s="10"/>
      <c r="G66" s="10"/>
      <c r="H66" s="10"/>
      <c r="I66" s="10"/>
      <c r="J66" s="2">
        <v>28</v>
      </c>
      <c r="K66" s="10">
        <v>50</v>
      </c>
      <c r="L66" s="10">
        <v>52</v>
      </c>
      <c r="M66" s="10"/>
      <c r="N66" s="10"/>
      <c r="O66" s="13"/>
      <c r="P66" s="10">
        <v>40</v>
      </c>
      <c r="Q66" s="10"/>
      <c r="R66" s="2"/>
      <c r="S66" s="10"/>
      <c r="T66" s="13"/>
      <c r="U66" s="1">
        <f t="array" ref="U66">IF(AND(A66&lt;&gt;"",OR(ISNUMBER(B66:I66))),SUM(B66:I66),"")</f>
        <v>69</v>
      </c>
      <c r="V66" s="10">
        <f t="array" ref="V66">IF(AND(A66&lt;&gt;"",OR(ISNUMBER(J66:O66))),SUM(J66:O66),"")</f>
        <v>130</v>
      </c>
      <c r="W66" s="10">
        <f t="array" ref="W66">IF(AND(A66&lt;&gt;"",OR(ISNUMBER(P66),ISNUMBER(Q66))),SUM(MAX(P66:Q66),Q66),"")</f>
        <v>40</v>
      </c>
      <c r="X66" s="10" t="str">
        <f t="array" ref="X66">IF(AND(A66&lt;&gt;"",OR(ISNUMBER(S66),ISNUMBER(T66))),SUM(S66,T66),"")</f>
        <v/>
      </c>
      <c r="Y66" s="13">
        <v>1</v>
      </c>
      <c r="Z66" s="13">
        <f>IF(A66&lt;&gt;"",SUM(U66:Y66),"")</f>
        <v>240</v>
      </c>
      <c r="AA66" s="27">
        <f>IF(A66&lt;&gt;"",(Z66+Normalize_To_Add)/(Point_Total_So_Far)*100,"")</f>
        <v>78.688524590163937</v>
      </c>
      <c r="AB66" s="10">
        <f>IF(A66&lt;&gt;"",RANK(AA66,All_Student_XC),"")</f>
        <v>418</v>
      </c>
      <c r="AC66" s="32" t="str">
        <f>IF(A66&lt;&gt;"",CHOOSE(10-MIN(9,TRUNC((AA66+0.5)/10)),"A","B","C","D","F","F","F","F","F","F"),"")</f>
        <v>C</v>
      </c>
      <c r="AD66" s="31" t="str">
        <f>IF(A66&lt;&gt;"",IF(OR(AA66+0.5&gt;=93,AA66+0.5&lt;60),"",IF(MOD(AA66+0.5,10)&gt;=7,"+",IF(MOD(AA66+0.5,10)&lt;3,"-",""))),"")</f>
        <v>+</v>
      </c>
      <c r="AE66" s="32">
        <f>IF(A66&lt;&gt;"",SUM(W66:X66,$W$8:$X$8)/SUM($W$2:$X$2)*100,"")</f>
        <v>40</v>
      </c>
      <c r="AF66" s="32" t="str">
        <f>IF(A66&lt;&gt;"",CHOOSE(10-MIN(9,TRUNC((AE66+0.5)/10)),"A","B","C","D","F","F","F","F","F","F"),"")</f>
        <v>F</v>
      </c>
      <c r="AG66" s="32" t="str">
        <f>IF(A66&lt;&gt;"",IF(OR(AE66+0.5&gt;=93,AE66+0.5&lt;60),"",IF(MOD(AE66+0.5,10)&gt;=7,"+",IF(MOD(AE66+0.5,10)&lt;3,"-",""))),"")</f>
        <v/>
      </c>
      <c r="AH66" s="36">
        <f>IF(A66&lt;&gt;"",MIN(MAX(AA66,AE66),AA66+$AH$8,AE66+$AH$8),"")</f>
        <v>78.688524590163937</v>
      </c>
      <c r="AI66" s="32" t="str">
        <f>IF(A66&lt;&gt;"",CHOOSE(10-MIN(9,TRUNC((AH66+0.5)/10)),"A","B","C","D","F","F","F","F","F","F"),"")</f>
        <v>C</v>
      </c>
      <c r="AJ66" s="32" t="str">
        <f>IF(A66&lt;&gt;"",IF(OR(AH66+0.5&gt;=93,AH66+0.5&lt;60),"",IF(MOD(AH66+0.5,10)&gt;=7,"+",IF(MOD(AH66+0.5,10)&lt;3,"-",""))),"")</f>
        <v>+</v>
      </c>
      <c r="AK66" s="71" t="b">
        <f>IF(A66&lt;&gt;"",OR(AI66&lt;&gt;AC66,AJ66&lt;&gt;AD66),"")</f>
        <v>0</v>
      </c>
      <c r="AL66" s="86">
        <f>IF(AND(A66&lt;&gt;"",U66&lt;&gt;""),SUM(U66,$AL$8)/$AL$2*100,"")</f>
        <v>92</v>
      </c>
      <c r="AM66" s="71">
        <f>IF(AND(A66&lt;&gt;"",V66&lt;&gt;""),SUM(V66,$AM$8)/$AM$2*100,"")</f>
        <v>100</v>
      </c>
      <c r="AN66" s="71">
        <f>IF(AND(A66&lt;&gt;"",ISNUMBER(P66),P66&gt;=0),SUM(P66,$AN$8)/$AN$2*100,"")</f>
        <v>40</v>
      </c>
      <c r="AO66" s="71" t="str">
        <f>IF(AND(A66&lt;&gt;"",ISNUMBER(Q66),Q66&gt;=0),SUM(Q66,$AO$8)/$AO$2*100,"")</f>
        <v/>
      </c>
      <c r="AP66" s="24" t="str">
        <f>IF(AND(A66&lt;&gt;"",R66&lt;&gt;""),SUM(R66,$AP$8)/$AP$2*100,"")</f>
        <v/>
      </c>
      <c r="AQ66" s="24">
        <f>IF(AND(A66&lt;&gt;"",ISNUMBER(W66),W66&gt;=0),SUM(W66,$AQ$8)/$AQ$2*100,"")</f>
        <v>40</v>
      </c>
      <c r="AR66" s="24" t="str">
        <f>IF(AND(A66&lt;&gt;"",T66&gt;0,ISNUMBER(T66)),SUM(T66,$AR$8)/$AR$2*100,"")</f>
        <v/>
      </c>
      <c r="AS66" s="24" t="str">
        <f>IF(AND(A66&lt;&gt;"",X66&lt;&gt;""),SUM(X66,$AS$8)/$AS$2*100,"")</f>
        <v/>
      </c>
      <c r="AT66" s="89">
        <f>IF(AND(A66&lt;&gt;"",OR(ISNUMBER(W66),ISNUMBER(X66))),SUM(W66:X66,$AT$8)/$AT$2*100,"")</f>
        <v>40</v>
      </c>
      <c r="AU66" s="24">
        <f>AA66</f>
        <v>78.688524590163937</v>
      </c>
      <c r="AV66" s="71"/>
      <c r="AW66" s="27">
        <f>IF(A66&lt;&gt;"",AE66-AA66,"")</f>
        <v>-38.688524590163937</v>
      </c>
      <c r="AY66" s="27" t="b">
        <f>S66&gt;R66</f>
        <v>0</v>
      </c>
      <c r="BA66" s="27" t="e">
        <f>AND(AA66&gt;$BA$3,(W66+$W$8)/$W$2&lt;$BB$3,(X66+$X$8)/$X$2&lt;$BB$3)</f>
        <v>#VALUE!</v>
      </c>
      <c r="BB66" s="27" t="e">
        <f>AND(AA66&lt;$BA$3,AND(W66/$W$2&gt;$BB$3,X66/$X$2&gt;$BB$3))</f>
        <v>#VALUE!</v>
      </c>
      <c r="BC66" s="27" t="e">
        <f>AND(AA66&lt;$BA$3,OR(W66/$W$2&gt;$BB$3,X66/$X$2&gt;$BB$3))</f>
        <v>#VALUE!</v>
      </c>
      <c r="BE66" s="32">
        <v>32</v>
      </c>
    </row>
    <row r="67" spans="1:57" s="27" customFormat="1" ht="12.75" customHeight="1" x14ac:dyDescent="0.2">
      <c r="A67" s="10">
        <v>93108</v>
      </c>
      <c r="B67" s="2">
        <v>6</v>
      </c>
      <c r="C67" s="10">
        <v>7</v>
      </c>
      <c r="D67" s="10">
        <v>5</v>
      </c>
      <c r="E67" s="10"/>
      <c r="F67" s="10"/>
      <c r="G67" s="10"/>
      <c r="H67" s="10"/>
      <c r="I67" s="10"/>
      <c r="J67" s="2">
        <v>19</v>
      </c>
      <c r="K67" s="10">
        <v>-7</v>
      </c>
      <c r="L67" s="10">
        <v>6</v>
      </c>
      <c r="M67" s="10"/>
      <c r="N67" s="93"/>
      <c r="O67" s="13"/>
      <c r="P67" s="10">
        <v>20</v>
      </c>
      <c r="Q67" s="10"/>
      <c r="R67" s="2"/>
      <c r="S67" s="10"/>
      <c r="T67" s="13"/>
      <c r="U67" s="1">
        <f t="array" ref="U67">IF(AND(A67&lt;&gt;"",OR(ISNUMBER(B67:I67))),SUM(B67:I67),"")</f>
        <v>18</v>
      </c>
      <c r="V67" s="10">
        <f t="array" ref="V67">IF(AND(A67&lt;&gt;"",OR(ISNUMBER(J67:O67))),SUM(J67:O67),"")</f>
        <v>18</v>
      </c>
      <c r="W67" s="10">
        <f t="array" ref="W67">IF(AND(A67&lt;&gt;"",OR(ISNUMBER(P67),ISNUMBER(Q67))),SUM(MAX(P67:Q67),Q67),"")</f>
        <v>20</v>
      </c>
      <c r="X67" s="10" t="str">
        <f t="array" ref="X67">IF(AND(A67&lt;&gt;"",OR(ISNUMBER(S67),ISNUMBER(T67))),SUM(S67,T67),"")</f>
        <v/>
      </c>
      <c r="Y67" s="13">
        <v>1</v>
      </c>
      <c r="Z67" s="13">
        <f>IF(A67&lt;&gt;"",SUM(U67:Y67),"")</f>
        <v>57</v>
      </c>
      <c r="AA67" s="27">
        <f>IF(A67&lt;&gt;"",(Z67+Normalize_To_Add)/(Point_Total_So_Far)*100,"")</f>
        <v>18.688524590163937</v>
      </c>
      <c r="AB67" s="10">
        <f>IF(A67&lt;&gt;"",RANK(AA67,All_Student_XC),"")</f>
        <v>510</v>
      </c>
      <c r="AC67" s="32" t="str">
        <f>IF(A67&lt;&gt;"",CHOOSE(10-MIN(9,TRUNC((AA67+0.5)/10)),"A","B","C","D","F","F","F","F","F","F"),"")</f>
        <v>F</v>
      </c>
      <c r="AD67" s="31" t="str">
        <f>IF(A67&lt;&gt;"",IF(OR(AA67+0.5&gt;=93,AA67+0.5&lt;60),"",IF(MOD(AA67+0.5,10)&gt;=7,"+",IF(MOD(AA67+0.5,10)&lt;3,"-",""))),"")</f>
        <v/>
      </c>
      <c r="AE67" s="32">
        <f>IF(A67&lt;&gt;"",SUM(W67:X67,$W$8:$X$8)/SUM($W$2:$X$2)*100,"")</f>
        <v>20</v>
      </c>
      <c r="AF67" s="32" t="str">
        <f>IF(A67&lt;&gt;"",CHOOSE(10-MIN(9,TRUNC((AE67+0.5)/10)),"A","B","C","D","F","F","F","F","F","F"),"")</f>
        <v>F</v>
      </c>
      <c r="AG67" s="32" t="str">
        <f>IF(A67&lt;&gt;"",IF(OR(AE67+0.5&gt;=93,AE67+0.5&lt;60),"",IF(MOD(AE67+0.5,10)&gt;=7,"+",IF(MOD(AE67+0.5,10)&lt;3,"-",""))),"")</f>
        <v/>
      </c>
      <c r="AH67" s="36">
        <f>IF(A67&lt;&gt;"",MIN(MAX(AA67,AE67),AA67+$AH$8,AE67+$AH$8),"")</f>
        <v>20</v>
      </c>
      <c r="AI67" s="32" t="str">
        <f>IF(A67&lt;&gt;"",CHOOSE(10-MIN(9,TRUNC((AH67+0.5)/10)),"A","B","C","D","F","F","F","F","F","F"),"")</f>
        <v>F</v>
      </c>
      <c r="AJ67" s="32" t="str">
        <f>IF(A67&lt;&gt;"",IF(OR(AH67+0.5&gt;=93,AH67+0.5&lt;60),"",IF(MOD(AH67+0.5,10)&gt;=7,"+",IF(MOD(AH67+0.5,10)&lt;3,"-",""))),"")</f>
        <v/>
      </c>
      <c r="AK67" s="71" t="b">
        <f>IF(A67&lt;&gt;"",OR(AI67&lt;&gt;AC67,AJ67&lt;&gt;AD67),"")</f>
        <v>0</v>
      </c>
      <c r="AL67" s="86">
        <f>IF(AND(A67&lt;&gt;"",U67&lt;&gt;""),SUM(U67,$AL$8)/$AL$2*100,"")</f>
        <v>24</v>
      </c>
      <c r="AM67" s="71">
        <f>IF(AND(A67&lt;&gt;"",V67&lt;&gt;""),SUM(V67,$AM$8)/$AM$2*100,"")</f>
        <v>13.846153846153847</v>
      </c>
      <c r="AN67" s="71">
        <f>IF(AND(A67&lt;&gt;"",ISNUMBER(P67),P67&gt;=0),SUM(P67,$AN$8)/$AN$2*100,"")</f>
        <v>20</v>
      </c>
      <c r="AO67" s="71" t="str">
        <f>IF(AND(A67&lt;&gt;"",ISNUMBER(Q67),Q67&gt;=0),SUM(Q67,$AO$8)/$AO$2*100,"")</f>
        <v/>
      </c>
      <c r="AP67" s="24" t="str">
        <f>IF(AND(A67&lt;&gt;"",R67&lt;&gt;""),SUM(R67,$AP$8)/$AP$2*100,"")</f>
        <v/>
      </c>
      <c r="AQ67" s="24">
        <f>IF(AND(A67&lt;&gt;"",ISNUMBER(W67),W67&gt;=0),SUM(W67,$AQ$8)/$AQ$2*100,"")</f>
        <v>20</v>
      </c>
      <c r="AR67" s="24" t="str">
        <f>IF(AND(A67&lt;&gt;"",T67&gt;0,ISNUMBER(T67)),SUM(T67,$AR$8)/$AR$2*100,"")</f>
        <v/>
      </c>
      <c r="AS67" s="24" t="str">
        <f>IF(AND(A67&lt;&gt;"",X67&lt;&gt;""),SUM(X67,$AS$8)/$AS$2*100,"")</f>
        <v/>
      </c>
      <c r="AT67" s="89">
        <f>IF(AND(A67&lt;&gt;"",OR(ISNUMBER(W67),ISNUMBER(X67))),SUM(W67:X67,$AT$8)/$AT$2*100,"")</f>
        <v>20</v>
      </c>
      <c r="AU67" s="24">
        <f>AA67</f>
        <v>18.688524590163937</v>
      </c>
      <c r="AV67" s="71"/>
      <c r="AW67" s="27">
        <f>IF(A67&lt;&gt;"",AE67-AA67,"")</f>
        <v>1.3114754098360635</v>
      </c>
      <c r="AY67" s="27" t="b">
        <f>S67&gt;R67</f>
        <v>0</v>
      </c>
      <c r="BA67" s="27" t="e">
        <f>AND(AA67&gt;$BA$3,(W67+$W$8)/$W$2&lt;$BB$3,(X67+$X$8)/$X$2&lt;$BB$3)</f>
        <v>#VALUE!</v>
      </c>
      <c r="BB67" s="27" t="e">
        <f>AND(AA67&lt;$BA$3,AND(W67/$W$2&gt;$BB$3,X67/$X$2&gt;$BB$3))</f>
        <v>#VALUE!</v>
      </c>
      <c r="BC67" s="27" t="e">
        <f>AND(AA67&lt;$BA$3,OR(W67/$W$2&gt;$BB$3,X67/$X$2&gt;$BB$3))</f>
        <v>#VALUE!</v>
      </c>
      <c r="BE67" s="32">
        <v>32</v>
      </c>
    </row>
    <row r="68" spans="1:57" s="27" customFormat="1" ht="12.75" customHeight="1" x14ac:dyDescent="0.2">
      <c r="A68" s="10">
        <v>95396</v>
      </c>
      <c r="B68" s="2" t="s">
        <v>67</v>
      </c>
      <c r="C68" s="10" t="s">
        <v>67</v>
      </c>
      <c r="D68" s="10" t="s">
        <v>67</v>
      </c>
      <c r="E68" s="10"/>
      <c r="F68" s="10"/>
      <c r="G68" s="3"/>
      <c r="H68" s="10"/>
      <c r="I68" s="10"/>
      <c r="J68" s="2">
        <v>25</v>
      </c>
      <c r="K68" s="10" t="s">
        <v>67</v>
      </c>
      <c r="L68" s="10" t="s">
        <v>67</v>
      </c>
      <c r="M68" s="56"/>
      <c r="N68" s="10"/>
      <c r="O68" s="12"/>
      <c r="P68" s="41">
        <v>20</v>
      </c>
      <c r="Q68" s="41"/>
      <c r="R68" s="2"/>
      <c r="S68" s="10"/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46</v>
      </c>
      <c r="AA68" s="27">
        <f>IF(A68&lt;&gt;"",(Z68+Normalize_To_Add)/(Point_Total_So_Far)*100,"")</f>
        <v>15.081967213114755</v>
      </c>
      <c r="AB68" s="10">
        <f>IF(A68&lt;&gt;"",RANK(AA68,All_Student_XC),"")</f>
        <v>511</v>
      </c>
      <c r="AC68" s="32" t="str">
        <f>IF(A68&lt;&gt;"",CHOOSE(10-MIN(9,TRUNC((AA68+0.5)/10)),"A","B","C","D","F","F","F","F","F","F"),"")</f>
        <v>F</v>
      </c>
      <c r="AD68" s="32" t="str">
        <f>IF(A68&lt;&gt;"",IF(OR(AA68+0.5&gt;=93,AA68+0.5&lt;60),"",IF(MOD(AA68+0.5,10)&gt;=7,"+",IF(MOD(AA68+0.5,10)&lt;3,"-",""))),"")</f>
        <v/>
      </c>
      <c r="AE68" s="32">
        <f>IF(A68&lt;&gt;"",SUM(W68:X68,$W$8:$X$8)/SUM($W$2:$X$2)*100,"")</f>
        <v>20</v>
      </c>
      <c r="AF68" s="32" t="str">
        <f>IF(A68&lt;&gt;"",CHOOSE(10-MIN(9,TRUNC((AE68+0.5)/10)),"A","B","C","D","F","F","F","F","F","F"),"")</f>
        <v>F</v>
      </c>
      <c r="AG68" s="32" t="str">
        <f>IF(A68&lt;&gt;"",IF(OR(AE68+0.5&gt;=93,AE68+0.5&lt;60),"",IF(MOD(AE68+0.5,10)&gt;=7,"+",IF(MOD(AE68+0.5,10)&lt;3,"-",""))),"")</f>
        <v/>
      </c>
      <c r="AH68" s="36">
        <f>IF(A68&lt;&gt;"",MIN(MAX(AA68,AE68),AA68+$AH$8,AE68+$AH$8),"")</f>
        <v>20</v>
      </c>
      <c r="AI68" s="32" t="str">
        <f>IF(A68&lt;&gt;"",CHOOSE(10-MIN(9,TRUNC((AH68+0.5)/10)),"A","B","C","D","F","F","F","F","F","F"),"")</f>
        <v>F</v>
      </c>
      <c r="AJ68" s="32" t="str">
        <f>IF(A68&lt;&gt;"",IF(OR(AH68+0.5&gt;=93,AH68+0.5&lt;60),"",IF(MOD(AH68+0.5,10)&gt;=7,"+",IF(MOD(AH68+0.5,10)&lt;3,"-",""))),"")</f>
        <v/>
      </c>
      <c r="AK68" s="32" t="b">
        <f>IF(A68&lt;&gt;"",OR(AI68&lt;&gt;AC68,AJ68&lt;&gt;AD68),"")</f>
        <v>0</v>
      </c>
      <c r="AL68" s="84" t="str">
        <f>IF(AND(A68&lt;&gt;"",U68&lt;&gt;""),SUM(U68,$AL$8)/$AL$2*100,"")</f>
        <v/>
      </c>
      <c r="AM68" s="24">
        <f>IF(AND(A68&lt;&gt;"",V68&lt;&gt;""),SUM(V68,$AM$8)/$AM$2*100,"")</f>
        <v>19.230769230769234</v>
      </c>
      <c r="AN68" s="24">
        <f>IF(AND(A68&lt;&gt;"",ISNUMBER(P68),P68&gt;=0),SUM(P68,$AN$8)/$AN$2*100,"")</f>
        <v>20</v>
      </c>
      <c r="AO68" s="24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>
        <f>IF(AND(A68&lt;&gt;"",ISNUMBER(W68),W68&gt;=0),SUM(W68,$AQ$8)/$AQ$2*100,"")</f>
        <v>20</v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9">
        <f>IF(AND(A68&lt;&gt;"",OR(ISNUMBER(W68),ISNUMBER(X68))),SUM(W68:X68,$AT$8)/$AT$2*100,"")</f>
        <v>20</v>
      </c>
      <c r="AU68" s="24">
        <f>AA68</f>
        <v>15.081967213114755</v>
      </c>
      <c r="AV68" s="24"/>
      <c r="AW68" s="27">
        <f>IF(A68&lt;&gt;"",AE68-AA68,"")</f>
        <v>4.9180327868852451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  <c r="BE68" s="32" t="s">
        <v>85</v>
      </c>
    </row>
    <row r="69" spans="1:57" s="27" customFormat="1" ht="12.75" customHeight="1" x14ac:dyDescent="0.2">
      <c r="A69" s="10">
        <v>96427</v>
      </c>
      <c r="B69" s="2">
        <v>21</v>
      </c>
      <c r="C69" s="10">
        <v>21</v>
      </c>
      <c r="D69" s="10">
        <v>25</v>
      </c>
      <c r="E69" s="10"/>
      <c r="F69" s="10"/>
      <c r="G69" s="10"/>
      <c r="H69" s="10"/>
      <c r="I69" s="10"/>
      <c r="J69" s="2">
        <v>26</v>
      </c>
      <c r="K69" s="10">
        <v>49</v>
      </c>
      <c r="L69" s="10">
        <v>51</v>
      </c>
      <c r="M69" s="10"/>
      <c r="N69" s="93"/>
      <c r="O69" s="13"/>
      <c r="P69" s="10">
        <v>91</v>
      </c>
      <c r="Q69" s="10"/>
      <c r="R69" s="2"/>
      <c r="S69" s="10"/>
      <c r="T69" s="13"/>
      <c r="U69" s="1">
        <f t="array" ref="U69">IF(AND(A69&lt;&gt;"",OR(ISNUMBER(B69:I69))),SUM(B69:I69),"")</f>
        <v>67</v>
      </c>
      <c r="V69" s="10">
        <f t="array" ref="V69">IF(AND(A69&lt;&gt;"",OR(ISNUMBER(J69:O69))),SUM(J69:O69),"")</f>
        <v>126</v>
      </c>
      <c r="W69" s="10">
        <f t="array" ref="W69">IF(AND(A69&lt;&gt;"",OR(ISNUMBER(P69),ISNUMBER(Q69))),SUM(MAX(P69:Q69),Q69),"")</f>
        <v>91</v>
      </c>
      <c r="X69" s="10" t="str">
        <f t="array" ref="X69">IF(AND(A69&lt;&gt;"",OR(ISNUMBER(S69),ISNUMBER(T69))),SUM(S69,T69),"")</f>
        <v/>
      </c>
      <c r="Y69" s="13">
        <v>1</v>
      </c>
      <c r="Z69" s="13">
        <f>IF(A69&lt;&gt;"",SUM(U69:Y69),"")</f>
        <v>285</v>
      </c>
      <c r="AA69" s="27">
        <f>IF(A69&lt;&gt;"",(Z69+Normalize_To_Add)/(Point_Total_So_Far)*100,"")</f>
        <v>93.442622950819683</v>
      </c>
      <c r="AB69" s="10">
        <f>IF(A69&lt;&gt;"",RANK(AA69,All_Student_XC),"")</f>
        <v>293</v>
      </c>
      <c r="AC69" s="32" t="str">
        <f>IF(A69&lt;&gt;"",CHOOSE(10-MIN(9,TRUNC((AA69+0.5)/10)),"A","B","C","D","F","F","F","F","F","F"),"")</f>
        <v>A</v>
      </c>
      <c r="AD69" s="31" t="str">
        <f>IF(A69&lt;&gt;"",IF(OR(AA69+0.5&gt;=93,AA69+0.5&lt;60),"",IF(MOD(AA69+0.5,10)&gt;=7,"+",IF(MOD(AA69+0.5,10)&lt;3,"-",""))),"")</f>
        <v/>
      </c>
      <c r="AE69" s="32">
        <f>IF(A69&lt;&gt;"",SUM(W69:X69,$W$8:$X$8)/SUM($W$2:$X$2)*100,"")</f>
        <v>91</v>
      </c>
      <c r="AF69" s="32" t="str">
        <f>IF(A69&lt;&gt;"",CHOOSE(10-MIN(9,TRUNC((AE69+0.5)/10)),"A","B","C","D","F","F","F","F","F","F"),"")</f>
        <v>A</v>
      </c>
      <c r="AG69" s="32" t="str">
        <f>IF(A69&lt;&gt;"",IF(OR(AE69+0.5&gt;=93,AE69+0.5&lt;60),"",IF(MOD(AE69+0.5,10)&gt;=7,"+",IF(MOD(AE69+0.5,10)&lt;3,"-",""))),"")</f>
        <v>-</v>
      </c>
      <c r="AH69" s="36">
        <f>IF(A69&lt;&gt;"",MIN(MAX(AA69,AE69),AA69+$AH$8,AE69+$AH$8),"")</f>
        <v>93.442622950819683</v>
      </c>
      <c r="AI69" s="32" t="str">
        <f>IF(A69&lt;&gt;"",CHOOSE(10-MIN(9,TRUNC((AH69+0.5)/10)),"A","B","C","D","F","F","F","F","F","F"),"")</f>
        <v>A</v>
      </c>
      <c r="AJ69" s="32" t="str">
        <f>IF(A69&lt;&gt;"",IF(OR(AH69+0.5&gt;=93,AH69+0.5&lt;60),"",IF(MOD(AH69+0.5,10)&gt;=7,"+",IF(MOD(AH69+0.5,10)&lt;3,"-",""))),"")</f>
        <v/>
      </c>
      <c r="AK69" s="71" t="b">
        <f>IF(A69&lt;&gt;"",OR(AI69&lt;&gt;AC69,AJ69&lt;&gt;AD69),"")</f>
        <v>0</v>
      </c>
      <c r="AL69" s="86">
        <f>IF(AND(A69&lt;&gt;"",U69&lt;&gt;""),SUM(U69,$AL$8)/$AL$2*100,"")</f>
        <v>89.333333333333329</v>
      </c>
      <c r="AM69" s="71">
        <f>IF(AND(A69&lt;&gt;"",V69&lt;&gt;""),SUM(V69,$AM$8)/$AM$2*100,"")</f>
        <v>96.92307692307692</v>
      </c>
      <c r="AN69" s="71">
        <f>IF(AND(A69&lt;&gt;"",ISNUMBER(P69),P69&gt;=0),SUM(P69,$AN$8)/$AN$2*100,"")</f>
        <v>91</v>
      </c>
      <c r="AO69" s="71" t="str">
        <f>IF(AND(A69&lt;&gt;"",ISNUMBER(Q69),Q69&gt;=0),SUM(Q69,$AO$8)/$AO$2*100,"")</f>
        <v/>
      </c>
      <c r="AP69" s="24" t="str">
        <f>IF(AND(A69&lt;&gt;"",R69&lt;&gt;""),SUM(R69,$AP$8)/$AP$2*100,"")</f>
        <v/>
      </c>
      <c r="AQ69" s="24">
        <f>IF(AND(A69&lt;&gt;"",ISNUMBER(W69),W69&gt;=0),SUM(W69,$AQ$8)/$AQ$2*100,"")</f>
        <v>91</v>
      </c>
      <c r="AR69" s="24" t="str">
        <f>IF(AND(A69&lt;&gt;"",T69&gt;0,ISNUMBER(T69)),SUM(T69,$AR$8)/$AR$2*100,"")</f>
        <v/>
      </c>
      <c r="AS69" s="24" t="str">
        <f>IF(AND(A69&lt;&gt;"",X69&lt;&gt;""),SUM(X69,$AS$8)/$AS$2*100,"")</f>
        <v/>
      </c>
      <c r="AT69" s="89">
        <f>IF(AND(A69&lt;&gt;"",OR(ISNUMBER(W69),ISNUMBER(X69))),SUM(W69:X69,$AT$8)/$AT$2*100,"")</f>
        <v>91</v>
      </c>
      <c r="AU69" s="24">
        <f>AA69</f>
        <v>93.442622950819683</v>
      </c>
      <c r="AV69" s="71"/>
      <c r="AW69" s="27">
        <f>IF(A69&lt;&gt;"",AE69-AA69,"")</f>
        <v>-2.4426229508196826</v>
      </c>
      <c r="AY69" s="27" t="b">
        <f>S69&gt;R69</f>
        <v>0</v>
      </c>
      <c r="BA69" s="27" t="e">
        <f>AND(AA69&gt;$BA$3,(W69+$W$8)/$W$2&lt;$BB$3,(X69+$X$8)/$X$2&lt;$BB$3)</f>
        <v>#VALUE!</v>
      </c>
      <c r="BB69" s="27" t="e">
        <f>AND(AA69&lt;$BA$3,AND(W69/$W$2&gt;$BB$3,X69/$X$2&gt;$BB$3))</f>
        <v>#VALUE!</v>
      </c>
      <c r="BC69" s="27" t="e">
        <f>AND(AA69&lt;$BA$3,OR(W69/$W$2&gt;$BB$3,X69/$X$2&gt;$BB$3))</f>
        <v>#VALUE!</v>
      </c>
      <c r="BE69" s="32" t="s">
        <v>84</v>
      </c>
    </row>
    <row r="70" spans="1:57" s="27" customFormat="1" ht="12.75" customHeight="1" x14ac:dyDescent="0.2">
      <c r="A70" s="10">
        <v>97160</v>
      </c>
      <c r="B70" s="2">
        <v>21</v>
      </c>
      <c r="C70" s="10">
        <v>20</v>
      </c>
      <c r="D70" s="10">
        <v>22</v>
      </c>
      <c r="E70" s="10"/>
      <c r="F70" s="10"/>
      <c r="G70" s="3"/>
      <c r="H70" s="10"/>
      <c r="I70" s="10"/>
      <c r="J70" s="2">
        <v>30</v>
      </c>
      <c r="K70" s="10">
        <v>29</v>
      </c>
      <c r="L70" s="10">
        <v>41</v>
      </c>
      <c r="M70" s="10"/>
      <c r="N70" s="10"/>
      <c r="O70" s="12"/>
      <c r="P70" s="7">
        <v>100</v>
      </c>
      <c r="Q70" s="7"/>
      <c r="R70" s="2"/>
      <c r="S70" s="10"/>
      <c r="T70" s="13"/>
      <c r="U70" s="77">
        <f t="array" ref="U70">IF(AND(A70&lt;&gt;"",OR(ISNUMBER(B70:I70))),SUM(B70:I70),"")</f>
        <v>63</v>
      </c>
      <c r="V70" s="10">
        <f t="array" ref="V70">IF(AND(A70&lt;&gt;"",OR(ISNUMBER(J70:O70))),SUM(J70:O70),"")</f>
        <v>100</v>
      </c>
      <c r="W70" s="10">
        <f t="array" ref="W70">IF(AND(A70&lt;&gt;"",OR(ISNUMBER(P70),ISNUMBER(Q70))),SUM(MAX(P70:Q70),Q70),"")</f>
        <v>100</v>
      </c>
      <c r="X70" s="10" t="str">
        <f t="array" ref="X70">IF(AND(A70&lt;&gt;"",OR(ISNUMBER(S70),ISNUMBER(T70))),SUM(S70,T70),"")</f>
        <v/>
      </c>
      <c r="Y70" s="13">
        <v>1</v>
      </c>
      <c r="Z70" s="13">
        <f>IF(A70&lt;&gt;"",SUM(U70:Y70),"")</f>
        <v>264</v>
      </c>
      <c r="AA70" s="27">
        <f>IF(A70&lt;&gt;"",(Z70+Normalize_To_Add)/(Point_Total_So_Far)*100,"")</f>
        <v>86.557377049180332</v>
      </c>
      <c r="AB70" s="10">
        <f>IF(A70&lt;&gt;"",RANK(AA70,All_Student_XC),"")</f>
        <v>367</v>
      </c>
      <c r="AC70" s="32" t="str">
        <f>IF(A70&lt;&gt;"",CHOOSE(10-MIN(9,TRUNC((AA70+0.5)/10)),"A","B","C","D","F","F","F","F","F","F"),"")</f>
        <v>B</v>
      </c>
      <c r="AD70" s="32" t="str">
        <f>IF(A70&lt;&gt;"",IF(OR(AA70+0.5&gt;=93,AA70+0.5&lt;60),"",IF(MOD(AA70+0.5,10)&gt;=7,"+",IF(MOD(AA70+0.5,10)&lt;3,"-",""))),"")</f>
        <v>+</v>
      </c>
      <c r="AE70" s="32">
        <f>IF(A70&lt;&gt;"",SUM(W70:X70,$W$8:$X$8)/SUM($W$2:$X$2)*100,"")</f>
        <v>100</v>
      </c>
      <c r="AF70" s="32" t="str">
        <f>IF(A70&lt;&gt;"",CHOOSE(10-MIN(9,TRUNC((AE70+0.5)/10)),"A","B","C","D","F","F","F","F","F","F"),"")</f>
        <v>A</v>
      </c>
      <c r="AG70" s="32" t="str">
        <f>IF(A70&lt;&gt;"",IF(OR(AE70+0.5&gt;=93,AE70+0.5&lt;60),"",IF(MOD(AE70+0.5,10)&gt;=7,"+",IF(MOD(AE70+0.5,10)&lt;3,"-",""))),"")</f>
        <v/>
      </c>
      <c r="AH70" s="36">
        <f>IF(A70&lt;&gt;"",MIN(MAX(AA70,AE70),AA70+$AH$8,AE70+$AH$8),"")</f>
        <v>100</v>
      </c>
      <c r="AI70" s="32" t="str">
        <f>IF(A70&lt;&gt;"",CHOOSE(10-MIN(9,TRUNC((AH70+0.5)/10)),"A","B","C","D","F","F","F","F","F","F"),"")</f>
        <v>A</v>
      </c>
      <c r="AJ70" s="32" t="str">
        <f>IF(A70&lt;&gt;"",IF(OR(AH70+0.5&gt;=93,AH70+0.5&lt;60),"",IF(MOD(AH70+0.5,10)&gt;=7,"+",IF(MOD(AH70+0.5,10)&lt;3,"-",""))),"")</f>
        <v/>
      </c>
      <c r="AK70" s="32" t="b">
        <f>IF(A70&lt;&gt;"",OR(AI70&lt;&gt;AC70,AJ70&lt;&gt;AD70),"")</f>
        <v>1</v>
      </c>
      <c r="AL70" s="84">
        <f>IF(AND(A70&lt;&gt;"",U70&lt;&gt;""),SUM(U70,$AL$8)/$AL$2*100,"")</f>
        <v>84</v>
      </c>
      <c r="AM70" s="24">
        <f>IF(AND(A70&lt;&gt;"",V70&lt;&gt;""),SUM(V70,$AM$8)/$AM$2*100,"")</f>
        <v>76.923076923076934</v>
      </c>
      <c r="AN70" s="24">
        <f>IF(AND(A70&lt;&gt;"",ISNUMBER(P70),P70&gt;=0),SUM(P70,$AN$8)/$AN$2*100,"")</f>
        <v>100</v>
      </c>
      <c r="AO70" s="24" t="str">
        <f>IF(AND(A70&lt;&gt;"",ISNUMBER(Q70),Q70&gt;=0),SUM(Q70,$AO$8)/$AO$2*100,"")</f>
        <v/>
      </c>
      <c r="AP70" s="24" t="str">
        <f>IF(AND(A70&lt;&gt;"",R70&lt;&gt;""),SUM(R70,$AP$8)/$AP$2*100,"")</f>
        <v/>
      </c>
      <c r="AQ70" s="24">
        <f>IF(AND(A70&lt;&gt;"",ISNUMBER(W70),W70&gt;=0),SUM(W70,$AQ$8)/$AQ$2*100,"")</f>
        <v>100</v>
      </c>
      <c r="AR70" s="24" t="str">
        <f>IF(AND(A70&lt;&gt;"",T70&gt;0,ISNUMBER(T70)),SUM(T70,$AR$8)/$AR$2*100,"")</f>
        <v/>
      </c>
      <c r="AS70" s="24" t="str">
        <f>IF(AND(A70&lt;&gt;"",X70&lt;&gt;""),SUM(X70,$AS$8)/$AS$2*100,"")</f>
        <v/>
      </c>
      <c r="AT70" s="89">
        <f>IF(AND(A70&lt;&gt;"",OR(ISNUMBER(W70),ISNUMBER(X70))),SUM(W70:X70,$AT$8)/$AT$2*100,"")</f>
        <v>100</v>
      </c>
      <c r="AU70" s="24">
        <f>AA70</f>
        <v>86.557377049180332</v>
      </c>
      <c r="AV70" s="24"/>
      <c r="AW70" s="27">
        <f>IF(A70&lt;&gt;"",AE70-AA70,"")</f>
        <v>13.442622950819668</v>
      </c>
      <c r="AY70" s="27" t="b">
        <f>S70&gt;R70</f>
        <v>0</v>
      </c>
      <c r="BA70" s="27" t="e">
        <f>AND(AA70&gt;$BA$3,(W70+$W$8)/$W$2&lt;$BB$3,(X70+$X$8)/$X$2&lt;$BB$3)</f>
        <v>#VALUE!</v>
      </c>
      <c r="BB70" s="27" t="e">
        <f>AND(AA70&lt;$BA$3,AND(W70/$W$2&gt;$BB$3,X70/$X$2&gt;$BB$3))</f>
        <v>#VALUE!</v>
      </c>
      <c r="BC70" s="27" t="e">
        <f>AND(AA70&lt;$BA$3,OR(W70/$W$2&gt;$BB$3,X70/$X$2&gt;$BB$3))</f>
        <v>#VALUE!</v>
      </c>
      <c r="BE70" s="32" t="s">
        <v>85</v>
      </c>
    </row>
    <row r="71" spans="1:57" s="27" customFormat="1" ht="12.75" customHeight="1" x14ac:dyDescent="0.2">
      <c r="A71" s="10">
        <v>98721</v>
      </c>
      <c r="B71" s="2">
        <v>10</v>
      </c>
      <c r="C71" s="10">
        <v>2</v>
      </c>
      <c r="D71" s="10">
        <v>12</v>
      </c>
      <c r="E71" s="10"/>
      <c r="F71" s="10"/>
      <c r="G71" s="10"/>
      <c r="H71" s="10"/>
      <c r="I71" s="10"/>
      <c r="J71" s="2">
        <v>24</v>
      </c>
      <c r="K71" s="10">
        <v>5</v>
      </c>
      <c r="L71" s="10">
        <v>38</v>
      </c>
      <c r="M71" s="10"/>
      <c r="N71" s="93"/>
      <c r="O71" s="13"/>
      <c r="P71" s="10">
        <v>60</v>
      </c>
      <c r="Q71" s="10"/>
      <c r="R71" s="2"/>
      <c r="S71" s="10"/>
      <c r="T71" s="13"/>
      <c r="U71" s="1">
        <f t="array" ref="U71">IF(AND(A71&lt;&gt;"",OR(ISNUMBER(B71:I71))),SUM(B71:I71),"")</f>
        <v>24</v>
      </c>
      <c r="V71" s="10">
        <f t="array" ref="V71">IF(AND(A71&lt;&gt;"",OR(ISNUMBER(J71:O71))),SUM(J71:O71),"")</f>
        <v>67</v>
      </c>
      <c r="W71" s="10">
        <f t="array" ref="W71">IF(AND(A71&lt;&gt;"",OR(ISNUMBER(P71),ISNUMBER(Q71))),SUM(MAX(P71:Q71),Q71),"")</f>
        <v>60</v>
      </c>
      <c r="X71" s="10" t="str">
        <f t="array" ref="X71">IF(AND(A71&lt;&gt;"",OR(ISNUMBER(S71),ISNUMBER(T71))),SUM(S71,T71),"")</f>
        <v/>
      </c>
      <c r="Y71" s="13">
        <v>1</v>
      </c>
      <c r="Z71" s="13">
        <f>IF(A71&lt;&gt;"",SUM(U71:Y71),"")</f>
        <v>152</v>
      </c>
      <c r="AA71" s="27">
        <f>IF(A71&lt;&gt;"",(Z71+Normalize_To_Add)/(Point_Total_So_Far)*100,"")</f>
        <v>49.836065573770497</v>
      </c>
      <c r="AB71" s="10">
        <f>IF(A71&lt;&gt;"",RANK(AA71,All_Student_XC),"")</f>
        <v>492</v>
      </c>
      <c r="AC71" s="32" t="str">
        <f>IF(A71&lt;&gt;"",CHOOSE(10-MIN(9,TRUNC((AA71+0.5)/10)),"A","B","C","D","F","F","F","F","F","F"),"")</f>
        <v>F</v>
      </c>
      <c r="AD71" s="31" t="str">
        <f>IF(A71&lt;&gt;"",IF(OR(AA71+0.5&gt;=93,AA71+0.5&lt;60),"",IF(MOD(AA71+0.5,10)&gt;=7,"+",IF(MOD(AA71+0.5,10)&lt;3,"-",""))),"")</f>
        <v/>
      </c>
      <c r="AE71" s="32">
        <f>IF(A71&lt;&gt;"",SUM(W71:X71,$W$8:$X$8)/SUM($W$2:$X$2)*100,"")</f>
        <v>60</v>
      </c>
      <c r="AF71" s="32" t="str">
        <f>IF(A71&lt;&gt;"",CHOOSE(10-MIN(9,TRUNC((AE71+0.5)/10)),"A","B","C","D","F","F","F","F","F","F"),"")</f>
        <v>D</v>
      </c>
      <c r="AG71" s="32" t="str">
        <f>IF(A71&lt;&gt;"",IF(OR(AE71+0.5&gt;=93,AE71+0.5&lt;60),"",IF(MOD(AE71+0.5,10)&gt;=7,"+",IF(MOD(AE71+0.5,10)&lt;3,"-",""))),"")</f>
        <v>-</v>
      </c>
      <c r="AH71" s="36">
        <f>IF(A71&lt;&gt;"",MIN(MAX(AA71,AE71),AA71+$AH$8,AE71+$AH$8),"")</f>
        <v>60</v>
      </c>
      <c r="AI71" s="32" t="str">
        <f>IF(A71&lt;&gt;"",CHOOSE(10-MIN(9,TRUNC((AH71+0.5)/10)),"A","B","C","D","F","F","F","F","F","F"),"")</f>
        <v>D</v>
      </c>
      <c r="AJ71" s="32" t="str">
        <f>IF(A71&lt;&gt;"",IF(OR(AH71+0.5&gt;=93,AH71+0.5&lt;60),"",IF(MOD(AH71+0.5,10)&gt;=7,"+",IF(MOD(AH71+0.5,10)&lt;3,"-",""))),"")</f>
        <v>-</v>
      </c>
      <c r="AK71" s="71" t="b">
        <f>IF(A71&lt;&gt;"",OR(AI71&lt;&gt;AC71,AJ71&lt;&gt;AD71),"")</f>
        <v>1</v>
      </c>
      <c r="AL71" s="86">
        <f>IF(AND(A71&lt;&gt;"",U71&lt;&gt;""),SUM(U71,$AL$8)/$AL$2*100,"")</f>
        <v>32</v>
      </c>
      <c r="AM71" s="71">
        <f>IF(AND(A71&lt;&gt;"",V71&lt;&gt;""),SUM(V71,$AM$8)/$AM$2*100,"")</f>
        <v>51.538461538461533</v>
      </c>
      <c r="AN71" s="71">
        <f>IF(AND(A71&lt;&gt;"",ISNUMBER(P71),P71&gt;=0),SUM(P71,$AN$8)/$AN$2*100,"")</f>
        <v>60</v>
      </c>
      <c r="AO71" s="71" t="str">
        <f>IF(AND(A71&lt;&gt;"",ISNUMBER(Q71),Q71&gt;=0),SUM(Q71,$AO$8)/$AO$2*100,"")</f>
        <v/>
      </c>
      <c r="AP71" s="24" t="str">
        <f>IF(AND(A71&lt;&gt;"",R71&lt;&gt;""),SUM(R71,$AP$8)/$AP$2*100,"")</f>
        <v/>
      </c>
      <c r="AQ71" s="24">
        <f>IF(AND(A71&lt;&gt;"",ISNUMBER(W71),W71&gt;=0),SUM(W71,$AQ$8)/$AQ$2*100,"")</f>
        <v>60</v>
      </c>
      <c r="AR71" s="24" t="str">
        <f>IF(AND(A71&lt;&gt;"",T71&gt;0,ISNUMBER(T71)),SUM(T71,$AR$8)/$AR$2*100,"")</f>
        <v/>
      </c>
      <c r="AS71" s="24" t="str">
        <f>IF(AND(A71&lt;&gt;"",X71&lt;&gt;""),SUM(X71,$AS$8)/$AS$2*100,"")</f>
        <v/>
      </c>
      <c r="AT71" s="89">
        <f>IF(AND(A71&lt;&gt;"",OR(ISNUMBER(W71),ISNUMBER(X71))),SUM(W71:X71,$AT$8)/$AT$2*100,"")</f>
        <v>60</v>
      </c>
      <c r="AU71" s="24">
        <f>AA71</f>
        <v>49.836065573770497</v>
      </c>
      <c r="AV71" s="71"/>
      <c r="AW71" s="27">
        <f>IF(A71&lt;&gt;"",AE71-AA71,"")</f>
        <v>10.163934426229503</v>
      </c>
      <c r="AY71" s="27" t="b">
        <f>S71&gt;R71</f>
        <v>0</v>
      </c>
      <c r="BA71" s="27" t="e">
        <f>AND(AA71&gt;$BA$3,(W71+$W$8)/$W$2&lt;$BB$3,(X71+$X$8)/$X$2&lt;$BB$3)</f>
        <v>#VALUE!</v>
      </c>
      <c r="BB71" s="27" t="e">
        <f>AND(AA71&lt;$BA$3,AND(W71/$W$2&gt;$BB$3,X71/$X$2&gt;$BB$3))</f>
        <v>#VALUE!</v>
      </c>
      <c r="BC71" s="27" t="e">
        <f>AND(AA71&lt;$BA$3,OR(W71/$W$2&gt;$BB$3,X71/$X$2&gt;$BB$3))</f>
        <v>#VALUE!</v>
      </c>
      <c r="BE71" s="32">
        <v>32</v>
      </c>
    </row>
    <row r="72" spans="1:57" s="27" customFormat="1" ht="12.75" customHeight="1" x14ac:dyDescent="0.2">
      <c r="A72" s="10">
        <v>98814</v>
      </c>
      <c r="B72" s="2">
        <v>23</v>
      </c>
      <c r="C72" s="10">
        <v>21</v>
      </c>
      <c r="D72" s="10">
        <v>25</v>
      </c>
      <c r="E72" s="10"/>
      <c r="F72" s="10"/>
      <c r="G72" s="10"/>
      <c r="H72" s="10"/>
      <c r="I72" s="10"/>
      <c r="J72" s="2">
        <v>21</v>
      </c>
      <c r="K72" s="10">
        <v>34</v>
      </c>
      <c r="L72" s="10">
        <v>52</v>
      </c>
      <c r="M72" s="10"/>
      <c r="N72" s="93"/>
      <c r="O72" s="13"/>
      <c r="P72" s="10">
        <v>101</v>
      </c>
      <c r="Q72" s="10"/>
      <c r="R72" s="2"/>
      <c r="S72" s="10"/>
      <c r="T72" s="13"/>
      <c r="U72" s="1">
        <f t="array" ref="U72">IF(AND(A72&lt;&gt;"",OR(ISNUMBER(B72:I72))),SUM(B72:I72),"")</f>
        <v>69</v>
      </c>
      <c r="V72" s="10">
        <f t="array" ref="V72">IF(AND(A72&lt;&gt;"",OR(ISNUMBER(J72:O72))),SUM(J72:O72),"")</f>
        <v>107</v>
      </c>
      <c r="W72" s="10">
        <f t="array" ref="W72">IF(AND(A72&lt;&gt;"",OR(ISNUMBER(P72),ISNUMBER(Q72))),SUM(MAX(P72:Q72),Q72),"")</f>
        <v>101</v>
      </c>
      <c r="X72" s="10" t="str">
        <f t="array" ref="X72">IF(AND(A72&lt;&gt;"",OR(ISNUMBER(S72),ISNUMBER(T72))),SUM(S72,T72),"")</f>
        <v/>
      </c>
      <c r="Y72" s="13">
        <v>1</v>
      </c>
      <c r="Z72" s="13">
        <f>IF(A72&lt;&gt;"",SUM(U72:Y72),"")</f>
        <v>278</v>
      </c>
      <c r="AA72" s="27">
        <f>IF(A72&lt;&gt;"",(Z72+Normalize_To_Add)/(Point_Total_So_Far)*100,"")</f>
        <v>91.147540983606561</v>
      </c>
      <c r="AB72" s="10">
        <f>IF(A72&lt;&gt;"",RANK(AA72,All_Student_XC),"")</f>
        <v>320</v>
      </c>
      <c r="AC72" s="32" t="str">
        <f>IF(A72&lt;&gt;"",CHOOSE(10-MIN(9,TRUNC((AA72+0.5)/10)),"A","B","C","D","F","F","F","F","F","F"),"")</f>
        <v>A</v>
      </c>
      <c r="AD72" s="31" t="str">
        <f>IF(A72&lt;&gt;"",IF(OR(AA72+0.5&gt;=93,AA72+0.5&lt;60),"",IF(MOD(AA72+0.5,10)&gt;=7,"+",IF(MOD(AA72+0.5,10)&lt;3,"-",""))),"")</f>
        <v>-</v>
      </c>
      <c r="AE72" s="32">
        <f>IF(A72&lt;&gt;"",SUM(W72:X72,$W$8:$X$8)/SUM($W$2:$X$2)*100,"")</f>
        <v>101</v>
      </c>
      <c r="AF72" s="32" t="str">
        <f>IF(A72&lt;&gt;"",CHOOSE(10-MIN(9,TRUNC((AE72+0.5)/10)),"A","B","C","D","F","F","F","F","F","F"),"")</f>
        <v>A</v>
      </c>
      <c r="AG72" s="32" t="str">
        <f>IF(A72&lt;&gt;"",IF(OR(AE72+0.5&gt;=93,AE72+0.5&lt;60),"",IF(MOD(AE72+0.5,10)&gt;=7,"+",IF(MOD(AE72+0.5,10)&lt;3,"-",""))),"")</f>
        <v/>
      </c>
      <c r="AH72" s="36">
        <f>IF(A72&lt;&gt;"",MIN(MAX(AA72,AE72),AA72+$AH$8,AE72+$AH$8),"")</f>
        <v>101</v>
      </c>
      <c r="AI72" s="32" t="str">
        <f>IF(A72&lt;&gt;"",CHOOSE(10-MIN(9,TRUNC((AH72+0.5)/10)),"A","B","C","D","F","F","F","F","F","F"),"")</f>
        <v>A</v>
      </c>
      <c r="AJ72" s="32" t="str">
        <f>IF(A72&lt;&gt;"",IF(OR(AH72+0.5&gt;=93,AH72+0.5&lt;60),"",IF(MOD(AH72+0.5,10)&gt;=7,"+",IF(MOD(AH72+0.5,10)&lt;3,"-",""))),"")</f>
        <v/>
      </c>
      <c r="AK72" s="71" t="b">
        <f>IF(A72&lt;&gt;"",OR(AI72&lt;&gt;AC72,AJ72&lt;&gt;AD72),"")</f>
        <v>1</v>
      </c>
      <c r="AL72" s="86">
        <f>IF(AND(A72&lt;&gt;"",U72&lt;&gt;""),SUM(U72,$AL$8)/$AL$2*100,"")</f>
        <v>92</v>
      </c>
      <c r="AM72" s="71">
        <f>IF(AND(A72&lt;&gt;"",V72&lt;&gt;""),SUM(V72,$AM$8)/$AM$2*100,"")</f>
        <v>82.307692307692307</v>
      </c>
      <c r="AN72" s="71">
        <f>IF(AND(A72&lt;&gt;"",ISNUMBER(P72),P72&gt;=0),SUM(P72,$AN$8)/$AN$2*100,"")</f>
        <v>101</v>
      </c>
      <c r="AO72" s="71" t="str">
        <f>IF(AND(A72&lt;&gt;"",ISNUMBER(Q72),Q72&gt;=0),SUM(Q72,$AO$8)/$AO$2*100,"")</f>
        <v/>
      </c>
      <c r="AP72" s="24" t="str">
        <f>IF(AND(A72&lt;&gt;"",R72&lt;&gt;""),SUM(R72,$AP$8)/$AP$2*100,"")</f>
        <v/>
      </c>
      <c r="AQ72" s="24">
        <f>IF(AND(A72&lt;&gt;"",ISNUMBER(W72),W72&gt;=0),SUM(W72,$AQ$8)/$AQ$2*100,"")</f>
        <v>101</v>
      </c>
      <c r="AR72" s="24" t="str">
        <f>IF(AND(A72&lt;&gt;"",T72&gt;0,ISNUMBER(T72)),SUM(T72,$AR$8)/$AR$2*100,"")</f>
        <v/>
      </c>
      <c r="AS72" s="24" t="str">
        <f>IF(AND(A72&lt;&gt;"",X72&lt;&gt;""),SUM(X72,$AS$8)/$AS$2*100,"")</f>
        <v/>
      </c>
      <c r="AT72" s="89">
        <f>IF(AND(A72&lt;&gt;"",OR(ISNUMBER(W72),ISNUMBER(X72))),SUM(W72:X72,$AT$8)/$AT$2*100,"")</f>
        <v>101</v>
      </c>
      <c r="AU72" s="24">
        <f>AA72</f>
        <v>91.147540983606561</v>
      </c>
      <c r="AV72" s="71"/>
      <c r="AW72" s="27">
        <f>IF(A72&lt;&gt;"",AE72-AA72,"")</f>
        <v>9.8524590163934391</v>
      </c>
      <c r="AY72" s="27" t="b">
        <f>S72&gt;R72</f>
        <v>0</v>
      </c>
      <c r="BA72" s="27" t="e">
        <f>AND(AA72&gt;$BA$3,(W72+$W$8)/$W$2&lt;$BB$3,(X72+$X$8)/$X$2&lt;$BB$3)</f>
        <v>#VALUE!</v>
      </c>
      <c r="BB72" s="27" t="e">
        <f>AND(AA72&lt;$BA$3,AND(W72/$W$2&gt;$BB$3,X72/$X$2&gt;$BB$3))</f>
        <v>#VALUE!</v>
      </c>
      <c r="BC72" s="27" t="e">
        <f>AND(AA72&lt;$BA$3,OR(W72/$W$2&gt;$BB$3,X72/$X$2&gt;$BB$3))</f>
        <v>#VALUE!</v>
      </c>
      <c r="BE72" s="32" t="s">
        <v>84</v>
      </c>
    </row>
    <row r="73" spans="1:57" s="27" customFormat="1" ht="12.75" customHeight="1" x14ac:dyDescent="0.2">
      <c r="A73" s="10">
        <v>100322</v>
      </c>
      <c r="B73" s="2">
        <v>25</v>
      </c>
      <c r="C73" s="10">
        <v>25</v>
      </c>
      <c r="D73" s="10">
        <v>25</v>
      </c>
      <c r="E73" s="10"/>
      <c r="F73" s="10"/>
      <c r="G73" s="10"/>
      <c r="H73" s="10"/>
      <c r="I73" s="10"/>
      <c r="J73" s="2">
        <v>32</v>
      </c>
      <c r="K73" s="10">
        <v>51</v>
      </c>
      <c r="L73" s="10">
        <v>51</v>
      </c>
      <c r="M73" s="10"/>
      <c r="N73" s="10"/>
      <c r="O73" s="13"/>
      <c r="P73" s="10">
        <v>101</v>
      </c>
      <c r="Q73" s="10"/>
      <c r="R73" s="2"/>
      <c r="S73" s="10"/>
      <c r="T73" s="13"/>
      <c r="U73" s="1">
        <f t="array" ref="U73">IF(AND(A73&lt;&gt;"",OR(ISNUMBER(B73:I73))),SUM(B73:I73),"")</f>
        <v>75</v>
      </c>
      <c r="V73" s="10">
        <f t="array" ref="V73">IF(AND(A73&lt;&gt;"",OR(ISNUMBER(J73:O73))),SUM(J73:O73),"")</f>
        <v>134</v>
      </c>
      <c r="W73" s="10">
        <f t="array" ref="W73">IF(AND(A73&lt;&gt;"",OR(ISNUMBER(P73),ISNUMBER(Q73))),SUM(MAX(P73:Q73),Q73),"")</f>
        <v>101</v>
      </c>
      <c r="X73" s="10" t="str">
        <f t="array" ref="X73">IF(AND(A73&lt;&gt;"",OR(ISNUMBER(S73),ISNUMBER(T73))),SUM(S73,T73),"")</f>
        <v/>
      </c>
      <c r="Y73" s="13">
        <v>1</v>
      </c>
      <c r="Z73" s="13">
        <f>IF(A73&lt;&gt;"",SUM(U73:Y73),"")</f>
        <v>311</v>
      </c>
      <c r="AA73" s="27">
        <f>IF(A73&lt;&gt;"",(Z73+Normalize_To_Add)/(Point_Total_So_Far)*100,"")</f>
        <v>101.9672131147541</v>
      </c>
      <c r="AB73" s="10">
        <f>IF(A73&lt;&gt;"",RANK(AA73,All_Student_XC),"")</f>
        <v>7</v>
      </c>
      <c r="AC73" s="32" t="str">
        <f>IF(A73&lt;&gt;"",CHOOSE(10-MIN(9,TRUNC((AA73+0.5)/10)),"A","B","C","D","F","F","F","F","F","F"),"")</f>
        <v>A</v>
      </c>
      <c r="AD73" s="31" t="str">
        <f>IF(A73&lt;&gt;"",IF(OR(AA73+0.5&gt;=93,AA73+0.5&lt;60),"",IF(MOD(AA73+0.5,10)&gt;=7,"+",IF(MOD(AA73+0.5,10)&lt;3,"-",""))),"")</f>
        <v/>
      </c>
      <c r="AE73" s="32">
        <f>IF(A73&lt;&gt;"",SUM(W73:X73,$W$8:$X$8)/SUM($W$2:$X$2)*100,"")</f>
        <v>101</v>
      </c>
      <c r="AF73" s="32" t="str">
        <f>IF(A73&lt;&gt;"",CHOOSE(10-MIN(9,TRUNC((AE73+0.5)/10)),"A","B","C","D","F","F","F","F","F","F"),"")</f>
        <v>A</v>
      </c>
      <c r="AG73" s="32" t="str">
        <f>IF(A73&lt;&gt;"",IF(OR(AE73+0.5&gt;=93,AE73+0.5&lt;60),"",IF(MOD(AE73+0.5,10)&gt;=7,"+",IF(MOD(AE73+0.5,10)&lt;3,"-",""))),"")</f>
        <v/>
      </c>
      <c r="AH73" s="36">
        <f>IF(A73&lt;&gt;"",MIN(MAX(AA73,AE73),AA73+$AH$8,AE73+$AH$8),"")</f>
        <v>101.9672131147541</v>
      </c>
      <c r="AI73" s="32" t="str">
        <f>IF(A73&lt;&gt;"",CHOOSE(10-MIN(9,TRUNC((AH73+0.5)/10)),"A","B","C","D","F","F","F","F","F","F"),"")</f>
        <v>A</v>
      </c>
      <c r="AJ73" s="32" t="str">
        <f>IF(A73&lt;&gt;"",IF(OR(AH73+0.5&gt;=93,AH73+0.5&lt;60),"",IF(MOD(AH73+0.5,10)&gt;=7,"+",IF(MOD(AH73+0.5,10)&lt;3,"-",""))),"")</f>
        <v/>
      </c>
      <c r="AK73" s="71" t="b">
        <f>IF(A73&lt;&gt;"",OR(AI73&lt;&gt;AC73,AJ73&lt;&gt;AD73),"")</f>
        <v>0</v>
      </c>
      <c r="AL73" s="86">
        <f>IF(AND(A73&lt;&gt;"",U73&lt;&gt;""),SUM(U73,$AL$8)/$AL$2*100,"")</f>
        <v>100</v>
      </c>
      <c r="AM73" s="71">
        <f>IF(AND(A73&lt;&gt;"",V73&lt;&gt;""),SUM(V73,$AM$8)/$AM$2*100,"")</f>
        <v>103.07692307692307</v>
      </c>
      <c r="AN73" s="71">
        <f>IF(AND(A73&lt;&gt;"",ISNUMBER(P73),P73&gt;=0),SUM(P73,$AN$8)/$AN$2*100,"")</f>
        <v>101</v>
      </c>
      <c r="AO73" s="71" t="str">
        <f>IF(AND(A73&lt;&gt;"",ISNUMBER(Q73),Q73&gt;=0),SUM(Q73,$AO$8)/$AO$2*100,"")</f>
        <v/>
      </c>
      <c r="AP73" s="24" t="str">
        <f>IF(AND(A73&lt;&gt;"",R73&lt;&gt;""),SUM(R73,$AP$8)/$AP$2*100,"")</f>
        <v/>
      </c>
      <c r="AQ73" s="24">
        <f>IF(AND(A73&lt;&gt;"",ISNUMBER(W73),W73&gt;=0),SUM(W73,$AQ$8)/$AQ$2*100,"")</f>
        <v>101</v>
      </c>
      <c r="AR73" s="24" t="str">
        <f>IF(AND(A73&lt;&gt;"",T73&gt;0,ISNUMBER(T73)),SUM(T73,$AR$8)/$AR$2*100,"")</f>
        <v/>
      </c>
      <c r="AS73" s="24" t="str">
        <f>IF(AND(A73&lt;&gt;"",X73&lt;&gt;""),SUM(X73,$AS$8)/$AS$2*100,"")</f>
        <v/>
      </c>
      <c r="AT73" s="89">
        <f>IF(AND(A73&lt;&gt;"",OR(ISNUMBER(W73),ISNUMBER(X73))),SUM(W73:X73,$AT$8)/$AT$2*100,"")</f>
        <v>101</v>
      </c>
      <c r="AU73" s="24">
        <f>AA73</f>
        <v>101.9672131147541</v>
      </c>
      <c r="AV73" s="71"/>
      <c r="AW73" s="27">
        <f>IF(A73&lt;&gt;"",AE73-AA73,"")</f>
        <v>-0.96721311475410232</v>
      </c>
      <c r="AY73" s="27" t="b">
        <f>S73&gt;R73</f>
        <v>0</v>
      </c>
      <c r="BA73" s="27" t="e">
        <f>AND(AA73&gt;$BA$3,(W73+$W$8)/$W$2&lt;$BB$3,(X73+$X$8)/$X$2&lt;$BB$3)</f>
        <v>#VALUE!</v>
      </c>
      <c r="BB73" s="27" t="e">
        <f>AND(AA73&lt;$BA$3,AND(W73/$W$2&gt;$BB$3,X73/$X$2&gt;$BB$3))</f>
        <v>#VALUE!</v>
      </c>
      <c r="BC73" s="27" t="e">
        <f>AND(AA73&lt;$BA$3,OR(W73/$W$2&gt;$BB$3,X73/$X$2&gt;$BB$3))</f>
        <v>#VALUE!</v>
      </c>
      <c r="BE73" s="32">
        <v>32</v>
      </c>
    </row>
    <row r="74" spans="1:57" s="27" customFormat="1" ht="12.75" customHeight="1" x14ac:dyDescent="0.2">
      <c r="A74" s="56">
        <v>101870</v>
      </c>
      <c r="B74" s="2">
        <v>9</v>
      </c>
      <c r="C74" s="10" t="s">
        <v>67</v>
      </c>
      <c r="D74" s="10" t="s">
        <v>67</v>
      </c>
      <c r="E74" s="10"/>
      <c r="F74" s="10"/>
      <c r="G74" s="10"/>
      <c r="H74" s="10"/>
      <c r="I74" s="10"/>
      <c r="J74" s="2">
        <v>25</v>
      </c>
      <c r="K74" s="10" t="s">
        <v>67</v>
      </c>
      <c r="L74" s="10" t="s">
        <v>67</v>
      </c>
      <c r="M74" s="10"/>
      <c r="N74" s="93"/>
      <c r="O74" s="12"/>
      <c r="P74" s="10">
        <v>40</v>
      </c>
      <c r="Q74" s="41"/>
      <c r="R74" s="2"/>
      <c r="S74" s="10"/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 t="str">
        <f t="array" ref="X74">IF(AND(A74&lt;&gt;"",OR(ISNUMBER(S74),ISNUMBER(T74))),SUM(S74,T74),"")</f>
        <v/>
      </c>
      <c r="Y74" s="13">
        <v>1</v>
      </c>
      <c r="Z74" s="13">
        <f>IF(A74&lt;&gt;"",SUM(U74:Y74),"")</f>
        <v>75</v>
      </c>
      <c r="AA74" s="27">
        <f>IF(A74&lt;&gt;"",(Z74+Normalize_To_Add)/(Point_Total_So_Far)*100,"")</f>
        <v>24.590163934426229</v>
      </c>
      <c r="AB74" s="10">
        <f>IF(A74&lt;&gt;"",RANK(AA74,All_Student_XC),"")</f>
        <v>508</v>
      </c>
      <c r="AC74" s="32" t="str">
        <f>IF(A74&lt;&gt;"",CHOOSE(10-MIN(9,TRUNC((AA74+0.5)/10)),"A","B","C","D","F","F","F","F","F","F"),"")</f>
        <v>F</v>
      </c>
      <c r="AD74" s="32" t="str">
        <f>IF(A74&lt;&gt;"",IF(OR(AA74+0.5&gt;=93,AA74+0.5&lt;60),"",IF(MOD(AA74+0.5,10)&gt;=7,"+",IF(MOD(AA74+0.5,10)&lt;3,"-",""))),"")</f>
        <v/>
      </c>
      <c r="AE74" s="32">
        <f>IF(A74&lt;&gt;"",SUM(W74:X74,$W$8:$X$8)/SUM($W$2:$X$2)*100,"")</f>
        <v>40</v>
      </c>
      <c r="AF74" s="32" t="str">
        <f>IF(A74&lt;&gt;"",CHOOSE(10-MIN(9,TRUNC((AE74+0.5)/10)),"A","B","C","D","F","F","F","F","F","F"),"")</f>
        <v>F</v>
      </c>
      <c r="AG74" s="32" t="str">
        <f>IF(A74&lt;&gt;"",IF(OR(AE74+0.5&gt;=93,AE74+0.5&lt;60),"",IF(MOD(AE74+0.5,10)&gt;=7,"+",IF(MOD(AE74+0.5,10)&lt;3,"-",""))),"")</f>
        <v/>
      </c>
      <c r="AH74" s="36">
        <f>IF(A74&lt;&gt;"",MIN(MAX(AA74,AE74),AA74+$AH$8,AE74+$AH$8),"")</f>
        <v>40</v>
      </c>
      <c r="AI74" s="32" t="str">
        <f>IF(A74&lt;&gt;"",CHOOSE(10-MIN(9,TRUNC((AH74+0.5)/10)),"A","B","C","D","F","F","F","F","F","F"),"")</f>
        <v>F</v>
      </c>
      <c r="AJ74" s="32" t="str">
        <f>IF(A74&lt;&gt;"",IF(OR(AH74+0.5&gt;=93,AH74+0.5&lt;60),"",IF(MOD(AH74+0.5,10)&gt;=7,"+",IF(MOD(AH74+0.5,10)&lt;3,"-",""))),"")</f>
        <v/>
      </c>
      <c r="AK74" s="32" t="b">
        <f>IF(A74&lt;&gt;"",OR(AI74&lt;&gt;AC74,AJ74&lt;&gt;AD74),"")</f>
        <v>0</v>
      </c>
      <c r="AL74" s="84">
        <f>IF(AND(A74&lt;&gt;"",U74&lt;&gt;""),SUM(U74,$AL$8)/$AL$2*100,"")</f>
        <v>12</v>
      </c>
      <c r="AM74" s="24">
        <f>IF(AND(A74&lt;&gt;"",V74&lt;&gt;""),SUM(V74,$AM$8)/$AM$2*100,"")</f>
        <v>19.230769230769234</v>
      </c>
      <c r="AN74" s="24">
        <f>IF(AND(A74&lt;&gt;"",ISNUMBER(P74),P74&gt;=0),SUM(P74,$AN$8)/$AN$2*100,"")</f>
        <v>40</v>
      </c>
      <c r="AO74" s="24" t="str">
        <f>IF(AND(A74&lt;&gt;"",ISNUMBER(Q74),Q74&gt;=0),SUM(Q74,$AO$8)/$AO$2*100,"")</f>
        <v/>
      </c>
      <c r="AP74" s="24" t="str">
        <f>IF(AND(A74&lt;&gt;"",R74&lt;&gt;""),SUM(R74,$AP$8)/$AP$2*100,"")</f>
        <v/>
      </c>
      <c r="AQ74" s="24">
        <f>IF(AND(A74&lt;&gt;"",ISNUMBER(W74),W74&gt;=0),SUM(W74,$AQ$8)/$AQ$2*100,"")</f>
        <v>40</v>
      </c>
      <c r="AR74" s="24" t="str">
        <f>IF(AND(A74&lt;&gt;"",T74&gt;0,ISNUMBER(T74)),SUM(T74,$AR$8)/$AR$2*100,"")</f>
        <v/>
      </c>
      <c r="AS74" s="24" t="str">
        <f>IF(AND(A74&lt;&gt;"",X74&lt;&gt;""),SUM(X74,$AS$8)/$AS$2*100,"")</f>
        <v/>
      </c>
      <c r="AT74" s="89">
        <f>IF(AND(A74&lt;&gt;"",OR(ISNUMBER(W74),ISNUMBER(X74))),SUM(W74:X74,$AT$8)/$AT$2*100,"")</f>
        <v>40</v>
      </c>
      <c r="AU74" s="24">
        <f>AA74</f>
        <v>24.590163934426229</v>
      </c>
      <c r="AV74" s="24"/>
      <c r="AW74" s="27">
        <f>IF(A74&lt;&gt;"",AE74-AA74,"")</f>
        <v>15.409836065573771</v>
      </c>
      <c r="AY74" s="27" t="b">
        <f>S74&gt;R74</f>
        <v>0</v>
      </c>
      <c r="BA74" s="27" t="e">
        <f>AND(AA74&gt;$BA$3,(W74+$W$8)/$W$2&lt;$BB$3,(X74+$X$8)/$X$2&lt;$BB$3)</f>
        <v>#VALUE!</v>
      </c>
      <c r="BB74" s="27" t="e">
        <f>AND(AA74&lt;$BA$3,AND(W74/$W$2&gt;$BB$3,X74/$X$2&gt;$BB$3))</f>
        <v>#VALUE!</v>
      </c>
      <c r="BC74" s="27" t="e">
        <f>AND(AA74&lt;$BA$3,OR(W74/$W$2&gt;$BB$3,X74/$X$2&gt;$BB$3))</f>
        <v>#VALUE!</v>
      </c>
      <c r="BE74" s="32">
        <v>32</v>
      </c>
    </row>
    <row r="75" spans="1:57" s="27" customFormat="1" ht="12.75" customHeight="1" x14ac:dyDescent="0.2">
      <c r="A75" s="10">
        <v>104167</v>
      </c>
      <c r="B75" s="2">
        <v>22</v>
      </c>
      <c r="C75" s="10">
        <v>22</v>
      </c>
      <c r="D75" s="10">
        <v>25</v>
      </c>
      <c r="E75" s="10"/>
      <c r="F75" s="10"/>
      <c r="G75" s="10"/>
      <c r="H75" s="10"/>
      <c r="I75" s="10"/>
      <c r="J75" s="2">
        <v>30</v>
      </c>
      <c r="K75" s="10">
        <v>49</v>
      </c>
      <c r="L75" s="10">
        <v>51</v>
      </c>
      <c r="M75" s="10"/>
      <c r="N75" s="93"/>
      <c r="O75" s="13"/>
      <c r="P75" s="10">
        <v>60</v>
      </c>
      <c r="Q75" s="10"/>
      <c r="R75" s="2"/>
      <c r="S75" s="10"/>
      <c r="T75" s="13"/>
      <c r="U75" s="7">
        <f t="array" ref="U75">IF(AND(A75&lt;&gt;"",OR(ISNUMBER(B75:I75))),SUM(B75:I75),"")</f>
        <v>69</v>
      </c>
      <c r="V75" s="10">
        <f t="array" ref="V75">IF(AND(A75&lt;&gt;"",OR(ISNUMBER(J75:O75))),SUM(J75:O75),"")</f>
        <v>130</v>
      </c>
      <c r="W75" s="10">
        <f t="array" ref="W75">IF(AND(A75&lt;&gt;"",OR(ISNUMBER(P75),ISNUMBER(Q75))),SUM(MAX(P75:Q75),Q75),"")</f>
        <v>60</v>
      </c>
      <c r="X75" s="10" t="str">
        <f t="array" ref="X75">IF(AND(A75&lt;&gt;"",OR(ISNUMBER(S75),ISNUMBER(T75))),SUM(S75,T75),"")</f>
        <v/>
      </c>
      <c r="Y75" s="13">
        <v>1</v>
      </c>
      <c r="Z75" s="13">
        <f>IF(A75&lt;&gt;"",SUM(U75:Y75),"")</f>
        <v>260</v>
      </c>
      <c r="AA75" s="27">
        <f>IF(A75&lt;&gt;"",(Z75+Normalize_To_Add)/(Point_Total_So_Far)*100,"")</f>
        <v>85.245901639344254</v>
      </c>
      <c r="AB75" s="10">
        <f>IF(A75&lt;&gt;"",RANK(AA75,All_Student_XC),"")</f>
        <v>379</v>
      </c>
      <c r="AC75" s="32" t="str">
        <f>IF(A75&lt;&gt;"",CHOOSE(10-MIN(9,TRUNC((AA75+0.5)/10)),"A","B","C","D","F","F","F","F","F","F"),"")</f>
        <v>B</v>
      </c>
      <c r="AD75" s="31" t="str">
        <f>IF(A75&lt;&gt;"",IF(OR(AA75+0.5&gt;=93,AA75+0.5&lt;60),"",IF(MOD(AA75+0.5,10)&gt;=7,"+",IF(MOD(AA75+0.5,10)&lt;3,"-",""))),"")</f>
        <v/>
      </c>
      <c r="AE75" s="32">
        <f>IF(A75&lt;&gt;"",SUM(W75:X75,$W$8:$X$8)/SUM($W$2:$X$2)*100,"")</f>
        <v>60</v>
      </c>
      <c r="AF75" s="32" t="str">
        <f>IF(A75&lt;&gt;"",CHOOSE(10-MIN(9,TRUNC((AE75+0.5)/10)),"A","B","C","D","F","F","F","F","F","F"),"")</f>
        <v>D</v>
      </c>
      <c r="AG75" s="32" t="str">
        <f>IF(A75&lt;&gt;"",IF(OR(AE75+0.5&gt;=93,AE75+0.5&lt;60),"",IF(MOD(AE75+0.5,10)&gt;=7,"+",IF(MOD(AE75+0.5,10)&lt;3,"-",""))),"")</f>
        <v>-</v>
      </c>
      <c r="AH75" s="36">
        <f>IF(A75&lt;&gt;"",MIN(MAX(AA75,AE75),AA75+$AH$8,AE75+$AH$8),"")</f>
        <v>85.245901639344254</v>
      </c>
      <c r="AI75" s="32" t="str">
        <f>IF(A75&lt;&gt;"",CHOOSE(10-MIN(9,TRUNC((AH75+0.5)/10)),"A","B","C","D","F","F","F","F","F","F"),"")</f>
        <v>B</v>
      </c>
      <c r="AJ75" s="32" t="str">
        <f>IF(A75&lt;&gt;"",IF(OR(AH75+0.5&gt;=93,AH75+0.5&lt;60),"",IF(MOD(AH75+0.5,10)&gt;=7,"+",IF(MOD(AH75+0.5,10)&lt;3,"-",""))),"")</f>
        <v/>
      </c>
      <c r="AK75" s="71" t="b">
        <f>IF(A75&lt;&gt;"",OR(AI75&lt;&gt;AC75,AJ75&lt;&gt;AD75),"")</f>
        <v>0</v>
      </c>
      <c r="AL75" s="86">
        <f>IF(AND(A75&lt;&gt;"",U75&lt;&gt;""),SUM(U75,$AL$8)/$AL$2*100,"")</f>
        <v>92</v>
      </c>
      <c r="AM75" s="71">
        <f>IF(AND(A75&lt;&gt;"",V75&lt;&gt;""),SUM(V75,$AM$8)/$AM$2*100,"")</f>
        <v>100</v>
      </c>
      <c r="AN75" s="71">
        <f>IF(AND(A75&lt;&gt;"",ISNUMBER(P75),P75&gt;=0),SUM(P75,$AN$8)/$AN$2*100,"")</f>
        <v>60</v>
      </c>
      <c r="AO75" s="71" t="str">
        <f>IF(AND(A75&lt;&gt;"",ISNUMBER(Q75),Q75&gt;=0),SUM(Q75,$AO$8)/$AO$2*100,"")</f>
        <v/>
      </c>
      <c r="AP75" s="24" t="str">
        <f>IF(AND(A75&lt;&gt;"",R75&lt;&gt;""),SUM(R75,$AP$8)/$AP$2*100,"")</f>
        <v/>
      </c>
      <c r="AQ75" s="24">
        <f>IF(AND(A75&lt;&gt;"",ISNUMBER(W75),W75&gt;=0),SUM(W75,$AQ$8)/$AQ$2*100,"")</f>
        <v>60</v>
      </c>
      <c r="AR75" s="24" t="str">
        <f>IF(AND(A75&lt;&gt;"",T75&gt;0,ISNUMBER(T75)),SUM(T75,$AR$8)/$AR$2*100,"")</f>
        <v/>
      </c>
      <c r="AS75" s="24" t="str">
        <f>IF(AND(A75&lt;&gt;"",X75&lt;&gt;""),SUM(X75,$AS$8)/$AS$2*100,"")</f>
        <v/>
      </c>
      <c r="AT75" s="89">
        <f>IF(AND(A75&lt;&gt;"",OR(ISNUMBER(W75),ISNUMBER(X75))),SUM(W75:X75,$AT$8)/$AT$2*100,"")</f>
        <v>60</v>
      </c>
      <c r="AU75" s="24">
        <f>AA75</f>
        <v>85.245901639344254</v>
      </c>
      <c r="AV75" s="71"/>
      <c r="AW75" s="27">
        <f>IF(A75&lt;&gt;"",AE75-AA75,"")</f>
        <v>-25.245901639344254</v>
      </c>
      <c r="AY75" s="27" t="b">
        <f>S75&gt;R75</f>
        <v>0</v>
      </c>
      <c r="BA75" s="27" t="e">
        <f>AND(AA75&gt;$BA$3,(W75+$W$8)/$W$2&lt;$BB$3,(X75+$X$8)/$X$2&lt;$BB$3)</f>
        <v>#VALUE!</v>
      </c>
      <c r="BB75" s="27" t="e">
        <f>AND(AA75&lt;$BA$3,AND(W75/$W$2&gt;$BB$3,X75/$X$2&gt;$BB$3))</f>
        <v>#VALUE!</v>
      </c>
      <c r="BC75" s="27" t="e">
        <f>AND(AA75&lt;$BA$3,OR(W75/$W$2&gt;$BB$3,X75/$X$2&gt;$BB$3))</f>
        <v>#VALUE!</v>
      </c>
      <c r="BE75" s="32" t="s">
        <v>84</v>
      </c>
    </row>
    <row r="76" spans="1:57" s="27" customFormat="1" ht="12.75" customHeight="1" x14ac:dyDescent="0.2">
      <c r="A76" s="10">
        <v>104325</v>
      </c>
      <c r="B76" s="55">
        <v>7</v>
      </c>
      <c r="C76" s="10" t="s">
        <v>67</v>
      </c>
      <c r="D76" s="10" t="s">
        <v>67</v>
      </c>
      <c r="E76" s="10"/>
      <c r="F76" s="10"/>
      <c r="G76" s="3"/>
      <c r="H76" s="10"/>
      <c r="I76" s="10"/>
      <c r="J76" s="2">
        <v>26</v>
      </c>
      <c r="K76" s="10" t="s">
        <v>67</v>
      </c>
      <c r="L76" s="10" t="s">
        <v>67</v>
      </c>
      <c r="M76" s="10"/>
      <c r="N76" s="10"/>
      <c r="O76" s="12"/>
      <c r="P76" s="41" t="s">
        <v>67</v>
      </c>
      <c r="Q76" s="41"/>
      <c r="R76" s="2"/>
      <c r="S76" s="10"/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34</v>
      </c>
      <c r="AA76" s="27">
        <f>IF(A76&lt;&gt;"",(Z76+Normalize_To_Add)/(Point_Total_So_Far)*100,"")</f>
        <v>11.147540983606557</v>
      </c>
      <c r="AB76" s="10">
        <f>IF(A76&lt;&gt;"",RANK(AA76,All_Student_XC),"")</f>
        <v>512</v>
      </c>
      <c r="AC76" s="32" t="str">
        <f>IF(A76&lt;&gt;"",CHOOSE(10-MIN(9,TRUNC((AA76+0.5)/10)),"A","B","C","D","F","F","F","F","F","F"),"")</f>
        <v>F</v>
      </c>
      <c r="AD76" s="32" t="str">
        <f>IF(A76&lt;&gt;"",IF(OR(AA76+0.5&gt;=93,AA76+0.5&lt;60),"",IF(MOD(AA76+0.5,10)&gt;=7,"+",IF(MOD(AA76+0.5,10)&lt;3,"-",""))),"")</f>
        <v/>
      </c>
      <c r="AE76" s="32">
        <f>IF(A76&lt;&gt;"",SUM(W76:X76,$W$8:$X$8)/SUM($W$2:$X$2)*100,"")</f>
        <v>0</v>
      </c>
      <c r="AF76" s="32" t="str">
        <f>IF(A76&lt;&gt;"",CHOOSE(10-MIN(9,TRUNC((AE76+0.5)/10)),"A","B","C","D","F","F","F","F","F","F"),"")</f>
        <v>F</v>
      </c>
      <c r="AG76" s="32" t="str">
        <f>IF(A76&lt;&gt;"",IF(OR(AE76+0.5&gt;=93,AE76+0.5&lt;60),"",IF(MOD(AE76+0.5,10)&gt;=7,"+",IF(MOD(AE76+0.5,10)&lt;3,"-",""))),"")</f>
        <v/>
      </c>
      <c r="AH76" s="36">
        <f>IF(A76&lt;&gt;"",MIN(MAX(AA76,AE76),AA76+$AH$8,AE76+$AH$8),"")</f>
        <v>11.147540983606557</v>
      </c>
      <c r="AI76" s="32" t="str">
        <f>IF(A76&lt;&gt;"",CHOOSE(10-MIN(9,TRUNC((AH76+0.5)/10)),"A","B","C","D","F","F","F","F","F","F"),"")</f>
        <v>F</v>
      </c>
      <c r="AJ76" s="32" t="str">
        <f>IF(A76&lt;&gt;"",IF(OR(AH76+0.5&gt;=93,AH76+0.5&lt;60),"",IF(MOD(AH76+0.5,10)&gt;=7,"+",IF(MOD(AH76+0.5,10)&lt;3,"-",""))),"")</f>
        <v/>
      </c>
      <c r="AK76" s="32" t="b">
        <f>IF(A76&lt;&gt;"",OR(AI76&lt;&gt;AC76,AJ76&lt;&gt;AD76),"")</f>
        <v>0</v>
      </c>
      <c r="AL76" s="84">
        <f>IF(AND(A76&lt;&gt;"",U76&lt;&gt;""),SUM(U76,$AL$8)/$AL$2*100,"")</f>
        <v>9.3333333333333339</v>
      </c>
      <c r="AM76" s="24">
        <f>IF(AND(A76&lt;&gt;"",V76&lt;&gt;""),SUM(V76,$AM$8)/$AM$2*100,"")</f>
        <v>20</v>
      </c>
      <c r="AN76" s="24" t="str">
        <f>IF(AND(A76&lt;&gt;"",ISNUMBER(P76),P76&gt;=0),SUM(P76,$AN$8)/$AN$2*100,"")</f>
        <v/>
      </c>
      <c r="AO76" s="24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9" t="str">
        <f>IF(AND(A76&lt;&gt;"",OR(ISNUMBER(W76),ISNUMBER(X76))),SUM(W76:X76,$AT$8)/$AT$2*100,"")</f>
        <v/>
      </c>
      <c r="AU76" s="24">
        <f>AA76</f>
        <v>11.147540983606557</v>
      </c>
      <c r="AV76" s="24"/>
      <c r="AW76" s="27">
        <f>IF(A76&lt;&gt;"",AE76-AA76,"")</f>
        <v>-11.147540983606557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  <c r="BE76" s="32">
        <v>32</v>
      </c>
    </row>
    <row r="77" spans="1:57" s="27" customFormat="1" ht="12.75" customHeight="1" x14ac:dyDescent="0.2">
      <c r="A77" s="10">
        <v>110925</v>
      </c>
      <c r="B77" s="2">
        <v>14</v>
      </c>
      <c r="C77" s="10">
        <v>20</v>
      </c>
      <c r="D77" s="10">
        <v>25</v>
      </c>
      <c r="E77" s="10"/>
      <c r="F77" s="10"/>
      <c r="G77" s="10"/>
      <c r="H77" s="10"/>
      <c r="I77" s="10"/>
      <c r="J77" s="2">
        <v>28</v>
      </c>
      <c r="K77" s="10">
        <v>50</v>
      </c>
      <c r="L77" s="10">
        <v>51</v>
      </c>
      <c r="M77" s="10"/>
      <c r="N77" s="10"/>
      <c r="O77" s="12"/>
      <c r="P77" s="41">
        <v>100</v>
      </c>
      <c r="Q77" s="41"/>
      <c r="R77" s="2"/>
      <c r="S77" s="10"/>
      <c r="T77" s="13"/>
      <c r="U77" s="1">
        <f t="array" ref="U77">IF(AND(A77&lt;&gt;"",OR(ISNUMBER(B77:I77))),SUM(B77:I77),"")</f>
        <v>59</v>
      </c>
      <c r="V77" s="10">
        <f t="array" ref="V77">IF(AND(A77&lt;&gt;"",OR(ISNUMBER(J77:O77))),SUM(J77:O77),"")</f>
        <v>129</v>
      </c>
      <c r="W77" s="10">
        <f t="array" ref="W77">IF(AND(A77&lt;&gt;"",OR(ISNUMBER(P77),ISNUMBER(Q77))),SUM(MAX(P77:Q77),Q77),"")</f>
        <v>100</v>
      </c>
      <c r="X77" s="10" t="str">
        <f t="array" ref="X77">IF(AND(A77&lt;&gt;"",OR(ISNUMBER(S77),ISNUMBER(T77))),SUM(S77,T77),"")</f>
        <v/>
      </c>
      <c r="Y77" s="13">
        <v>1</v>
      </c>
      <c r="Z77" s="13">
        <f>IF(A77&lt;&gt;"",SUM(U77:Y77),"")</f>
        <v>289</v>
      </c>
      <c r="AA77" s="27">
        <f>IF(A77&lt;&gt;"",(Z77+Normalize_To_Add)/(Point_Total_So_Far)*100,"")</f>
        <v>94.754098360655732</v>
      </c>
      <c r="AB77" s="10">
        <f>IF(A77&lt;&gt;"",RANK(AA77,All_Student_XC),"")</f>
        <v>273</v>
      </c>
      <c r="AC77" s="32" t="str">
        <f>IF(A77&lt;&gt;"",CHOOSE(10-MIN(9,TRUNC((AA77+0.5)/10)),"A","B","C","D","F","F","F","F","F","F"),"")</f>
        <v>A</v>
      </c>
      <c r="AD77" s="32" t="str">
        <f>IF(A77&lt;&gt;"",IF(OR(AA77+0.5&gt;=93,AA77+0.5&lt;60),"",IF(MOD(AA77+0.5,10)&gt;=7,"+",IF(MOD(AA77+0.5,10)&lt;3,"-",""))),"")</f>
        <v/>
      </c>
      <c r="AE77" s="32">
        <f>IF(A77&lt;&gt;"",SUM(W77:X77,$W$8:$X$8)/SUM($W$2:$X$2)*100,"")</f>
        <v>100</v>
      </c>
      <c r="AF77" s="32" t="str">
        <f>IF(A77&lt;&gt;"",CHOOSE(10-MIN(9,TRUNC((AE77+0.5)/10)),"A","B","C","D","F","F","F","F","F","F"),"")</f>
        <v>A</v>
      </c>
      <c r="AG77" s="32" t="str">
        <f>IF(A77&lt;&gt;"",IF(OR(AE77+0.5&gt;=93,AE77+0.5&lt;60),"",IF(MOD(AE77+0.5,10)&gt;=7,"+",IF(MOD(AE77+0.5,10)&lt;3,"-",""))),"")</f>
        <v/>
      </c>
      <c r="AH77" s="36">
        <f>IF(A77&lt;&gt;"",MIN(MAX(AA77,AE77),AA77+$AH$8,AE77+$AH$8),"")</f>
        <v>100</v>
      </c>
      <c r="AI77" s="32" t="str">
        <f>IF(A77&lt;&gt;"",CHOOSE(10-MIN(9,TRUNC((AH77+0.5)/10)),"A","B","C","D","F","F","F","F","F","F"),"")</f>
        <v>A</v>
      </c>
      <c r="AJ77" s="32" t="str">
        <f>IF(A77&lt;&gt;"",IF(OR(AH77+0.5&gt;=93,AH77+0.5&lt;60),"",IF(MOD(AH77+0.5,10)&gt;=7,"+",IF(MOD(AH77+0.5,10)&lt;3,"-",""))),"")</f>
        <v/>
      </c>
      <c r="AK77" s="32" t="b">
        <f>IF(A77&lt;&gt;"",OR(AI77&lt;&gt;AC77,AJ77&lt;&gt;AD77),"")</f>
        <v>0</v>
      </c>
      <c r="AL77" s="84">
        <f>IF(AND(A77&lt;&gt;"",U77&lt;&gt;""),SUM(U77,$AL$8)/$AL$2*100,"")</f>
        <v>78.666666666666657</v>
      </c>
      <c r="AM77" s="24">
        <f>IF(AND(A77&lt;&gt;"",V77&lt;&gt;""),SUM(V77,$AM$8)/$AM$2*100,"")</f>
        <v>99.230769230769226</v>
      </c>
      <c r="AN77" s="24">
        <f>IF(AND(A77&lt;&gt;"",ISNUMBER(P77),P77&gt;=0),SUM(P77,$AN$8)/$AN$2*100,"")</f>
        <v>100</v>
      </c>
      <c r="AO77" s="24" t="str">
        <f>IF(AND(A77&lt;&gt;"",ISNUMBER(Q77),Q77&gt;=0),SUM(Q77,$AO$8)/$AO$2*100,"")</f>
        <v/>
      </c>
      <c r="AP77" s="24" t="str">
        <f>IF(AND(A77&lt;&gt;"",R77&lt;&gt;""),SUM(R77,$AP$8)/$AP$2*100,"")</f>
        <v/>
      </c>
      <c r="AQ77" s="24">
        <f>IF(AND(A77&lt;&gt;"",ISNUMBER(W77),W77&gt;=0),SUM(W77,$AQ$8)/$AQ$2*100,"")</f>
        <v>100</v>
      </c>
      <c r="AR77" s="24" t="str">
        <f>IF(AND(A77&lt;&gt;"",T77&gt;0,ISNUMBER(T77)),SUM(T77,$AR$8)/$AR$2*100,"")</f>
        <v/>
      </c>
      <c r="AS77" s="24" t="str">
        <f>IF(AND(A77&lt;&gt;"",X77&lt;&gt;""),SUM(X77,$AS$8)/$AS$2*100,"")</f>
        <v/>
      </c>
      <c r="AT77" s="89">
        <f>IF(AND(A77&lt;&gt;"",OR(ISNUMBER(W77),ISNUMBER(X77))),SUM(W77:X77,$AT$8)/$AT$2*100,"")</f>
        <v>100</v>
      </c>
      <c r="AU77" s="24">
        <f>AA77</f>
        <v>94.754098360655732</v>
      </c>
      <c r="AV77" s="24"/>
      <c r="AW77" s="27">
        <f>IF(A77&lt;&gt;"",AE77-AA77,"")</f>
        <v>5.2459016393442681</v>
      </c>
      <c r="AY77" s="27" t="b">
        <f>S77&gt;R77</f>
        <v>0</v>
      </c>
      <c r="BA77" s="27" t="e">
        <f>AND(AA77&gt;$BA$3,(W77+$W$8)/$W$2&lt;$BB$3,(X77+$X$8)/$X$2&lt;$BB$3)</f>
        <v>#VALUE!</v>
      </c>
      <c r="BB77" s="27" t="e">
        <f>AND(AA77&lt;$BA$3,AND(W77/$W$2&gt;$BB$3,X77/$X$2&gt;$BB$3))</f>
        <v>#VALUE!</v>
      </c>
      <c r="BC77" s="27" t="e">
        <f>AND(AA77&lt;$BA$3,OR(W77/$W$2&gt;$BB$3,X77/$X$2&gt;$BB$3))</f>
        <v>#VALUE!</v>
      </c>
      <c r="BE77" s="32" t="s">
        <v>84</v>
      </c>
    </row>
    <row r="78" spans="1:57" s="27" customFormat="1" ht="12.75" customHeight="1" x14ac:dyDescent="0.2">
      <c r="A78" s="10">
        <v>111196</v>
      </c>
      <c r="B78" s="2">
        <v>20</v>
      </c>
      <c r="C78" s="10">
        <v>23</v>
      </c>
      <c r="D78" s="10">
        <v>25</v>
      </c>
      <c r="E78" s="10"/>
      <c r="F78" s="10"/>
      <c r="G78" s="10"/>
      <c r="H78" s="10"/>
      <c r="I78" s="10"/>
      <c r="J78" s="2">
        <v>31</v>
      </c>
      <c r="K78" s="10">
        <v>52</v>
      </c>
      <c r="L78" s="10">
        <v>52</v>
      </c>
      <c r="M78" s="56"/>
      <c r="N78" s="93"/>
      <c r="O78" s="13"/>
      <c r="P78" s="10">
        <v>60</v>
      </c>
      <c r="Q78" s="10"/>
      <c r="R78" s="2"/>
      <c r="S78" s="10"/>
      <c r="T78" s="13"/>
      <c r="U78" s="7">
        <f t="array" ref="U78">IF(AND(A78&lt;&gt;"",OR(ISNUMBER(B78:I78))),SUM(B78:I78),"")</f>
        <v>68</v>
      </c>
      <c r="V78" s="10">
        <f t="array" ref="V78">IF(AND(A78&lt;&gt;"",OR(ISNUMBER(J78:O78))),SUM(J78:O78),"")</f>
        <v>135</v>
      </c>
      <c r="W78" s="10">
        <f t="array" ref="W78">IF(AND(A78&lt;&gt;"",OR(ISNUMBER(P78),ISNUMBER(Q78))),SUM(MAX(P78:Q78),Q78),"")</f>
        <v>60</v>
      </c>
      <c r="X78" s="10" t="str">
        <f t="array" ref="X78">IF(AND(A78&lt;&gt;"",OR(ISNUMBER(S78),ISNUMBER(T78))),SUM(S78,T78),"")</f>
        <v/>
      </c>
      <c r="Y78" s="13">
        <v>1</v>
      </c>
      <c r="Z78" s="13">
        <f>IF(A78&lt;&gt;"",SUM(U78:Y78),"")</f>
        <v>264</v>
      </c>
      <c r="AA78" s="27">
        <f>IF(A78&lt;&gt;"",(Z78+Normalize_To_Add)/(Point_Total_So_Far)*100,"")</f>
        <v>86.557377049180332</v>
      </c>
      <c r="AB78" s="10">
        <f>IF(A78&lt;&gt;"",RANK(AA78,All_Student_XC),"")</f>
        <v>367</v>
      </c>
      <c r="AC78" s="32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>+</v>
      </c>
      <c r="AE78" s="32">
        <f>IF(A78&lt;&gt;"",SUM(W78:X78,$W$8:$X$8)/SUM($W$2:$X$2)*100,"")</f>
        <v>60</v>
      </c>
      <c r="AF78" s="32" t="str">
        <f>IF(A78&lt;&gt;"",CHOOSE(10-MIN(9,TRUNC((AE78+0.5)/10)),"A","B","C","D","F","F","F","F","F","F"),"")</f>
        <v>D</v>
      </c>
      <c r="AG78" s="32" t="str">
        <f>IF(A78&lt;&gt;"",IF(OR(AE78+0.5&gt;=93,AE78+0.5&lt;60),"",IF(MOD(AE78+0.5,10)&gt;=7,"+",IF(MOD(AE78+0.5,10)&lt;3,"-",""))),"")</f>
        <v>-</v>
      </c>
      <c r="AH78" s="36">
        <f>IF(A78&lt;&gt;"",MIN(MAX(AA78,AE78),AA78+$AH$8,AE78+$AH$8),"")</f>
        <v>86.557377049180332</v>
      </c>
      <c r="AI78" s="32" t="str">
        <f>IF(A78&lt;&gt;"",CHOOSE(10-MIN(9,TRUNC((AH78+0.5)/10)),"A","B","C","D","F","F","F","F","F","F"),"")</f>
        <v>B</v>
      </c>
      <c r="AJ78" s="32" t="str">
        <f>IF(A78&lt;&gt;"",IF(OR(AH78+0.5&gt;=93,AH78+0.5&lt;60),"",IF(MOD(AH78+0.5,10)&gt;=7,"+",IF(MOD(AH78+0.5,10)&lt;3,"-",""))),"")</f>
        <v>+</v>
      </c>
      <c r="AK78" s="71" t="b">
        <f>IF(A78&lt;&gt;"",OR(AI78&lt;&gt;AC78,AJ78&lt;&gt;AD78),"")</f>
        <v>0</v>
      </c>
      <c r="AL78" s="86">
        <f>IF(AND(A78&lt;&gt;"",U78&lt;&gt;""),SUM(U78,$AL$8)/$AL$2*100,"")</f>
        <v>90.666666666666657</v>
      </c>
      <c r="AM78" s="71">
        <f>IF(AND(A78&lt;&gt;"",V78&lt;&gt;""),SUM(V78,$AM$8)/$AM$2*100,"")</f>
        <v>103.84615384615385</v>
      </c>
      <c r="AN78" s="71">
        <f>IF(AND(A78&lt;&gt;"",ISNUMBER(P78),P78&gt;=0),SUM(P78,$AN$8)/$AN$2*100,"")</f>
        <v>60</v>
      </c>
      <c r="AO78" s="71" t="str">
        <f>IF(AND(A78&lt;&gt;"",ISNUMBER(Q78),Q78&gt;=0),SUM(Q78,$AO$8)/$AO$2*100,"")</f>
        <v/>
      </c>
      <c r="AP78" s="24" t="str">
        <f>IF(AND(A78&lt;&gt;"",R78&lt;&gt;""),SUM(R78,$AP$8)/$AP$2*100,"")</f>
        <v/>
      </c>
      <c r="AQ78" s="24">
        <f>IF(AND(A78&lt;&gt;"",ISNUMBER(W78),W78&gt;=0),SUM(W78,$AQ$8)/$AQ$2*100,"")</f>
        <v>60</v>
      </c>
      <c r="AR78" s="24" t="str">
        <f>IF(AND(A78&lt;&gt;"",T78&gt;0,ISNUMBER(T78)),SUM(T78,$AR$8)/$AR$2*100,"")</f>
        <v/>
      </c>
      <c r="AS78" s="24" t="str">
        <f>IF(AND(A78&lt;&gt;"",X78&lt;&gt;""),SUM(X78,$AS$8)/$AS$2*100,"")</f>
        <v/>
      </c>
      <c r="AT78" s="89">
        <f>IF(AND(A78&lt;&gt;"",OR(ISNUMBER(W78),ISNUMBER(X78))),SUM(W78:X78,$AT$8)/$AT$2*100,"")</f>
        <v>60</v>
      </c>
      <c r="AU78" s="24">
        <f>AA78</f>
        <v>86.557377049180332</v>
      </c>
      <c r="AV78" s="71"/>
      <c r="AW78" s="27">
        <f>IF(A78&lt;&gt;"",AE78-AA78,"")</f>
        <v>-26.557377049180332</v>
      </c>
      <c r="AY78" s="27" t="b">
        <f>S78&gt;R78</f>
        <v>0</v>
      </c>
      <c r="BA78" s="27" t="e">
        <f>AND(AA78&gt;$BA$3,(W78+$W$8)/$W$2&lt;$BB$3,(X78+$X$8)/$X$2&lt;$BB$3)</f>
        <v>#VALUE!</v>
      </c>
      <c r="BB78" s="27" t="e">
        <f>AND(AA78&lt;$BA$3,AND(W78/$W$2&gt;$BB$3,X78/$X$2&gt;$BB$3))</f>
        <v>#VALUE!</v>
      </c>
      <c r="BC78" s="27" t="e">
        <f>AND(AA78&lt;$BA$3,OR(W78/$W$2&gt;$BB$3,X78/$X$2&gt;$BB$3))</f>
        <v>#VALUE!</v>
      </c>
      <c r="BE78" s="32" t="s">
        <v>84</v>
      </c>
    </row>
    <row r="79" spans="1:57" s="27" customFormat="1" ht="12" customHeight="1" x14ac:dyDescent="0.2">
      <c r="A79" s="10">
        <v>117240</v>
      </c>
      <c r="B79" s="2">
        <v>22</v>
      </c>
      <c r="C79" s="10">
        <v>23</v>
      </c>
      <c r="D79" s="10">
        <v>25</v>
      </c>
      <c r="E79" s="10"/>
      <c r="F79" s="10"/>
      <c r="G79" s="10"/>
      <c r="H79" s="10"/>
      <c r="I79" s="10"/>
      <c r="J79" s="2">
        <v>32</v>
      </c>
      <c r="K79" s="10">
        <v>51</v>
      </c>
      <c r="L79" s="10">
        <v>32</v>
      </c>
      <c r="M79" s="10"/>
      <c r="N79" s="93"/>
      <c r="O79" s="13"/>
      <c r="P79" s="10">
        <v>101</v>
      </c>
      <c r="Q79" s="10"/>
      <c r="R79" s="2"/>
      <c r="S79" s="10"/>
      <c r="T79" s="13"/>
      <c r="U79" s="1">
        <f t="array" ref="U79">IF(AND(A79&lt;&gt;"",OR(ISNUMBER(B79:I79))),SUM(B79:I79),"")</f>
        <v>70</v>
      </c>
      <c r="V79" s="10">
        <f t="array" ref="V79">IF(AND(A79&lt;&gt;"",OR(ISNUMBER(J79:O79))),SUM(J79:O79),"")</f>
        <v>115</v>
      </c>
      <c r="W79" s="10">
        <f t="array" ref="W79">IF(AND(A79&lt;&gt;"",OR(ISNUMBER(P79),ISNUMBER(Q79))),SUM(MAX(P79:Q79),Q79),"")</f>
        <v>101</v>
      </c>
      <c r="X79" s="10" t="str">
        <f t="array" ref="X79">IF(AND(A79&lt;&gt;"",OR(ISNUMBER(S79),ISNUMBER(T79))),SUM(S79,T79),"")</f>
        <v/>
      </c>
      <c r="Y79" s="13">
        <v>1</v>
      </c>
      <c r="Z79" s="13">
        <f>IF(A79&lt;&gt;"",SUM(U79:Y79),"")</f>
        <v>287</v>
      </c>
      <c r="AA79" s="27">
        <f>IF(A79&lt;&gt;"",(Z79+Normalize_To_Add)/(Point_Total_So_Far)*100,"")</f>
        <v>94.098360655737707</v>
      </c>
      <c r="AB79" s="10">
        <f>IF(A79&lt;&gt;"",RANK(AA79,All_Student_XC),"")</f>
        <v>285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>
        <f>IF(A79&lt;&gt;"",SUM(W79:X79,$W$8:$X$8)/SUM($W$2:$X$2)*100,"")</f>
        <v>101</v>
      </c>
      <c r="AF79" s="32" t="str">
        <f>IF(A79&lt;&gt;"",CHOOSE(10-MIN(9,TRUNC((AE79+0.5)/10)),"A","B","C","D","F","F","F","F","F","F"),"")</f>
        <v>A</v>
      </c>
      <c r="AG79" s="32" t="str">
        <f>IF(A79&lt;&gt;"",IF(OR(AE79+0.5&gt;=93,AE79+0.5&lt;60),"",IF(MOD(AE79+0.5,10)&gt;=7,"+",IF(MOD(AE79+0.5,10)&lt;3,"-",""))),"")</f>
        <v/>
      </c>
      <c r="AH79" s="36">
        <f>IF(A79&lt;&gt;"",MIN(MAX(AA79,AE79),AA79+$AH$8,AE79+$AH$8),"")</f>
        <v>101</v>
      </c>
      <c r="AI79" s="32" t="str">
        <f>IF(A79&lt;&gt;"",CHOOSE(10-MIN(9,TRUNC((AH79+0.5)/10)),"A","B","C","D","F","F","F","F","F","F"),"")</f>
        <v>A</v>
      </c>
      <c r="AJ79" s="32" t="str">
        <f>IF(A79&lt;&gt;"",IF(OR(AH79+0.5&gt;=93,AH79+0.5&lt;60),"",IF(MOD(AH79+0.5,10)&gt;=7,"+",IF(MOD(AH79+0.5,10)&lt;3,"-",""))),"")</f>
        <v/>
      </c>
      <c r="AK79" s="71" t="b">
        <f>IF(A79&lt;&gt;"",OR(AI79&lt;&gt;AC79,AJ79&lt;&gt;AD79),"")</f>
        <v>0</v>
      </c>
      <c r="AL79" s="86">
        <f>IF(AND(A79&lt;&gt;"",U79&lt;&gt;""),SUM(U79,$AL$8)/$AL$2*100,"")</f>
        <v>93.333333333333329</v>
      </c>
      <c r="AM79" s="71">
        <f>IF(AND(A79&lt;&gt;"",V79&lt;&gt;""),SUM(V79,$AM$8)/$AM$2*100,"")</f>
        <v>88.461538461538453</v>
      </c>
      <c r="AN79" s="71">
        <f>IF(AND(A79&lt;&gt;"",ISNUMBER(P79),P79&gt;=0),SUM(P79,$AN$8)/$AN$2*100,"")</f>
        <v>101</v>
      </c>
      <c r="AO79" s="71" t="str">
        <f>IF(AND(A79&lt;&gt;"",ISNUMBER(Q79),Q79&gt;=0),SUM(Q79,$AO$8)/$AO$2*100,"")</f>
        <v/>
      </c>
      <c r="AP79" s="24" t="str">
        <f>IF(AND(A79&lt;&gt;"",R79&lt;&gt;""),SUM(R79,$AP$8)/$AP$2*100,"")</f>
        <v/>
      </c>
      <c r="AQ79" s="24">
        <f>IF(AND(A79&lt;&gt;"",ISNUMBER(W79),W79&gt;=0),SUM(W79,$AQ$8)/$AQ$2*100,"")</f>
        <v>101</v>
      </c>
      <c r="AR79" s="24" t="str">
        <f>IF(AND(A79&lt;&gt;"",T79&gt;0,ISNUMBER(T79)),SUM(T79,$AR$8)/$AR$2*100,"")</f>
        <v/>
      </c>
      <c r="AS79" s="24" t="str">
        <f>IF(AND(A79&lt;&gt;"",X79&lt;&gt;""),SUM(X79,$AS$8)/$AS$2*100,"")</f>
        <v/>
      </c>
      <c r="AT79" s="89">
        <f>IF(AND(A79&lt;&gt;"",OR(ISNUMBER(W79),ISNUMBER(X79))),SUM(W79:X79,$AT$8)/$AT$2*100,"")</f>
        <v>101</v>
      </c>
      <c r="AU79" s="24">
        <f>AA79</f>
        <v>94.098360655737707</v>
      </c>
      <c r="AV79" s="71"/>
      <c r="AW79" s="27">
        <f>IF(A79&lt;&gt;"",AE79-AA79,"")</f>
        <v>6.9016393442622928</v>
      </c>
      <c r="AY79" s="27" t="b">
        <f>S79&gt;R79</f>
        <v>0</v>
      </c>
      <c r="BA79" s="27" t="e">
        <f>AND(AA79&gt;$BA$3,(W79+$W$8)/$W$2&lt;$BB$3,(X79+$X$8)/$X$2&lt;$BB$3)</f>
        <v>#VALUE!</v>
      </c>
      <c r="BB79" s="27" t="e">
        <f>AND(AA79&lt;$BA$3,AND(W79/$W$2&gt;$BB$3,X79/$X$2&gt;$BB$3))</f>
        <v>#VALUE!</v>
      </c>
      <c r="BC79" s="27" t="e">
        <f>AND(AA79&lt;$BA$3,OR(W79/$W$2&gt;$BB$3,X79/$X$2&gt;$BB$3))</f>
        <v>#VALUE!</v>
      </c>
      <c r="BE79" s="32" t="s">
        <v>84</v>
      </c>
    </row>
    <row r="80" spans="1:57" s="27" customFormat="1" ht="12.75" customHeight="1" x14ac:dyDescent="0.2">
      <c r="A80" s="10">
        <v>117990</v>
      </c>
      <c r="B80" s="2">
        <v>20</v>
      </c>
      <c r="C80" s="10">
        <v>21</v>
      </c>
      <c r="D80" s="10">
        <v>23</v>
      </c>
      <c r="E80" s="10"/>
      <c r="F80" s="10"/>
      <c r="G80" s="10"/>
      <c r="H80" s="10"/>
      <c r="I80" s="10"/>
      <c r="J80" s="2">
        <v>30</v>
      </c>
      <c r="K80" s="10">
        <v>48</v>
      </c>
      <c r="L80" s="10">
        <v>50</v>
      </c>
      <c r="M80" s="10"/>
      <c r="N80" s="93"/>
      <c r="O80" s="13"/>
      <c r="P80" s="10">
        <v>40</v>
      </c>
      <c r="Q80" s="10"/>
      <c r="R80" s="2"/>
      <c r="S80" s="10"/>
      <c r="T80" s="13"/>
      <c r="U80" s="1">
        <f t="array" ref="U80">IF(AND(A80&lt;&gt;"",OR(ISNUMBER(B80:I80))),SUM(B80:I80),"")</f>
        <v>64</v>
      </c>
      <c r="V80" s="10">
        <f t="array" ref="V80">IF(AND(A80&lt;&gt;"",OR(ISNUMBER(J80:O80))),SUM(J80:O80),"")</f>
        <v>128</v>
      </c>
      <c r="W80" s="10">
        <f t="array" ref="W80">IF(AND(A80&lt;&gt;"",OR(ISNUMBER(P80),ISNUMBER(Q80))),SUM(MAX(P80:Q80),Q80),"")</f>
        <v>40</v>
      </c>
      <c r="X80" s="10" t="str">
        <f t="array" ref="X80">IF(AND(A80&lt;&gt;"",OR(ISNUMBER(S80),ISNUMBER(T80))),SUM(S80,T80),"")</f>
        <v/>
      </c>
      <c r="Y80" s="13">
        <v>1</v>
      </c>
      <c r="Z80" s="13">
        <f>IF(A80&lt;&gt;"",SUM(U80:Y80),"")</f>
        <v>233</v>
      </c>
      <c r="AA80" s="27">
        <f>IF(A80&lt;&gt;"",(Z80+Normalize_To_Add)/(Point_Total_So_Far)*100,"")</f>
        <v>76.393442622950829</v>
      </c>
      <c r="AB80" s="10">
        <f>IF(A80&lt;&gt;"",RANK(AA80,All_Student_XC),"")</f>
        <v>431</v>
      </c>
      <c r="AC80" s="32" t="str">
        <f>IF(A80&lt;&gt;"",CHOOSE(10-MIN(9,TRUNC((AA80+0.5)/10)),"A","B","C","D","F","F","F","F","F","F"),"")</f>
        <v>C</v>
      </c>
      <c r="AD80" s="31" t="str">
        <f>IF(A80&lt;&gt;"",IF(OR(AA80+0.5&gt;=93,AA80+0.5&lt;60),"",IF(MOD(AA80+0.5,10)&gt;=7,"+",IF(MOD(AA80+0.5,10)&lt;3,"-",""))),"")</f>
        <v/>
      </c>
      <c r="AE80" s="32">
        <f>IF(A80&lt;&gt;"",SUM(W80:X80,$W$8:$X$8)/SUM($W$2:$X$2)*100,"")</f>
        <v>40</v>
      </c>
      <c r="AF80" s="32" t="str">
        <f>IF(A80&lt;&gt;"",CHOOSE(10-MIN(9,TRUNC((AE80+0.5)/10)),"A","B","C","D","F","F","F","F","F","F"),"")</f>
        <v>F</v>
      </c>
      <c r="AG80" s="32" t="str">
        <f>IF(A80&lt;&gt;"",IF(OR(AE80+0.5&gt;=93,AE80+0.5&lt;60),"",IF(MOD(AE80+0.5,10)&gt;=7,"+",IF(MOD(AE80+0.5,10)&lt;3,"-",""))),"")</f>
        <v/>
      </c>
      <c r="AH80" s="36">
        <f>IF(A80&lt;&gt;"",MIN(MAX(AA80,AE80),AA80+$AH$8,AE80+$AH$8),"")</f>
        <v>76.393442622950829</v>
      </c>
      <c r="AI80" s="32" t="str">
        <f>IF(A80&lt;&gt;"",CHOOSE(10-MIN(9,TRUNC((AH80+0.5)/10)),"A","B","C","D","F","F","F","F","F","F"),"")</f>
        <v>C</v>
      </c>
      <c r="AJ80" s="32" t="str">
        <f>IF(A80&lt;&gt;"",IF(OR(AH80+0.5&gt;=93,AH80+0.5&lt;60),"",IF(MOD(AH80+0.5,10)&gt;=7,"+",IF(MOD(AH80+0.5,10)&lt;3,"-",""))),"")</f>
        <v/>
      </c>
      <c r="AK80" s="71" t="b">
        <f>IF(A80&lt;&gt;"",OR(AI80&lt;&gt;AC80,AJ80&lt;&gt;AD80),"")</f>
        <v>0</v>
      </c>
      <c r="AL80" s="86">
        <f>IF(AND(A80&lt;&gt;"",U80&lt;&gt;""),SUM(U80,$AL$8)/$AL$2*100,"")</f>
        <v>85.333333333333343</v>
      </c>
      <c r="AM80" s="71">
        <f>IF(AND(A80&lt;&gt;"",V80&lt;&gt;""),SUM(V80,$AM$8)/$AM$2*100,"")</f>
        <v>98.461538461538467</v>
      </c>
      <c r="AN80" s="71">
        <f>IF(AND(A80&lt;&gt;"",ISNUMBER(P80),P80&gt;=0),SUM(P80,$AN$8)/$AN$2*100,"")</f>
        <v>40</v>
      </c>
      <c r="AO80" s="71" t="str">
        <f>IF(AND(A80&lt;&gt;"",ISNUMBER(Q80),Q80&gt;=0),SUM(Q80,$AO$8)/$AO$2*100,"")</f>
        <v/>
      </c>
      <c r="AP80" s="24" t="str">
        <f>IF(AND(A80&lt;&gt;"",R80&lt;&gt;""),SUM(R80,$AP$8)/$AP$2*100,"")</f>
        <v/>
      </c>
      <c r="AQ80" s="24">
        <f>IF(AND(A80&lt;&gt;"",ISNUMBER(W80),W80&gt;=0),SUM(W80,$AQ$8)/$AQ$2*100,"")</f>
        <v>40</v>
      </c>
      <c r="AR80" s="24" t="str">
        <f>IF(AND(A80&lt;&gt;"",T80&gt;0,ISNUMBER(T80)),SUM(T80,$AR$8)/$AR$2*100,"")</f>
        <v/>
      </c>
      <c r="AS80" s="24" t="str">
        <f>IF(AND(A80&lt;&gt;"",X80&lt;&gt;""),SUM(X80,$AS$8)/$AS$2*100,"")</f>
        <v/>
      </c>
      <c r="AT80" s="89">
        <f>IF(AND(A80&lt;&gt;"",OR(ISNUMBER(W80),ISNUMBER(X80))),SUM(W80:X80,$AT$8)/$AT$2*100,"")</f>
        <v>40</v>
      </c>
      <c r="AU80" s="24">
        <f>AA80</f>
        <v>76.393442622950829</v>
      </c>
      <c r="AV80" s="71"/>
      <c r="AW80" s="27">
        <f>IF(A80&lt;&gt;"",AE80-AA80,"")</f>
        <v>-36.393442622950829</v>
      </c>
      <c r="AY80" s="27" t="b">
        <f>S80&gt;R80</f>
        <v>0</v>
      </c>
      <c r="BA80" s="27" t="e">
        <f>AND(AA80&gt;$BA$3,(W80+$W$8)/$W$2&lt;$BB$3,(X80+$X$8)/$X$2&lt;$BB$3)</f>
        <v>#VALUE!</v>
      </c>
      <c r="BB80" s="27" t="e">
        <f>AND(AA80&lt;$BA$3,AND(W80/$W$2&gt;$BB$3,X80/$X$2&gt;$BB$3))</f>
        <v>#VALUE!</v>
      </c>
      <c r="BC80" s="27" t="e">
        <f>AND(AA80&lt;$BA$3,OR(W80/$W$2&gt;$BB$3,X80/$X$2&gt;$BB$3))</f>
        <v>#VALUE!</v>
      </c>
      <c r="BE80" s="32" t="s">
        <v>84</v>
      </c>
    </row>
    <row r="81" spans="1:57" s="27" customFormat="1" ht="12.75" customHeight="1" x14ac:dyDescent="0.2">
      <c r="A81" s="10">
        <v>118427</v>
      </c>
      <c r="B81" s="2">
        <v>20</v>
      </c>
      <c r="C81" s="10">
        <v>19</v>
      </c>
      <c r="D81" s="10">
        <v>21</v>
      </c>
      <c r="E81" s="10"/>
      <c r="F81" s="10"/>
      <c r="G81" s="3"/>
      <c r="H81" s="10"/>
      <c r="I81" s="10"/>
      <c r="J81" s="2">
        <v>30</v>
      </c>
      <c r="K81" s="10">
        <v>36</v>
      </c>
      <c r="L81" s="10">
        <v>49</v>
      </c>
      <c r="M81" s="10"/>
      <c r="N81" s="93"/>
      <c r="O81" s="12"/>
      <c r="P81" s="10">
        <v>100</v>
      </c>
      <c r="Q81" s="41"/>
      <c r="R81" s="2"/>
      <c r="S81" s="10"/>
      <c r="T81" s="13"/>
      <c r="U81" s="1">
        <f t="array" ref="U81">IF(AND(A81&lt;&gt;"",OR(ISNUMBER(B81:I81))),SUM(B81:I81),"")</f>
        <v>60</v>
      </c>
      <c r="V81" s="10">
        <f t="array" ref="V81">IF(AND(A81&lt;&gt;"",OR(ISNUMBER(J81:O81))),SUM(J81:O81),"")</f>
        <v>115</v>
      </c>
      <c r="W81" s="10">
        <f t="array" ref="W81">IF(AND(A81&lt;&gt;"",OR(ISNUMBER(P81),ISNUMBER(Q81))),SUM(MAX(P81:Q81),Q81),"")</f>
        <v>100</v>
      </c>
      <c r="X81" s="10" t="str">
        <f t="array" ref="X81">IF(AND(A81&lt;&gt;"",OR(ISNUMBER(S81),ISNUMBER(T81))),SUM(S81,T81),"")</f>
        <v/>
      </c>
      <c r="Y81" s="13">
        <v>1</v>
      </c>
      <c r="Z81" s="13">
        <f>IF(A81&lt;&gt;"",SUM(U81:Y81),"")</f>
        <v>276</v>
      </c>
      <c r="AA81" s="27">
        <f>IF(A81&lt;&gt;"",(Z81+Normalize_To_Add)/(Point_Total_So_Far)*100,"")</f>
        <v>90.491803278688522</v>
      </c>
      <c r="AB81" s="10">
        <f>IF(A81&lt;&gt;"",RANK(AA81,All_Student_XC),"")</f>
        <v>330</v>
      </c>
      <c r="AC81" s="32" t="str">
        <f>IF(A81&lt;&gt;"",CHOOSE(10-MIN(9,TRUNC((AA81+0.5)/10)),"A","B","C","D","F","F","F","F","F","F"),"")</f>
        <v>A</v>
      </c>
      <c r="AD81" s="32" t="str">
        <f>IF(A81&lt;&gt;"",IF(OR(AA81+0.5&gt;=93,AA81+0.5&lt;60),"",IF(MOD(AA81+0.5,10)&gt;=7,"+",IF(MOD(AA81+0.5,10)&lt;3,"-",""))),"")</f>
        <v>-</v>
      </c>
      <c r="AE81" s="32">
        <f>IF(A81&lt;&gt;"",SUM(W81:X81,$W$8:$X$8)/SUM($W$2:$X$2)*100,"")</f>
        <v>100</v>
      </c>
      <c r="AF81" s="44" t="str">
        <f>IF(A81&lt;&gt;"",CHOOSE(10-MIN(9,TRUNC((AE81+0.5)/10)),"A","B","C","D","F","F","F","F","F","F"),"")</f>
        <v>A</v>
      </c>
      <c r="AG81" s="44" t="str">
        <f>IF(A81&lt;&gt;"",IF(OR(AE81+0.5&gt;=93,AE81+0.5&lt;60),"",IF(MOD(AE81+0.5,10)&gt;=7,"+",IF(MOD(AE81+0.5,10)&lt;3,"-",""))),"")</f>
        <v/>
      </c>
      <c r="AH81" s="36">
        <f>IF(A81&lt;&gt;"",MIN(MAX(AA81,AE81),AA81+$AH$8,AE81+$AH$8),"")</f>
        <v>100</v>
      </c>
      <c r="AI81" s="32" t="str">
        <f>IF(A81&lt;&gt;"",CHOOSE(10-MIN(9,TRUNC((AH81+0.5)/10)),"A","B","C","D","F","F","F","F","F","F"),"")</f>
        <v>A</v>
      </c>
      <c r="AJ81" s="32" t="str">
        <f>IF(A81&lt;&gt;"",IF(OR(AH81+0.5&gt;=93,AH81+0.5&lt;60),"",IF(MOD(AH81+0.5,10)&gt;=7,"+",IF(MOD(AH81+0.5,10)&lt;3,"-",""))),"")</f>
        <v/>
      </c>
      <c r="AK81" s="32" t="b">
        <f>IF(A81&lt;&gt;"",OR(AI81&lt;&gt;AC81,AJ81&lt;&gt;AD81),"")</f>
        <v>1</v>
      </c>
      <c r="AL81" s="84">
        <f>IF(AND(A81&lt;&gt;"",U81&lt;&gt;""),SUM(U81,$AL$8)/$AL$2*100,"")</f>
        <v>80</v>
      </c>
      <c r="AM81" s="24">
        <f>IF(AND(A81&lt;&gt;"",V81&lt;&gt;""),SUM(V81,$AM$8)/$AM$2*100,"")</f>
        <v>88.461538461538453</v>
      </c>
      <c r="AN81" s="24">
        <f>IF(AND(A81&lt;&gt;"",ISNUMBER(P81),P81&gt;=0),SUM(P81,$AN$8)/$AN$2*100,"")</f>
        <v>100</v>
      </c>
      <c r="AO81" s="24" t="str">
        <f>IF(AND(A81&lt;&gt;"",ISNUMBER(Q81),Q81&gt;=0),SUM(Q81,$AO$8)/$AO$2*100,"")</f>
        <v/>
      </c>
      <c r="AP81" s="24" t="str">
        <f>IF(AND(A81&lt;&gt;"",R81&lt;&gt;""),SUM(R81,$AP$8)/$AP$2*100,"")</f>
        <v/>
      </c>
      <c r="AQ81" s="24">
        <f>IF(AND(A81&lt;&gt;"",ISNUMBER(W81),W81&gt;=0),SUM(W81,$AQ$8)/$AQ$2*100,"")</f>
        <v>100</v>
      </c>
      <c r="AR81" s="24" t="str">
        <f>IF(AND(A81&lt;&gt;"",T81&gt;0,ISNUMBER(T81)),SUM(T81,$AR$8)/$AR$2*100,"")</f>
        <v/>
      </c>
      <c r="AS81" s="24" t="str">
        <f>IF(AND(A81&lt;&gt;"",X81&lt;&gt;""),SUM(X81,$AS$8)/$AS$2*100,"")</f>
        <v/>
      </c>
      <c r="AT81" s="89">
        <f>IF(AND(A81&lt;&gt;"",OR(ISNUMBER(W81),ISNUMBER(X81))),SUM(W81:X81,$AT$8)/$AT$2*100,"")</f>
        <v>100</v>
      </c>
      <c r="AU81" s="24">
        <f>AA81</f>
        <v>90.491803278688522</v>
      </c>
      <c r="AV81" s="24"/>
      <c r="AW81" s="27">
        <f>IF(A81&lt;&gt;"",AE81-AA81,"")</f>
        <v>9.508196721311478</v>
      </c>
      <c r="AY81" s="27" t="b">
        <f>S81&gt;R81</f>
        <v>0</v>
      </c>
      <c r="BA81" s="27" t="e">
        <f>AND(AA81&gt;$BA$3,(W81+$W$8)/$W$2&lt;$BB$3,(X81+$X$8)/$X$2&lt;$BB$3)</f>
        <v>#VALUE!</v>
      </c>
      <c r="BB81" s="27" t="e">
        <f>AND(AA81&lt;$BA$3,AND(W81/$W$2&gt;$BB$3,X81/$X$2&gt;$BB$3))</f>
        <v>#VALUE!</v>
      </c>
      <c r="BC81" s="27" t="e">
        <f>AND(AA81&lt;$BA$3,OR(W81/$W$2&gt;$BB$3,X81/$X$2&gt;$BB$3))</f>
        <v>#VALUE!</v>
      </c>
      <c r="BE81" s="32" t="s">
        <v>85</v>
      </c>
    </row>
    <row r="82" spans="1:57" s="27" customFormat="1" ht="12.75" customHeight="1" x14ac:dyDescent="0.2">
      <c r="A82" s="10">
        <v>119577</v>
      </c>
      <c r="B82" s="2">
        <v>21</v>
      </c>
      <c r="C82" s="10">
        <v>18</v>
      </c>
      <c r="D82" s="10">
        <v>18</v>
      </c>
      <c r="E82" s="10"/>
      <c r="F82" s="10"/>
      <c r="G82" s="10"/>
      <c r="H82" s="10"/>
      <c r="I82" s="10"/>
      <c r="J82" s="2">
        <v>32</v>
      </c>
      <c r="K82" s="10">
        <v>21</v>
      </c>
      <c r="L82" s="10">
        <v>49</v>
      </c>
      <c r="M82" s="10"/>
      <c r="N82" s="93"/>
      <c r="O82" s="13"/>
      <c r="P82" s="10">
        <v>101</v>
      </c>
      <c r="Q82" s="10"/>
      <c r="R82" s="2"/>
      <c r="S82" s="10"/>
      <c r="T82" s="13"/>
      <c r="U82" s="1">
        <f t="array" ref="U82">IF(AND(A82&lt;&gt;"",OR(ISNUMBER(B82:I82))),SUM(B82:I82),"")</f>
        <v>57</v>
      </c>
      <c r="V82" s="10">
        <f t="array" ref="V82">IF(AND(A82&lt;&gt;"",OR(ISNUMBER(J82:O82))),SUM(J82:O82),"")</f>
        <v>102</v>
      </c>
      <c r="W82" s="10">
        <f t="array" ref="W82">IF(AND(A82&lt;&gt;"",OR(ISNUMBER(P82),ISNUMBER(Q82))),SUM(MAX(P82:Q82),Q82),"")</f>
        <v>101</v>
      </c>
      <c r="X82" s="10" t="str">
        <f t="array" ref="X82">IF(AND(A82&lt;&gt;"",OR(ISNUMBER(S82),ISNUMBER(T82))),SUM(S82,T82),"")</f>
        <v/>
      </c>
      <c r="Y82" s="13">
        <v>1</v>
      </c>
      <c r="Z82" s="13">
        <f>IF(A82&lt;&gt;"",SUM(U82:Y82),"")</f>
        <v>261</v>
      </c>
      <c r="AA82" s="27">
        <f>IF(A82&lt;&gt;"",(Z82+Normalize_To_Add)/(Point_Total_So_Far)*100,"")</f>
        <v>85.573770491803288</v>
      </c>
      <c r="AB82" s="10">
        <f>IF(A82&lt;&gt;"",RANK(AA82,All_Student_XC),"")</f>
        <v>374</v>
      </c>
      <c r="AC82" s="32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/>
      </c>
      <c r="AE82" s="32">
        <f>IF(A82&lt;&gt;"",SUM(W82:X82,$W$8:$X$8)/SUM($W$2:$X$2)*100,"")</f>
        <v>101</v>
      </c>
      <c r="AF82" s="32" t="str">
        <f>IF(A82&lt;&gt;"",CHOOSE(10-MIN(9,TRUNC((AE82+0.5)/10)),"A","B","C","D","F","F","F","F","F","F"),"")</f>
        <v>A</v>
      </c>
      <c r="AG82" s="32" t="str">
        <f>IF(A82&lt;&gt;"",IF(OR(AE82+0.5&gt;=93,AE82+0.5&lt;60),"",IF(MOD(AE82+0.5,10)&gt;=7,"+",IF(MOD(AE82+0.5,10)&lt;3,"-",""))),"")</f>
        <v/>
      </c>
      <c r="AH82" s="36">
        <f>IF(A82&lt;&gt;"",MIN(MAX(AA82,AE82),AA82+$AH$8,AE82+$AH$8),"")</f>
        <v>101</v>
      </c>
      <c r="AI82" s="32" t="str">
        <f>IF(A82&lt;&gt;"",CHOOSE(10-MIN(9,TRUNC((AH82+0.5)/10)),"A","B","C","D","F","F","F","F","F","F"),"")</f>
        <v>A</v>
      </c>
      <c r="AJ82" s="32" t="str">
        <f>IF(A82&lt;&gt;"",IF(OR(AH82+0.5&gt;=93,AH82+0.5&lt;60),"",IF(MOD(AH82+0.5,10)&gt;=7,"+",IF(MOD(AH82+0.5,10)&lt;3,"-",""))),"")</f>
        <v/>
      </c>
      <c r="AK82" s="71" t="b">
        <f>IF(A82&lt;&gt;"",OR(AI82&lt;&gt;AC82,AJ82&lt;&gt;AD82),"")</f>
        <v>1</v>
      </c>
      <c r="AL82" s="86">
        <f>IF(AND(A82&lt;&gt;"",U82&lt;&gt;""),SUM(U82,$AL$8)/$AL$2*100,"")</f>
        <v>76</v>
      </c>
      <c r="AM82" s="71">
        <f>IF(AND(A82&lt;&gt;"",V82&lt;&gt;""),SUM(V82,$AM$8)/$AM$2*100,"")</f>
        <v>78.461538461538467</v>
      </c>
      <c r="AN82" s="71">
        <f>IF(AND(A82&lt;&gt;"",ISNUMBER(P82),P82&gt;=0),SUM(P82,$AN$8)/$AN$2*100,"")</f>
        <v>101</v>
      </c>
      <c r="AO82" s="71" t="str">
        <f>IF(AND(A82&lt;&gt;"",ISNUMBER(Q82),Q82&gt;=0),SUM(Q82,$AO$8)/$AO$2*100,"")</f>
        <v/>
      </c>
      <c r="AP82" s="24" t="str">
        <f>IF(AND(A82&lt;&gt;"",R82&lt;&gt;""),SUM(R82,$AP$8)/$AP$2*100,"")</f>
        <v/>
      </c>
      <c r="AQ82" s="24">
        <f>IF(AND(A82&lt;&gt;"",ISNUMBER(W82),W82&gt;=0),SUM(W82,$AQ$8)/$AQ$2*100,"")</f>
        <v>101</v>
      </c>
      <c r="AR82" s="24" t="str">
        <f>IF(AND(A82&lt;&gt;"",T82&gt;0,ISNUMBER(T82)),SUM(T82,$AR$8)/$AR$2*100,"")</f>
        <v/>
      </c>
      <c r="AS82" s="24" t="str">
        <f>IF(AND(A82&lt;&gt;"",X82&lt;&gt;""),SUM(X82,$AS$8)/$AS$2*100,"")</f>
        <v/>
      </c>
      <c r="AT82" s="89">
        <f>IF(AND(A82&lt;&gt;"",OR(ISNUMBER(W82),ISNUMBER(X82))),SUM(W82:X82,$AT$8)/$AT$2*100,"")</f>
        <v>101</v>
      </c>
      <c r="AU82" s="24">
        <f>AA82</f>
        <v>85.573770491803288</v>
      </c>
      <c r="AV82" s="71"/>
      <c r="AW82" s="27">
        <f>IF(A82&lt;&gt;"",AE82-AA82,"")</f>
        <v>15.426229508196712</v>
      </c>
      <c r="AY82" s="27" t="b">
        <f>S82&gt;R82</f>
        <v>0</v>
      </c>
      <c r="BA82" s="27" t="e">
        <f>AND(AA82&gt;$BA$3,(W82+$W$8)/$W$2&lt;$BB$3,(X82+$X$8)/$X$2&lt;$BB$3)</f>
        <v>#VALUE!</v>
      </c>
      <c r="BB82" s="27" t="e">
        <f>AND(AA82&lt;$BA$3,AND(W82/$W$2&gt;$BB$3,X82/$X$2&gt;$BB$3))</f>
        <v>#VALUE!</v>
      </c>
      <c r="BC82" s="27" t="e">
        <f>AND(AA82&lt;$BA$3,OR(W82/$W$2&gt;$BB$3,X82/$X$2&gt;$BB$3))</f>
        <v>#VALUE!</v>
      </c>
      <c r="BE82" s="32" t="s">
        <v>84</v>
      </c>
    </row>
    <row r="83" spans="1:57" s="27" customFormat="1" ht="12.75" customHeight="1" x14ac:dyDescent="0.2">
      <c r="A83" s="10">
        <v>132505</v>
      </c>
      <c r="B83" s="2">
        <v>21</v>
      </c>
      <c r="C83" s="10">
        <v>21</v>
      </c>
      <c r="D83" s="10">
        <v>25</v>
      </c>
      <c r="E83" s="10"/>
      <c r="F83" s="10"/>
      <c r="G83" s="10"/>
      <c r="H83" s="10"/>
      <c r="I83" s="10"/>
      <c r="J83" s="2">
        <v>32</v>
      </c>
      <c r="K83" s="10">
        <v>36</v>
      </c>
      <c r="L83" s="10">
        <v>33</v>
      </c>
      <c r="M83" s="10"/>
      <c r="N83" s="10"/>
      <c r="O83" s="12"/>
      <c r="P83" s="10">
        <v>101</v>
      </c>
      <c r="Q83" s="41"/>
      <c r="R83" s="2"/>
      <c r="S83" s="10"/>
      <c r="T83" s="13"/>
      <c r="U83" s="77">
        <f t="array" ref="U83">IF(AND(A83&lt;&gt;"",OR(ISNUMBER(B83:I83))),SUM(B83:I83),"")</f>
        <v>67</v>
      </c>
      <c r="V83" s="10">
        <f t="array" ref="V83">IF(AND(A83&lt;&gt;"",OR(ISNUMBER(J83:O83))),SUM(J83:O83),"")</f>
        <v>101</v>
      </c>
      <c r="W83" s="10">
        <f t="array" ref="W83">IF(AND(A83&lt;&gt;"",OR(ISNUMBER(P83),ISNUMBER(Q83))),SUM(MAX(P83:Q83),Q83),"")</f>
        <v>101</v>
      </c>
      <c r="X83" s="10" t="str">
        <f t="array" ref="X83">IF(AND(A83&lt;&gt;"",OR(ISNUMBER(S83),ISNUMBER(T83))),SUM(S83,T83),"")</f>
        <v/>
      </c>
      <c r="Y83" s="13">
        <v>1</v>
      </c>
      <c r="Z83" s="13">
        <f>IF(A83&lt;&gt;"",SUM(U83:Y83),"")</f>
        <v>270</v>
      </c>
      <c r="AA83" s="27">
        <f>IF(A83&lt;&gt;"",(Z83+Normalize_To_Add)/(Point_Total_So_Far)*100,"")</f>
        <v>88.52459016393442</v>
      </c>
      <c r="AB83" s="10">
        <f>IF(A83&lt;&gt;"",RANK(AA83,All_Student_XC),"")</f>
        <v>350</v>
      </c>
      <c r="AC83" s="32" t="str">
        <f>IF(A83&lt;&gt;"",CHOOSE(10-MIN(9,TRUNC((AA83+0.5)/10)),"A","B","C","D","F","F","F","F","F","F"),"")</f>
        <v>B</v>
      </c>
      <c r="AD83" s="32" t="str">
        <f>IF(A83&lt;&gt;"",IF(OR(AA83+0.5&gt;=93,AA83+0.5&lt;60),"",IF(MOD(AA83+0.5,10)&gt;=7,"+",IF(MOD(AA83+0.5,10)&lt;3,"-",""))),"")</f>
        <v>+</v>
      </c>
      <c r="AE83" s="32">
        <f>IF(A83&lt;&gt;"",SUM(W83:X83,$W$8:$X$8)/SUM($W$2:$X$2)*100,"")</f>
        <v>101</v>
      </c>
      <c r="AF83" s="32" t="str">
        <f>IF(A83&lt;&gt;"",CHOOSE(10-MIN(9,TRUNC((AE83+0.5)/10)),"A","B","C","D","F","F","F","F","F","F"),"")</f>
        <v>A</v>
      </c>
      <c r="AG83" s="32" t="str">
        <f>IF(A83&lt;&gt;"",IF(OR(AE83+0.5&gt;=93,AE83+0.5&lt;60),"",IF(MOD(AE83+0.5,10)&gt;=7,"+",IF(MOD(AE83+0.5,10)&lt;3,"-",""))),"")</f>
        <v/>
      </c>
      <c r="AH83" s="36">
        <f>IF(A83&lt;&gt;"",MIN(MAX(AA83,AE83),AA83+$AH$8,AE83+$AH$8),"")</f>
        <v>101</v>
      </c>
      <c r="AI83" s="32" t="str">
        <f>IF(A83&lt;&gt;"",CHOOSE(10-MIN(9,TRUNC((AH83+0.5)/10)),"A","B","C","D","F","F","F","F","F","F"),"")</f>
        <v>A</v>
      </c>
      <c r="AJ83" s="32" t="str">
        <f>IF(A83&lt;&gt;"",IF(OR(AH83+0.5&gt;=93,AH83+0.5&lt;60),"",IF(MOD(AH83+0.5,10)&gt;=7,"+",IF(MOD(AH83+0.5,10)&lt;3,"-",""))),"")</f>
        <v/>
      </c>
      <c r="AK83" s="32" t="b">
        <f>IF(A83&lt;&gt;"",OR(AI83&lt;&gt;AC83,AJ83&lt;&gt;AD83),"")</f>
        <v>1</v>
      </c>
      <c r="AL83" s="84">
        <f>IF(AND(A83&lt;&gt;"",U83&lt;&gt;""),SUM(U83,$AL$8)/$AL$2*100,"")</f>
        <v>89.333333333333329</v>
      </c>
      <c r="AM83" s="24">
        <f>IF(AND(A83&lt;&gt;"",V83&lt;&gt;""),SUM(V83,$AM$8)/$AM$2*100,"")</f>
        <v>77.692307692307693</v>
      </c>
      <c r="AN83" s="24">
        <f>IF(AND(A83&lt;&gt;"",ISNUMBER(P83),P83&gt;=0),SUM(P83,$AN$8)/$AN$2*100,"")</f>
        <v>101</v>
      </c>
      <c r="AO83" s="24" t="str">
        <f>IF(AND(A83&lt;&gt;"",ISNUMBER(Q83),Q83&gt;=0),SUM(Q83,$AO$8)/$AO$2*100,"")</f>
        <v/>
      </c>
      <c r="AP83" s="24" t="str">
        <f>IF(AND(A83&lt;&gt;"",R83&lt;&gt;""),SUM(R83,$AP$8)/$AP$2*100,"")</f>
        <v/>
      </c>
      <c r="AQ83" s="24">
        <f>IF(AND(A83&lt;&gt;"",ISNUMBER(W83),W83&gt;=0),SUM(W83,$AQ$8)/$AQ$2*100,"")</f>
        <v>101</v>
      </c>
      <c r="AR83" s="24" t="str">
        <f>IF(AND(A83&lt;&gt;"",T83&gt;0,ISNUMBER(T83)),SUM(T83,$AR$8)/$AR$2*100,"")</f>
        <v/>
      </c>
      <c r="AS83" s="24" t="str">
        <f>IF(AND(A83&lt;&gt;"",X83&lt;&gt;""),SUM(X83,$AS$8)/$AS$2*100,"")</f>
        <v/>
      </c>
      <c r="AT83" s="89">
        <f>IF(AND(A83&lt;&gt;"",OR(ISNUMBER(W83),ISNUMBER(X83))),SUM(W83:X83,$AT$8)/$AT$2*100,"")</f>
        <v>101</v>
      </c>
      <c r="AU83" s="24">
        <f>AA83</f>
        <v>88.52459016393442</v>
      </c>
      <c r="AV83" s="24"/>
      <c r="AW83" s="27">
        <f>IF(A83&lt;&gt;"",AE83-AA83,"")</f>
        <v>12.47540983606558</v>
      </c>
      <c r="AY83" s="27" t="b">
        <f>S83&gt;R83</f>
        <v>0</v>
      </c>
      <c r="BA83" s="27" t="e">
        <f>AND(AA83&gt;$BA$3,(W83+$W$8)/$W$2&lt;$BB$3,(X83+$X$8)/$X$2&lt;$BB$3)</f>
        <v>#VALUE!</v>
      </c>
      <c r="BB83" s="27" t="e">
        <f>AND(AA83&lt;$BA$3,AND(W83/$W$2&gt;$BB$3,X83/$X$2&gt;$BB$3))</f>
        <v>#VALUE!</v>
      </c>
      <c r="BC83" s="27" t="e">
        <f>AND(AA83&lt;$BA$3,OR(W83/$W$2&gt;$BB$3,X83/$X$2&gt;$BB$3))</f>
        <v>#VALUE!</v>
      </c>
      <c r="BE83" s="32">
        <v>32</v>
      </c>
    </row>
    <row r="84" spans="1:57" s="27" customFormat="1" ht="12.75" customHeight="1" x14ac:dyDescent="0.2">
      <c r="A84" s="10">
        <v>134757</v>
      </c>
      <c r="B84" s="2">
        <v>20</v>
      </c>
      <c r="C84" s="10">
        <v>25</v>
      </c>
      <c r="D84" s="10">
        <v>22</v>
      </c>
      <c r="E84" s="10"/>
      <c r="F84" s="10"/>
      <c r="G84" s="10"/>
      <c r="H84" s="10"/>
      <c r="I84" s="10"/>
      <c r="J84" s="2">
        <v>32</v>
      </c>
      <c r="K84" s="10">
        <v>52</v>
      </c>
      <c r="L84" s="10">
        <v>49</v>
      </c>
      <c r="M84" s="10"/>
      <c r="N84" s="93"/>
      <c r="O84" s="13"/>
      <c r="P84" s="10">
        <v>101</v>
      </c>
      <c r="Q84" s="10"/>
      <c r="R84" s="2"/>
      <c r="S84" s="10"/>
      <c r="T84" s="13"/>
      <c r="U84" s="1">
        <f t="array" ref="U84">IF(AND(A84&lt;&gt;"",OR(ISNUMBER(B84:I84))),SUM(B84:I84),"")</f>
        <v>67</v>
      </c>
      <c r="V84" s="10">
        <f t="array" ref="V84">IF(AND(A84&lt;&gt;"",OR(ISNUMBER(J84:O84))),SUM(J84:O84),"")</f>
        <v>133</v>
      </c>
      <c r="W84" s="10">
        <f t="array" ref="W84">IF(AND(A84&lt;&gt;"",OR(ISNUMBER(P84),ISNUMBER(Q84))),SUM(MAX(P84:Q84),Q84),"")</f>
        <v>101</v>
      </c>
      <c r="X84" s="10" t="str">
        <f t="array" ref="X84">IF(AND(A84&lt;&gt;"",OR(ISNUMBER(S84),ISNUMBER(T84))),SUM(S84,T84),"")</f>
        <v/>
      </c>
      <c r="Y84" s="13">
        <v>1</v>
      </c>
      <c r="Z84" s="13">
        <f>IF(A84&lt;&gt;"",SUM(U84:Y84),"")</f>
        <v>302</v>
      </c>
      <c r="AA84" s="27">
        <f>IF(A84&lt;&gt;"",(Z84+Normalize_To_Add)/(Point_Total_So_Far)*100,"")</f>
        <v>99.016393442622956</v>
      </c>
      <c r="AB84" s="10">
        <f>IF(A84&lt;&gt;"",RANK(AA84,All_Student_XC),"")</f>
        <v>164</v>
      </c>
      <c r="AC84" s="32" t="str">
        <f>IF(A84&lt;&gt;"",CHOOSE(10-MIN(9,TRUNC((AA84+0.5)/10)),"A","B","C","D","F","F","F","F","F","F"),"")</f>
        <v>A</v>
      </c>
      <c r="AD84" s="31" t="str">
        <f>IF(A84&lt;&gt;"",IF(OR(AA84+0.5&gt;=93,AA84+0.5&lt;60),"",IF(MOD(AA84+0.5,10)&gt;=7,"+",IF(MOD(AA84+0.5,10)&lt;3,"-",""))),"")</f>
        <v/>
      </c>
      <c r="AE84" s="32">
        <f>IF(A84&lt;&gt;"",SUM(W84:X84,$W$8:$X$8)/SUM($W$2:$X$2)*100,"")</f>
        <v>101</v>
      </c>
      <c r="AF84" s="32" t="str">
        <f>IF(A84&lt;&gt;"",CHOOSE(10-MIN(9,TRUNC((AE84+0.5)/10)),"A","B","C","D","F","F","F","F","F","F"),"")</f>
        <v>A</v>
      </c>
      <c r="AG84" s="32" t="str">
        <f>IF(A84&lt;&gt;"",IF(OR(AE84+0.5&gt;=93,AE84+0.5&lt;60),"",IF(MOD(AE84+0.5,10)&gt;=7,"+",IF(MOD(AE84+0.5,10)&lt;3,"-",""))),"")</f>
        <v/>
      </c>
      <c r="AH84" s="36">
        <f>IF(A84&lt;&gt;"",MIN(MAX(AA84,AE84),AA84+$AH$8,AE84+$AH$8),"")</f>
        <v>101</v>
      </c>
      <c r="AI84" s="32" t="str">
        <f>IF(A84&lt;&gt;"",CHOOSE(10-MIN(9,TRUNC((AH84+0.5)/10)),"A","B","C","D","F","F","F","F","F","F"),"")</f>
        <v>A</v>
      </c>
      <c r="AJ84" s="32" t="str">
        <f>IF(A84&lt;&gt;"",IF(OR(AH84+0.5&gt;=93,AH84+0.5&lt;60),"",IF(MOD(AH84+0.5,10)&gt;=7,"+",IF(MOD(AH84+0.5,10)&lt;3,"-",""))),"")</f>
        <v/>
      </c>
      <c r="AK84" s="71" t="b">
        <f>IF(A84&lt;&gt;"",OR(AI84&lt;&gt;AC84,AJ84&lt;&gt;AD84),"")</f>
        <v>0</v>
      </c>
      <c r="AL84" s="86">
        <f>IF(AND(A84&lt;&gt;"",U84&lt;&gt;""),SUM(U84,$AL$8)/$AL$2*100,"")</f>
        <v>89.333333333333329</v>
      </c>
      <c r="AM84" s="71">
        <f>IF(AND(A84&lt;&gt;"",V84&lt;&gt;""),SUM(V84,$AM$8)/$AM$2*100,"")</f>
        <v>102.30769230769229</v>
      </c>
      <c r="AN84" s="71">
        <f>IF(AND(A84&lt;&gt;"",ISNUMBER(P84),P84&gt;=0),SUM(P84,$AN$8)/$AN$2*100,"")</f>
        <v>101</v>
      </c>
      <c r="AO84" s="71" t="str">
        <f>IF(AND(A84&lt;&gt;"",ISNUMBER(Q84),Q84&gt;=0),SUM(Q84,$AO$8)/$AO$2*100,"")</f>
        <v/>
      </c>
      <c r="AP84" s="24" t="str">
        <f>IF(AND(A84&lt;&gt;"",R84&lt;&gt;""),SUM(R84,$AP$8)/$AP$2*100,"")</f>
        <v/>
      </c>
      <c r="AQ84" s="24">
        <f>IF(AND(A84&lt;&gt;"",ISNUMBER(W84),W84&gt;=0),SUM(W84,$AQ$8)/$AQ$2*100,"")</f>
        <v>101</v>
      </c>
      <c r="AR84" s="24" t="str">
        <f>IF(AND(A84&lt;&gt;"",T84&gt;0,ISNUMBER(T84)),SUM(T84,$AR$8)/$AR$2*100,"")</f>
        <v/>
      </c>
      <c r="AS84" s="24" t="str">
        <f>IF(AND(A84&lt;&gt;"",X84&lt;&gt;""),SUM(X84,$AS$8)/$AS$2*100,"")</f>
        <v/>
      </c>
      <c r="AT84" s="89">
        <f>IF(AND(A84&lt;&gt;"",OR(ISNUMBER(W84),ISNUMBER(X84))),SUM(W84:X84,$AT$8)/$AT$2*100,"")</f>
        <v>101</v>
      </c>
      <c r="AU84" s="24">
        <f>AA84</f>
        <v>99.016393442622956</v>
      </c>
      <c r="AV84" s="71"/>
      <c r="AW84" s="27">
        <f>IF(A84&lt;&gt;"",AE84-AA84,"")</f>
        <v>1.9836065573770441</v>
      </c>
      <c r="AY84" s="27" t="b">
        <f>S84&gt;R84</f>
        <v>0</v>
      </c>
      <c r="BA84" s="27" t="e">
        <f>AND(AA84&gt;$BA$3,(W84+$W$8)/$W$2&lt;$BB$3,(X84+$X$8)/$X$2&lt;$BB$3)</f>
        <v>#VALUE!</v>
      </c>
      <c r="BB84" s="27" t="e">
        <f>AND(AA84&lt;$BA$3,AND(W84/$W$2&gt;$BB$3,X84/$X$2&gt;$BB$3))</f>
        <v>#VALUE!</v>
      </c>
      <c r="BC84" s="27" t="e">
        <f>AND(AA84&lt;$BA$3,OR(W84/$W$2&gt;$BB$3,X84/$X$2&gt;$BB$3))</f>
        <v>#VALUE!</v>
      </c>
      <c r="BE84" s="32" t="s">
        <v>84</v>
      </c>
    </row>
    <row r="85" spans="1:57" s="27" customFormat="1" ht="12.75" customHeight="1" x14ac:dyDescent="0.2">
      <c r="A85">
        <v>136746</v>
      </c>
      <c r="B85" s="55">
        <v>19</v>
      </c>
      <c r="C85" s="10">
        <v>22</v>
      </c>
      <c r="D85" s="10">
        <v>25</v>
      </c>
      <c r="E85" s="10"/>
      <c r="F85" s="10"/>
      <c r="G85" s="3"/>
      <c r="H85" s="10"/>
      <c r="I85" s="10"/>
      <c r="J85" s="2">
        <v>29</v>
      </c>
      <c r="K85" s="10">
        <v>52</v>
      </c>
      <c r="L85" s="10">
        <v>50</v>
      </c>
      <c r="M85" s="10"/>
      <c r="N85" s="93"/>
      <c r="O85" s="12"/>
      <c r="P85" s="10">
        <v>101</v>
      </c>
      <c r="Q85" s="41"/>
      <c r="R85" s="2"/>
      <c r="S85" s="10"/>
      <c r="T85" s="13"/>
      <c r="U85" s="1">
        <f t="array" ref="U85">IF(AND(A85&lt;&gt;"",OR(ISNUMBER(B85:I85))),SUM(B85:I85),"")</f>
        <v>66</v>
      </c>
      <c r="V85" s="10">
        <f t="array" ref="V85">IF(AND(A85&lt;&gt;"",OR(ISNUMBER(J85:O85))),SUM(J85:O85),"")</f>
        <v>131</v>
      </c>
      <c r="W85" s="10">
        <f t="array" ref="W85">IF(AND(A85&lt;&gt;"",OR(ISNUMBER(P85),ISNUMBER(Q85))),SUM(MAX(P85:Q85),Q85),"")</f>
        <v>101</v>
      </c>
      <c r="X85" s="10" t="str">
        <f t="array" ref="X85">IF(AND(A85&lt;&gt;"",OR(ISNUMBER(S85),ISNUMBER(T85))),SUM(S85,T85),"")</f>
        <v/>
      </c>
      <c r="Y85" s="13">
        <v>1</v>
      </c>
      <c r="Z85" s="13">
        <f>IF(A85&lt;&gt;"",SUM(U85:Y85),"")</f>
        <v>299</v>
      </c>
      <c r="AA85" s="27">
        <f>IF(A85&lt;&gt;"",(Z85+Normalize_To_Add)/(Point_Total_So_Far)*100,"")</f>
        <v>98.032786885245898</v>
      </c>
      <c r="AB85" s="10">
        <f>IF(A85&lt;&gt;"",RANK(AA85,All_Student_XC),"")</f>
        <v>195</v>
      </c>
      <c r="AC85" s="32" t="str">
        <f>IF(A85&lt;&gt;"",CHOOSE(10-MIN(9,TRUNC((AA85+0.5)/10)),"A","B","C","D","F","F","F","F","F","F"),"")</f>
        <v>A</v>
      </c>
      <c r="AD85" s="32" t="str">
        <f>IF(A85&lt;&gt;"",IF(OR(AA85+0.5&gt;=93,AA85+0.5&lt;60),"",IF(MOD(AA85+0.5,10)&gt;=7,"+",IF(MOD(AA85+0.5,10)&lt;3,"-",""))),"")</f>
        <v/>
      </c>
      <c r="AE85" s="32">
        <f>IF(A85&lt;&gt;"",SUM(W85:X85,$W$8:$X$8)/SUM($W$2:$X$2)*100,"")</f>
        <v>101</v>
      </c>
      <c r="AF85" s="32" t="str">
        <f>IF(A85&lt;&gt;"",CHOOSE(10-MIN(9,TRUNC((AE85+0.5)/10)),"A","B","C","D","F","F","F","F","F","F"),"")</f>
        <v>A</v>
      </c>
      <c r="AG85" s="32" t="str">
        <f>IF(A85&lt;&gt;"",IF(OR(AE85+0.5&gt;=93,AE85+0.5&lt;60),"",IF(MOD(AE85+0.5,10)&gt;=7,"+",IF(MOD(AE85+0.5,10)&lt;3,"-",""))),"")</f>
        <v/>
      </c>
      <c r="AH85" s="36">
        <f>IF(A85&lt;&gt;"",MIN(MAX(AA85,AE85),AA85+$AH$8,AE85+$AH$8),"")</f>
        <v>101</v>
      </c>
      <c r="AI85" s="32" t="str">
        <f>IF(A85&lt;&gt;"",CHOOSE(10-MIN(9,TRUNC((AH85+0.5)/10)),"A","B","C","D","F","F","F","F","F","F"),"")</f>
        <v>A</v>
      </c>
      <c r="AJ85" s="32" t="str">
        <f>IF(A85&lt;&gt;"",IF(OR(AH85+0.5&gt;=93,AH85+0.5&lt;60),"",IF(MOD(AH85+0.5,10)&gt;=7,"+",IF(MOD(AH85+0.5,10)&lt;3,"-",""))),"")</f>
        <v/>
      </c>
      <c r="AK85" s="32" t="b">
        <f>IF(A85&lt;&gt;"",OR(AI85&lt;&gt;AC85,AJ85&lt;&gt;AD85),"")</f>
        <v>0</v>
      </c>
      <c r="AL85" s="84">
        <f>IF(AND(A85&lt;&gt;"",U85&lt;&gt;""),SUM(U85,$AL$8)/$AL$2*100,"")</f>
        <v>88</v>
      </c>
      <c r="AM85" s="24">
        <f>IF(AND(A85&lt;&gt;"",V85&lt;&gt;""),SUM(V85,$AM$8)/$AM$2*100,"")</f>
        <v>100.76923076923077</v>
      </c>
      <c r="AN85" s="24">
        <f>IF(AND(A85&lt;&gt;"",ISNUMBER(P85),P85&gt;=0),SUM(P85,$AN$8)/$AN$2*100,"")</f>
        <v>101</v>
      </c>
      <c r="AO85" s="24" t="str">
        <f>IF(AND(A85&lt;&gt;"",ISNUMBER(Q85),Q85&gt;=0),SUM(Q85,$AO$8)/$AO$2*100,"")</f>
        <v/>
      </c>
      <c r="AP85" s="24" t="str">
        <f>IF(AND(A85&lt;&gt;"",R85&lt;&gt;""),SUM(R85,$AP$8)/$AP$2*100,"")</f>
        <v/>
      </c>
      <c r="AQ85" s="24">
        <f>IF(AND(A85&lt;&gt;"",ISNUMBER(W85),W85&gt;=0),SUM(W85,$AQ$8)/$AQ$2*100,"")</f>
        <v>101</v>
      </c>
      <c r="AR85" s="24" t="str">
        <f>IF(AND(A85&lt;&gt;"",T85&gt;0,ISNUMBER(T85)),SUM(T85,$AR$8)/$AR$2*100,"")</f>
        <v/>
      </c>
      <c r="AS85" s="24" t="str">
        <f>IF(AND(A85&lt;&gt;"",X85&lt;&gt;""),SUM(X85,$AS$8)/$AS$2*100,"")</f>
        <v/>
      </c>
      <c r="AT85" s="89">
        <f>IF(AND(A85&lt;&gt;"",OR(ISNUMBER(W85),ISNUMBER(X85))),SUM(W85:X85,$AT$8)/$AT$2*100,"")</f>
        <v>101</v>
      </c>
      <c r="AU85" s="24">
        <f>AA85</f>
        <v>98.032786885245898</v>
      </c>
      <c r="AV85" s="24"/>
      <c r="AW85" s="27">
        <f>IF(A85&lt;&gt;"",AE85-AA85,"")</f>
        <v>2.9672131147541023</v>
      </c>
      <c r="AY85" s="27" t="b">
        <f>S85&gt;R85</f>
        <v>0</v>
      </c>
      <c r="BA85" s="27" t="e">
        <f>AND(AA85&gt;$BA$3,(W85+$W$8)/$W$2&lt;$BB$3,(X85+$X$8)/$X$2&lt;$BB$3)</f>
        <v>#VALUE!</v>
      </c>
      <c r="BB85" s="27" t="e">
        <f>AND(AA85&lt;$BA$3,AND(W85/$W$2&gt;$BB$3,X85/$X$2&gt;$BB$3))</f>
        <v>#VALUE!</v>
      </c>
      <c r="BC85" s="27" t="e">
        <f>AND(AA85&lt;$BA$3,OR(W85/$W$2&gt;$BB$3,X85/$X$2&gt;$BB$3))</f>
        <v>#VALUE!</v>
      </c>
      <c r="BE85" s="32">
        <v>32</v>
      </c>
    </row>
    <row r="86" spans="1:57" s="27" customFormat="1" ht="12.75" customHeight="1" x14ac:dyDescent="0.2">
      <c r="A86" s="10">
        <v>138755</v>
      </c>
      <c r="B86" s="2">
        <v>25</v>
      </c>
      <c r="C86" s="41">
        <v>25</v>
      </c>
      <c r="D86" s="10">
        <v>25</v>
      </c>
      <c r="E86" s="10"/>
      <c r="F86" s="10"/>
      <c r="G86" s="3"/>
      <c r="H86" s="10"/>
      <c r="I86" s="10"/>
      <c r="J86" s="2">
        <v>29</v>
      </c>
      <c r="K86" s="10">
        <v>52</v>
      </c>
      <c r="L86" s="10">
        <v>52</v>
      </c>
      <c r="M86" s="10"/>
      <c r="N86" s="93"/>
      <c r="O86" s="12"/>
      <c r="P86" s="10">
        <v>101</v>
      </c>
      <c r="Q86" s="41"/>
      <c r="R86" s="2"/>
      <c r="S86" s="10"/>
      <c r="T86" s="13"/>
      <c r="U86" s="1">
        <f t="array" ref="U86">IF(AND(A86&lt;&gt;"",OR(ISNUMBER(B86:I86))),SUM(B86:I86),"")</f>
        <v>75</v>
      </c>
      <c r="V86" s="10">
        <f t="array" ref="V86">IF(AND(A86&lt;&gt;"",OR(ISNUMBER(J86:O86))),SUM(J86:O86),"")</f>
        <v>133</v>
      </c>
      <c r="W86" s="10">
        <f t="array" ref="W86">IF(AND(A86&lt;&gt;"",OR(ISNUMBER(P86),ISNUMBER(Q86))),SUM(MAX(P86:Q86),Q86),"")</f>
        <v>101</v>
      </c>
      <c r="X86" s="10" t="str">
        <f t="array" ref="X86">IF(AND(A86&lt;&gt;"",OR(ISNUMBER(S86),ISNUMBER(T86))),SUM(S86,T86),"")</f>
        <v/>
      </c>
      <c r="Y86" s="13">
        <v>1</v>
      </c>
      <c r="Z86" s="13">
        <f>IF(A86&lt;&gt;"",SUM(U86:Y86),"")</f>
        <v>310</v>
      </c>
      <c r="AA86" s="27">
        <f>IF(A86&lt;&gt;"",(Z86+Normalize_To_Add)/(Point_Total_So_Far)*100,"")</f>
        <v>101.63934426229508</v>
      </c>
      <c r="AB86" s="10">
        <f>IF(A86&lt;&gt;"",RANK(AA86,All_Student_XC),"")</f>
        <v>19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>
        <f>IF(A86&lt;&gt;"",SUM(W86:X86,$W$8:$X$8)/SUM($W$2:$X$2)*100,"")</f>
        <v>101</v>
      </c>
      <c r="AF86" s="32" t="str">
        <f>IF(A86&lt;&gt;"",CHOOSE(10-MIN(9,TRUNC((AE86+0.5)/10)),"A","B","C","D","F","F","F","F","F","F"),"")</f>
        <v>A</v>
      </c>
      <c r="AG86" s="32" t="str">
        <f>IF(A86&lt;&gt;"",IF(OR(AE86+0.5&gt;=93,AE86+0.5&lt;60),"",IF(MOD(AE86+0.5,10)&gt;=7,"+",IF(MOD(AE86+0.5,10)&lt;3,"-",""))),"")</f>
        <v/>
      </c>
      <c r="AH86" s="36">
        <f>IF(A86&lt;&gt;"",MIN(MAX(AA86,AE86),AA86+$AH$8,AE86+$AH$8),"")</f>
        <v>101.63934426229508</v>
      </c>
      <c r="AI86" s="32" t="str">
        <f>IF(A86&lt;&gt;"",CHOOSE(10-MIN(9,TRUNC((AH86+0.5)/10)),"A","B","C","D","F","F","F","F","F","F"),"")</f>
        <v>A</v>
      </c>
      <c r="AJ86" s="32" t="str">
        <f>IF(A86&lt;&gt;"",IF(OR(AH86+0.5&gt;=93,AH86+0.5&lt;60),"",IF(MOD(AH86+0.5,10)&gt;=7,"+",IF(MOD(AH86+0.5,10)&lt;3,"-",""))),"")</f>
        <v/>
      </c>
      <c r="AK86" s="32" t="b">
        <f>IF(A86&lt;&gt;"",OR(AI86&lt;&gt;AC86,AJ86&lt;&gt;AD86),"")</f>
        <v>0</v>
      </c>
      <c r="AL86" s="84">
        <f>IF(AND(A86&lt;&gt;"",U86&lt;&gt;""),SUM(U86,$AL$8)/$AL$2*100,"")</f>
        <v>100</v>
      </c>
      <c r="AM86" s="24">
        <f>IF(AND(A86&lt;&gt;"",V86&lt;&gt;""),SUM(V86,$AM$8)/$AM$2*100,"")</f>
        <v>102.30769230769229</v>
      </c>
      <c r="AN86" s="24">
        <f>IF(AND(A86&lt;&gt;"",ISNUMBER(P86),P86&gt;=0),SUM(P86,$AN$8)/$AN$2*100,"")</f>
        <v>101</v>
      </c>
      <c r="AO86" s="24" t="str">
        <f>IF(AND(A86&lt;&gt;"",ISNUMBER(Q86),Q86&gt;=0),SUM(Q86,$AO$8)/$AO$2*100,"")</f>
        <v/>
      </c>
      <c r="AP86" s="24" t="str">
        <f>IF(AND(A86&lt;&gt;"",R86&lt;&gt;""),SUM(R86,$AP$8)/$AP$2*100,"")</f>
        <v/>
      </c>
      <c r="AQ86" s="24">
        <f>IF(AND(A86&lt;&gt;"",ISNUMBER(W86),W86&gt;=0),SUM(W86,$AQ$8)/$AQ$2*100,"")</f>
        <v>101</v>
      </c>
      <c r="AR86" s="24" t="str">
        <f>IF(AND(A86&lt;&gt;"",T86&gt;0,ISNUMBER(T86)),SUM(T86,$AR$8)/$AR$2*100,"")</f>
        <v/>
      </c>
      <c r="AS86" s="24" t="str">
        <f>IF(AND(A86&lt;&gt;"",X86&lt;&gt;""),SUM(X86,$AS$8)/$AS$2*100,"")</f>
        <v/>
      </c>
      <c r="AT86" s="89">
        <f>IF(AND(A86&lt;&gt;"",OR(ISNUMBER(W86),ISNUMBER(X86))),SUM(W86:X86,$AT$8)/$AT$2*100,"")</f>
        <v>101</v>
      </c>
      <c r="AU86" s="24">
        <f>AA86</f>
        <v>101.63934426229508</v>
      </c>
      <c r="AV86" s="24"/>
      <c r="AW86" s="27">
        <f>IF(A86&lt;&gt;"",AE86-AA86,"")</f>
        <v>-0.6393442622950829</v>
      </c>
      <c r="AY86" s="27" t="b">
        <f>S86&gt;R86</f>
        <v>0</v>
      </c>
      <c r="BA86" s="27" t="e">
        <f>AND(AA86&gt;$BA$3,(W86+$W$8)/$W$2&lt;$BB$3,(X86+$X$8)/$X$2&lt;$BB$3)</f>
        <v>#VALUE!</v>
      </c>
      <c r="BB86" s="27" t="e">
        <f>AND(AA86&lt;$BA$3,AND(W86/$W$2&gt;$BB$3,X86/$X$2&gt;$BB$3))</f>
        <v>#VALUE!</v>
      </c>
      <c r="BC86" s="27" t="e">
        <f>AND(AA86&lt;$BA$3,OR(W86/$W$2&gt;$BB$3,X86/$X$2&gt;$BB$3))</f>
        <v>#VALUE!</v>
      </c>
      <c r="BE86" s="32">
        <v>32</v>
      </c>
    </row>
    <row r="87" spans="1:57" s="27" customFormat="1" ht="12.75" customHeight="1" x14ac:dyDescent="0.2">
      <c r="A87" s="10">
        <v>139067</v>
      </c>
      <c r="B87" s="2">
        <v>4</v>
      </c>
      <c r="C87" s="10">
        <v>11</v>
      </c>
      <c r="D87" s="10">
        <v>1</v>
      </c>
      <c r="E87" s="10"/>
      <c r="F87" s="10"/>
      <c r="G87" s="10"/>
      <c r="H87" s="10"/>
      <c r="I87" s="10"/>
      <c r="J87" s="2">
        <v>12</v>
      </c>
      <c r="K87" s="10">
        <v>5</v>
      </c>
      <c r="L87" s="10">
        <v>27</v>
      </c>
      <c r="M87" s="10"/>
      <c r="N87" s="93"/>
      <c r="O87" s="13"/>
      <c r="P87" s="10">
        <v>60</v>
      </c>
      <c r="Q87" s="13"/>
      <c r="R87" s="2"/>
      <c r="S87" s="10"/>
      <c r="T87" s="13"/>
      <c r="U87" s="1">
        <f t="array" ref="U87">IF(AND(A87&lt;&gt;"",OR(ISNUMBER(B87:I87))),SUM(B87:I87),"")</f>
        <v>16</v>
      </c>
      <c r="V87" s="10">
        <f t="array" ref="V87">IF(AND(A87&lt;&gt;"",OR(ISNUMBER(J87:O87))),SUM(J87:O87),"")</f>
        <v>44</v>
      </c>
      <c r="W87" s="10">
        <f t="array" ref="W87">IF(AND(A87&lt;&gt;"",OR(ISNUMBER(P87),ISNUMBER(Q87))),SUM(MAX(P87:Q87),Q87),"")</f>
        <v>60</v>
      </c>
      <c r="X87" s="10" t="str">
        <f t="array" ref="X87">IF(AND(A87&lt;&gt;"",OR(ISNUMBER(S87),ISNUMBER(T87))),SUM(S87,T87),"")</f>
        <v/>
      </c>
      <c r="Y87" s="13">
        <v>1</v>
      </c>
      <c r="Z87" s="13">
        <f>IF(A87&lt;&gt;"",SUM(U87:Y87),"")</f>
        <v>121</v>
      </c>
      <c r="AA87" s="27">
        <f>IF(A87&lt;&gt;"",(Z87+Normalize_To_Add)/(Point_Total_So_Far)*100,"")</f>
        <v>39.672131147540988</v>
      </c>
      <c r="AB87" s="10">
        <f>IF(A87&lt;&gt;"",RANK(AA87,All_Student_XC),"")</f>
        <v>499</v>
      </c>
      <c r="AC87" s="32" t="str">
        <f>IF(A87&lt;&gt;"",CHOOSE(10-MIN(9,TRUNC((AA87+0.5)/10)),"A","B","C","D","F","F","F","F","F","F"),"")</f>
        <v>F</v>
      </c>
      <c r="AD87" s="31" t="str">
        <f>IF(A87&lt;&gt;"",IF(OR(AA87+0.5&gt;=93,AA87+0.5&lt;60),"",IF(MOD(AA87+0.5,10)&gt;=7,"+",IF(MOD(AA87+0.5,10)&lt;3,"-",""))),"")</f>
        <v/>
      </c>
      <c r="AE87" s="32">
        <f>IF(A87&lt;&gt;"",SUM(W87:X87,$W$8:$X$8)/SUM($W$2:$X$2)*100,"")</f>
        <v>60</v>
      </c>
      <c r="AF87" s="32" t="str">
        <f>IF(A87&lt;&gt;"",CHOOSE(10-MIN(9,TRUNC((AE87+0.5)/10)),"A","B","C","D","F","F","F","F","F","F"),"")</f>
        <v>D</v>
      </c>
      <c r="AG87" s="32" t="str">
        <f>IF(A87&lt;&gt;"",IF(OR(AE87+0.5&gt;=93,AE87+0.5&lt;60),"",IF(MOD(AE87+0.5,10)&gt;=7,"+",IF(MOD(AE87+0.5,10)&lt;3,"-",""))),"")</f>
        <v>-</v>
      </c>
      <c r="AH87" s="36">
        <f>IF(A87&lt;&gt;"",MIN(MAX(AA87,AE87),AA87+$AH$8,AE87+$AH$8),"")</f>
        <v>60</v>
      </c>
      <c r="AI87" s="32" t="str">
        <f>IF(A87&lt;&gt;"",CHOOSE(10-MIN(9,TRUNC((AH87+0.5)/10)),"A","B","C","D","F","F","F","F","F","F"),"")</f>
        <v>D</v>
      </c>
      <c r="AJ87" s="32" t="str">
        <f>IF(A87&lt;&gt;"",IF(OR(AH87+0.5&gt;=93,AH87+0.5&lt;60),"",IF(MOD(AH87+0.5,10)&gt;=7,"+",IF(MOD(AH87+0.5,10)&lt;3,"-",""))),"")</f>
        <v>-</v>
      </c>
      <c r="AK87" s="71" t="b">
        <f>IF(A87&lt;&gt;"",OR(AI87&lt;&gt;AC87,AJ87&lt;&gt;AD87),"")</f>
        <v>1</v>
      </c>
      <c r="AL87" s="86">
        <f>IF(AND(A87&lt;&gt;"",U87&lt;&gt;""),SUM(U87,$AL$8)/$AL$2*100,"")</f>
        <v>21.333333333333336</v>
      </c>
      <c r="AM87" s="71">
        <f>IF(AND(A87&lt;&gt;"",V87&lt;&gt;""),SUM(V87,$AM$8)/$AM$2*100,"")</f>
        <v>33.846153846153847</v>
      </c>
      <c r="AN87" s="71">
        <f>IF(AND(A87&lt;&gt;"",ISNUMBER(P87),P87&gt;=0),SUM(P87,$AN$8)/$AN$2*100,"")</f>
        <v>60</v>
      </c>
      <c r="AO87" s="71" t="str">
        <f>IF(AND(A87&lt;&gt;"",ISNUMBER(Q87),Q87&gt;=0),SUM(Q87,$AO$8)/$AO$2*100,"")</f>
        <v/>
      </c>
      <c r="AP87" s="24" t="str">
        <f>IF(AND(A87&lt;&gt;"",R87&lt;&gt;""),SUM(R87,$AP$8)/$AP$2*100,"")</f>
        <v/>
      </c>
      <c r="AQ87" s="24">
        <f>IF(AND(A87&lt;&gt;"",ISNUMBER(W87),W87&gt;=0),SUM(W87,$AQ$8)/$AQ$2*100,"")</f>
        <v>60</v>
      </c>
      <c r="AR87" s="24" t="str">
        <f>IF(AND(A87&lt;&gt;"",T87&gt;0,ISNUMBER(T87)),SUM(T87,$AR$8)/$AR$2*100,"")</f>
        <v/>
      </c>
      <c r="AS87" s="24" t="str">
        <f>IF(AND(A87&lt;&gt;"",X87&lt;&gt;""),SUM(X87,$AS$8)/$AS$2*100,"")</f>
        <v/>
      </c>
      <c r="AT87" s="89">
        <f>IF(AND(A87&lt;&gt;"",OR(ISNUMBER(W87),ISNUMBER(X87))),SUM(W87:X87,$AT$8)/$AT$2*100,"")</f>
        <v>60</v>
      </c>
      <c r="AU87" s="24">
        <f>AA87</f>
        <v>39.672131147540988</v>
      </c>
      <c r="AV87" s="71"/>
      <c r="AW87" s="27">
        <f>IF(A87&lt;&gt;"",AE87-AA87,"")</f>
        <v>20.327868852459012</v>
      </c>
      <c r="AY87" s="27" t="b">
        <f>S87&gt;R87</f>
        <v>0</v>
      </c>
      <c r="BA87" s="27" t="e">
        <f>AND(AA87&gt;$BA$3,(W87+$W$8)/$W$2&lt;$BB$3,(X87+$X$8)/$X$2&lt;$BB$3)</f>
        <v>#VALUE!</v>
      </c>
      <c r="BB87" s="27" t="e">
        <f>AND(AA87&lt;$BA$3,AND(W87/$W$2&gt;$BB$3,X87/$X$2&gt;$BB$3))</f>
        <v>#VALUE!</v>
      </c>
      <c r="BC87" s="27" t="e">
        <f>AND(AA87&lt;$BA$3,OR(W87/$W$2&gt;$BB$3,X87/$X$2&gt;$BB$3))</f>
        <v>#VALUE!</v>
      </c>
      <c r="BE87" s="32">
        <v>32</v>
      </c>
    </row>
    <row r="88" spans="1:57" s="27" customFormat="1" ht="12.75" customHeight="1" x14ac:dyDescent="0.2">
      <c r="A88" s="10">
        <v>139369</v>
      </c>
      <c r="B88" s="2">
        <v>22</v>
      </c>
      <c r="C88" s="10">
        <v>23</v>
      </c>
      <c r="D88" s="10">
        <v>25</v>
      </c>
      <c r="E88" s="10"/>
      <c r="F88" s="10"/>
      <c r="G88" s="3"/>
      <c r="H88" s="10"/>
      <c r="I88" s="10"/>
      <c r="J88" s="2">
        <v>32</v>
      </c>
      <c r="K88" s="10">
        <v>49</v>
      </c>
      <c r="L88" s="10">
        <v>49</v>
      </c>
      <c r="M88" s="10"/>
      <c r="N88" s="10"/>
      <c r="O88" s="12"/>
      <c r="P88" s="7">
        <v>101</v>
      </c>
      <c r="Q88" s="7"/>
      <c r="R88" s="2"/>
      <c r="S88" s="10"/>
      <c r="T88" s="13"/>
      <c r="U88" s="77">
        <f t="array" ref="U88">IF(AND(A88&lt;&gt;"",OR(ISNUMBER(B88:I88))),SUM(B88:I88),"")</f>
        <v>70</v>
      </c>
      <c r="V88" s="10">
        <f t="array" ref="V88">IF(AND(A88&lt;&gt;"",OR(ISNUMBER(J88:O88))),SUM(J88:O88),"")</f>
        <v>130</v>
      </c>
      <c r="W88" s="10">
        <f t="array" ref="W88">IF(AND(A88&lt;&gt;"",OR(ISNUMBER(P88),ISNUMBER(Q88))),SUM(MAX(P88:Q88),Q88),"")</f>
        <v>101</v>
      </c>
      <c r="X88" s="10" t="str">
        <f t="array" ref="X88">IF(AND(A88&lt;&gt;"",OR(ISNUMBER(S88),ISNUMBER(T88))),SUM(S88,T88),"")</f>
        <v/>
      </c>
      <c r="Y88" s="13">
        <v>1</v>
      </c>
      <c r="Z88" s="13">
        <f>IF(A88&lt;&gt;"",SUM(U88:Y88),"")</f>
        <v>302</v>
      </c>
      <c r="AA88" s="27">
        <f>IF(A88&lt;&gt;"",(Z88+Normalize_To_Add)/(Point_Total_So_Far)*100,"")</f>
        <v>99.016393442622956</v>
      </c>
      <c r="AB88" s="10">
        <f>IF(A88&lt;&gt;"",RANK(AA88,All_Student_XC),"")</f>
        <v>164</v>
      </c>
      <c r="AC88" s="32" t="str">
        <f>IF(A88&lt;&gt;"",CHOOSE(10-MIN(9,TRUNC((AA88+0.5)/10)),"A","B","C","D","F","F","F","F","F","F"),"")</f>
        <v>A</v>
      </c>
      <c r="AD88" s="32" t="str">
        <f>IF(A88&lt;&gt;"",IF(OR(AA88+0.5&gt;=93,AA88+0.5&lt;60),"",IF(MOD(AA88+0.5,10)&gt;=7,"+",IF(MOD(AA88+0.5,10)&lt;3,"-",""))),"")</f>
        <v/>
      </c>
      <c r="AE88" s="32">
        <f>IF(A88&lt;&gt;"",SUM(W88:X88,$W$8:$X$8)/SUM($W$2:$X$2)*100,"")</f>
        <v>101</v>
      </c>
      <c r="AF88" s="32" t="str">
        <f>IF(A88&lt;&gt;"",CHOOSE(10-MIN(9,TRUNC((AE88+0.5)/10)),"A","B","C","D","F","F","F","F","F","F"),"")</f>
        <v>A</v>
      </c>
      <c r="AG88" s="32" t="str">
        <f>IF(A88&lt;&gt;"",IF(OR(AE88+0.5&gt;=93,AE88+0.5&lt;60),"",IF(MOD(AE88+0.5,10)&gt;=7,"+",IF(MOD(AE88+0.5,10)&lt;3,"-",""))),"")</f>
        <v/>
      </c>
      <c r="AH88" s="36">
        <f>IF(A88&lt;&gt;"",MIN(MAX(AA88,AE88),AA88+$AH$8,AE88+$AH$8),"")</f>
        <v>101</v>
      </c>
      <c r="AI88" s="32" t="str">
        <f>IF(A88&lt;&gt;"",CHOOSE(10-MIN(9,TRUNC((AH88+0.5)/10)),"A","B","C","D","F","F","F","F","F","F"),"")</f>
        <v>A</v>
      </c>
      <c r="AJ88" s="32" t="str">
        <f>IF(A88&lt;&gt;"",IF(OR(AH88+0.5&gt;=93,AH88+0.5&lt;60),"",IF(MOD(AH88+0.5,10)&gt;=7,"+",IF(MOD(AH88+0.5,10)&lt;3,"-",""))),"")</f>
        <v/>
      </c>
      <c r="AK88" s="32" t="b">
        <f>IF(A88&lt;&gt;"",OR(AI88&lt;&gt;AC88,AJ88&lt;&gt;AD88),"")</f>
        <v>0</v>
      </c>
      <c r="AL88" s="84">
        <f>IF(AND(A88&lt;&gt;"",U88&lt;&gt;""),SUM(U88,$AL$8)/$AL$2*100,"")</f>
        <v>93.333333333333329</v>
      </c>
      <c r="AM88" s="24">
        <f>IF(AND(A88&lt;&gt;"",V88&lt;&gt;""),SUM(V88,$AM$8)/$AM$2*100,"")</f>
        <v>100</v>
      </c>
      <c r="AN88" s="24">
        <f>IF(AND(A88&lt;&gt;"",ISNUMBER(P88),P88&gt;=0),SUM(P88,$AN$8)/$AN$2*100,"")</f>
        <v>101</v>
      </c>
      <c r="AO88" s="24" t="str">
        <f>IF(AND(A88&lt;&gt;"",ISNUMBER(Q88),Q88&gt;=0),SUM(Q88,$AO$8)/$AO$2*100,"")</f>
        <v/>
      </c>
      <c r="AP88" s="24" t="str">
        <f>IF(AND(A88&lt;&gt;"",R88&lt;&gt;""),SUM(R88,$AP$8)/$AP$2*100,"")</f>
        <v/>
      </c>
      <c r="AQ88" s="24">
        <f>IF(AND(A88&lt;&gt;"",ISNUMBER(W88),W88&gt;=0),SUM(W88,$AQ$8)/$AQ$2*100,"")</f>
        <v>101</v>
      </c>
      <c r="AR88" s="24" t="str">
        <f>IF(AND(A88&lt;&gt;"",T88&gt;0,ISNUMBER(T88)),SUM(T88,$AR$8)/$AR$2*100,"")</f>
        <v/>
      </c>
      <c r="AS88" s="24" t="str">
        <f>IF(AND(A88&lt;&gt;"",X88&lt;&gt;""),SUM(X88,$AS$8)/$AS$2*100,"")</f>
        <v/>
      </c>
      <c r="AT88" s="89">
        <f>IF(AND(A88&lt;&gt;"",OR(ISNUMBER(W88),ISNUMBER(X88))),SUM(W88:X88,$AT$8)/$AT$2*100,"")</f>
        <v>101</v>
      </c>
      <c r="AU88" s="24">
        <f>AA88</f>
        <v>99.016393442622956</v>
      </c>
      <c r="AV88" s="24"/>
      <c r="AW88" s="27">
        <f>IF(A88&lt;&gt;"",AE88-AA88,"")</f>
        <v>1.9836065573770441</v>
      </c>
      <c r="AY88" s="27" t="b">
        <f>S88&gt;R88</f>
        <v>0</v>
      </c>
      <c r="BA88" s="27" t="e">
        <f>AND(AA88&gt;$BA$3,(W88+$W$8)/$W$2&lt;$BB$3,(X88+$X$8)/$X$2&lt;$BB$3)</f>
        <v>#VALUE!</v>
      </c>
      <c r="BB88" s="27" t="e">
        <f>AND(AA88&lt;$BA$3,AND(W88/$W$2&gt;$BB$3,X88/$X$2&gt;$BB$3))</f>
        <v>#VALUE!</v>
      </c>
      <c r="BC88" s="27" t="e">
        <f>AND(AA88&lt;$BA$3,OR(W88/$W$2&gt;$BB$3,X88/$X$2&gt;$BB$3))</f>
        <v>#VALUE!</v>
      </c>
      <c r="BE88" s="32" t="s">
        <v>84</v>
      </c>
    </row>
    <row r="89" spans="1:57" s="27" customFormat="1" ht="12.75" customHeight="1" x14ac:dyDescent="0.2">
      <c r="A89" s="10">
        <v>140410</v>
      </c>
      <c r="B89" s="2">
        <v>24</v>
      </c>
      <c r="C89" s="10">
        <v>23</v>
      </c>
      <c r="D89" s="10">
        <v>25</v>
      </c>
      <c r="E89" s="10"/>
      <c r="F89" s="10"/>
      <c r="G89" s="10"/>
      <c r="H89" s="10"/>
      <c r="I89" s="10"/>
      <c r="J89" s="2">
        <v>30</v>
      </c>
      <c r="K89" s="10">
        <v>51</v>
      </c>
      <c r="L89" s="10">
        <v>49</v>
      </c>
      <c r="M89" s="10"/>
      <c r="N89" s="93"/>
      <c r="O89" s="13"/>
      <c r="P89" s="10">
        <v>101</v>
      </c>
      <c r="Q89" s="10"/>
      <c r="R89" s="2"/>
      <c r="S89" s="10"/>
      <c r="T89" s="13"/>
      <c r="U89" s="1">
        <f t="array" ref="U89">IF(AND(A89&lt;&gt;"",OR(ISNUMBER(B89:I89))),SUM(B89:I89),"")</f>
        <v>72</v>
      </c>
      <c r="V89" s="10">
        <f t="array" ref="V89">IF(AND(A89&lt;&gt;"",OR(ISNUMBER(J89:O89))),SUM(J89:O89),"")</f>
        <v>130</v>
      </c>
      <c r="W89" s="10">
        <f t="array" ref="W89">IF(AND(A89&lt;&gt;"",OR(ISNUMBER(P89),ISNUMBER(Q89))),SUM(MAX(P89:Q89),Q89),"")</f>
        <v>101</v>
      </c>
      <c r="X89" s="10" t="str">
        <f t="array" ref="X89">IF(AND(A89&lt;&gt;"",OR(ISNUMBER(S89),ISNUMBER(T89))),SUM(S89,T89),"")</f>
        <v/>
      </c>
      <c r="Y89" s="13">
        <v>1</v>
      </c>
      <c r="Z89" s="13">
        <f>IF(A89&lt;&gt;"",SUM(U89:Y89),"")</f>
        <v>304</v>
      </c>
      <c r="AA89" s="27">
        <f>IF(A89&lt;&gt;"",(Z89+Normalize_To_Add)/(Point_Total_So_Far)*100,"")</f>
        <v>99.672131147540995</v>
      </c>
      <c r="AB89" s="10">
        <f>IF(A89&lt;&gt;"",RANK(AA89,All_Student_XC),"")</f>
        <v>124</v>
      </c>
      <c r="AC89" s="32" t="str">
        <f>IF(A89&lt;&gt;"",CHOOSE(10-MIN(9,TRUNC((AA89+0.5)/10)),"A","B","C","D","F","F","F","F","F","F"),"")</f>
        <v>A</v>
      </c>
      <c r="AD89" s="31" t="str">
        <f>IF(A89&lt;&gt;"",IF(OR(AA89+0.5&gt;=93,AA89+0.5&lt;60),"",IF(MOD(AA89+0.5,10)&gt;=7,"+",IF(MOD(AA89+0.5,10)&lt;3,"-",""))),"")</f>
        <v/>
      </c>
      <c r="AE89" s="32">
        <f>IF(A89&lt;&gt;"",SUM(W89:X89,$W$8:$X$8)/SUM($W$2:$X$2)*100,"")</f>
        <v>101</v>
      </c>
      <c r="AF89" s="32" t="str">
        <f>IF(A89&lt;&gt;"",CHOOSE(10-MIN(9,TRUNC((AE89+0.5)/10)),"A","B","C","D","F","F","F","F","F","F"),"")</f>
        <v>A</v>
      </c>
      <c r="AG89" s="32" t="str">
        <f>IF(A89&lt;&gt;"",IF(OR(AE89+0.5&gt;=93,AE89+0.5&lt;60),"",IF(MOD(AE89+0.5,10)&gt;=7,"+",IF(MOD(AE89+0.5,10)&lt;3,"-",""))),"")</f>
        <v/>
      </c>
      <c r="AH89" s="36">
        <f>IF(A89&lt;&gt;"",MIN(MAX(AA89,AE89),AA89+$AH$8,AE89+$AH$8),"")</f>
        <v>101</v>
      </c>
      <c r="AI89" s="32" t="str">
        <f>IF(A89&lt;&gt;"",CHOOSE(10-MIN(9,TRUNC((AH89+0.5)/10)),"A","B","C","D","F","F","F","F","F","F"),"")</f>
        <v>A</v>
      </c>
      <c r="AJ89" s="32" t="str">
        <f>IF(A89&lt;&gt;"",IF(OR(AH89+0.5&gt;=93,AH89+0.5&lt;60),"",IF(MOD(AH89+0.5,10)&gt;=7,"+",IF(MOD(AH89+0.5,10)&lt;3,"-",""))),"")</f>
        <v/>
      </c>
      <c r="AK89" s="71" t="b">
        <f>IF(A89&lt;&gt;"",OR(AI89&lt;&gt;AC89,AJ89&lt;&gt;AD89),"")</f>
        <v>0</v>
      </c>
      <c r="AL89" s="86">
        <f>IF(AND(A89&lt;&gt;"",U89&lt;&gt;""),SUM(U89,$AL$8)/$AL$2*100,"")</f>
        <v>96</v>
      </c>
      <c r="AM89" s="71">
        <f>IF(AND(A89&lt;&gt;"",V89&lt;&gt;""),SUM(V89,$AM$8)/$AM$2*100,"")</f>
        <v>100</v>
      </c>
      <c r="AN89" s="71">
        <f>IF(AND(A89&lt;&gt;"",ISNUMBER(P89),P89&gt;=0),SUM(P89,$AN$8)/$AN$2*100,"")</f>
        <v>101</v>
      </c>
      <c r="AO89" s="71" t="str">
        <f>IF(AND(A89&lt;&gt;"",ISNUMBER(Q89),Q89&gt;=0),SUM(Q89,$AO$8)/$AO$2*100,"")</f>
        <v/>
      </c>
      <c r="AP89" s="24" t="str">
        <f>IF(AND(A89&lt;&gt;"",R89&lt;&gt;""),SUM(R89,$AP$8)/$AP$2*100,"")</f>
        <v/>
      </c>
      <c r="AQ89" s="24">
        <f>IF(AND(A89&lt;&gt;"",ISNUMBER(W89),W89&gt;=0),SUM(W89,$AQ$8)/$AQ$2*100,"")</f>
        <v>101</v>
      </c>
      <c r="AR89" s="24" t="str">
        <f>IF(AND(A89&lt;&gt;"",T89&gt;0,ISNUMBER(T89)),SUM(T89,$AR$8)/$AR$2*100,"")</f>
        <v/>
      </c>
      <c r="AS89" s="24" t="str">
        <f>IF(AND(A89&lt;&gt;"",X89&lt;&gt;""),SUM(X89,$AS$8)/$AS$2*100,"")</f>
        <v/>
      </c>
      <c r="AT89" s="89">
        <f>IF(AND(A89&lt;&gt;"",OR(ISNUMBER(W89),ISNUMBER(X89))),SUM(W89:X89,$AT$8)/$AT$2*100,"")</f>
        <v>101</v>
      </c>
      <c r="AU89" s="24">
        <f>AA89</f>
        <v>99.672131147540995</v>
      </c>
      <c r="AV89" s="71"/>
      <c r="AW89" s="27">
        <f>IF(A89&lt;&gt;"",AE89-AA89,"")</f>
        <v>1.3278688524590052</v>
      </c>
      <c r="AY89" s="27" t="b">
        <f>S89&gt;R89</f>
        <v>0</v>
      </c>
      <c r="BA89" s="27" t="e">
        <f>AND(AA89&gt;$BA$3,(W89+$W$8)/$W$2&lt;$BB$3,(X89+$X$8)/$X$2&lt;$BB$3)</f>
        <v>#VALUE!</v>
      </c>
      <c r="BB89" s="27" t="e">
        <f>AND(AA89&lt;$BA$3,AND(W89/$W$2&gt;$BB$3,X89/$X$2&gt;$BB$3))</f>
        <v>#VALUE!</v>
      </c>
      <c r="BC89" s="27" t="e">
        <f>AND(AA89&lt;$BA$3,OR(W89/$W$2&gt;$BB$3,X89/$X$2&gt;$BB$3))</f>
        <v>#VALUE!</v>
      </c>
      <c r="BE89" s="32" t="s">
        <v>84</v>
      </c>
    </row>
    <row r="90" spans="1:57" s="99" customFormat="1" ht="12.75" customHeight="1" x14ac:dyDescent="0.2">
      <c r="A90" s="78">
        <v>142246</v>
      </c>
      <c r="B90" s="97">
        <v>16</v>
      </c>
      <c r="C90" s="78">
        <v>21</v>
      </c>
      <c r="D90" s="78">
        <v>20</v>
      </c>
      <c r="E90" s="78"/>
      <c r="F90" s="78"/>
      <c r="G90" s="78"/>
      <c r="H90" s="78"/>
      <c r="I90" s="78"/>
      <c r="J90" s="97">
        <v>30</v>
      </c>
      <c r="K90" s="78">
        <v>52</v>
      </c>
      <c r="L90" s="78">
        <v>46</v>
      </c>
      <c r="M90" s="78"/>
      <c r="N90" s="78"/>
      <c r="O90" s="98"/>
      <c r="P90" s="78">
        <v>101</v>
      </c>
      <c r="Q90" s="78"/>
      <c r="R90" s="97"/>
      <c r="S90" s="78"/>
      <c r="T90" s="98"/>
      <c r="U90" s="111">
        <f t="array" ref="U90">IF(AND(A90&lt;&gt;"",OR(ISNUMBER(B90:I90))),SUM(B90:I90),"")</f>
        <v>57</v>
      </c>
      <c r="V90" s="78">
        <f t="array" ref="V90">IF(AND(A90&lt;&gt;"",OR(ISNUMBER(J90:O90))),SUM(J90:O90),"")</f>
        <v>128</v>
      </c>
      <c r="W90" s="78">
        <f t="array" ref="W90">IF(AND(A90&lt;&gt;"",OR(ISNUMBER(P90),ISNUMBER(Q90))),SUM(MAX(P90:Q90),Q90),"")</f>
        <v>101</v>
      </c>
      <c r="X90" s="78" t="str">
        <f t="array" ref="X90">IF(AND(A90&lt;&gt;"",OR(ISNUMBER(S90),ISNUMBER(T90))),SUM(S90,T90),"")</f>
        <v/>
      </c>
      <c r="Y90" s="98">
        <v>1</v>
      </c>
      <c r="Z90" s="98">
        <f>IF(A90&lt;&gt;"",SUM(U90:Y90),"")</f>
        <v>287</v>
      </c>
      <c r="AA90" s="99">
        <f>IF(A90&lt;&gt;"",(Z90+Normalize_To_Add)/(Point_Total_So_Far)*100,"")</f>
        <v>94.098360655737707</v>
      </c>
      <c r="AB90" s="78">
        <f>IF(A90&lt;&gt;"",RANK(AA90,All_Student_XC),"")</f>
        <v>285</v>
      </c>
      <c r="AC90" s="100" t="str">
        <f>IF(A90&lt;&gt;"",CHOOSE(10-MIN(9,TRUNC((AA90+0.5)/10)),"A","B","C","D","F","F","F","F","F","F"),"")</f>
        <v>A</v>
      </c>
      <c r="AD90" s="96" t="str">
        <f>IF(A90&lt;&gt;"",IF(OR(AA90+0.5&gt;=93,AA90+0.5&lt;60),"",IF(MOD(AA90+0.5,10)&gt;=7,"+",IF(MOD(AA90+0.5,10)&lt;3,"-",""))),"")</f>
        <v/>
      </c>
      <c r="AE90" s="100">
        <f>IF(A90&lt;&gt;"",SUM(W90:X90,$W$8:$X$8)/SUM($W$2:$X$2)*100,"")</f>
        <v>101</v>
      </c>
      <c r="AF90" s="100" t="str">
        <f>IF(A90&lt;&gt;"",CHOOSE(10-MIN(9,TRUNC((AE90+0.5)/10)),"A","B","C","D","F","F","F","F","F","F"),"")</f>
        <v>A</v>
      </c>
      <c r="AG90" s="100" t="str">
        <f>IF(A90&lt;&gt;"",IF(OR(AE90+0.5&gt;=93,AE90+0.5&lt;60),"",IF(MOD(AE90+0.5,10)&gt;=7,"+",IF(MOD(AE90+0.5,10)&lt;3,"-",""))),"")</f>
        <v/>
      </c>
      <c r="AH90" s="101">
        <f>IF(A90&lt;&gt;"",MIN(MAX(AA90,AE90),AA90+$AH$8,AE90+$AH$8),"")</f>
        <v>101</v>
      </c>
      <c r="AI90" s="100" t="str">
        <f>IF(A90&lt;&gt;"",CHOOSE(10-MIN(9,TRUNC((AH90+0.5)/10)),"A","B","C","D","F","F","F","F","F","F"),"")</f>
        <v>A</v>
      </c>
      <c r="AJ90" s="100" t="str">
        <f>IF(A90&lt;&gt;"",IF(OR(AH90+0.5&gt;=93,AH90+0.5&lt;60),"",IF(MOD(AH90+0.5,10)&gt;=7,"+",IF(MOD(AH90+0.5,10)&lt;3,"-",""))),"")</f>
        <v/>
      </c>
      <c r="AK90" s="95" t="b">
        <f>IF(A90&lt;&gt;"",OR(AI90&lt;&gt;AC90,AJ90&lt;&gt;AD90),"")</f>
        <v>0</v>
      </c>
      <c r="AL90" s="104">
        <f>IF(AND(A90&lt;&gt;"",U90&lt;&gt;""),SUM(U90,$AL$8)/$AL$2*100,"")</f>
        <v>76</v>
      </c>
      <c r="AM90" s="95">
        <f>IF(AND(A90&lt;&gt;"",V90&lt;&gt;""),SUM(V90,$AM$8)/$AM$2*100,"")</f>
        <v>98.461538461538467</v>
      </c>
      <c r="AN90" s="95">
        <f>IF(AND(A90&lt;&gt;"",ISNUMBER(P90),P90&gt;=0),SUM(P90,$AN$8)/$AN$2*100,"")</f>
        <v>101</v>
      </c>
      <c r="AO90" s="95" t="str">
        <f>IF(AND(A90&lt;&gt;"",ISNUMBER(Q90),Q90&gt;=0),SUM(Q90,$AO$8)/$AO$2*100,"")</f>
        <v/>
      </c>
      <c r="AP90" s="94" t="str">
        <f>IF(AND(A90&lt;&gt;"",R90&lt;&gt;""),SUM(R90,$AP$8)/$AP$2*100,"")</f>
        <v/>
      </c>
      <c r="AQ90" s="94">
        <f>IF(AND(A90&lt;&gt;"",ISNUMBER(W90),W90&gt;=0),SUM(W90,$AQ$8)/$AQ$2*100,"")</f>
        <v>101</v>
      </c>
      <c r="AR90" s="94" t="str">
        <f>IF(AND(A90&lt;&gt;"",T90&gt;0,ISNUMBER(T90)),SUM(T90,$AR$8)/$AR$2*100,"")</f>
        <v/>
      </c>
      <c r="AS90" s="94" t="str">
        <f>IF(AND(A90&lt;&gt;"",X90&lt;&gt;""),SUM(X90,$AS$8)/$AS$2*100,"")</f>
        <v/>
      </c>
      <c r="AT90" s="102">
        <f>IF(AND(A90&lt;&gt;"",OR(ISNUMBER(W90),ISNUMBER(X90))),SUM(W90:X90,$AT$8)/$AT$2*100,"")</f>
        <v>101</v>
      </c>
      <c r="AU90" s="94">
        <f>AA90</f>
        <v>94.098360655737707</v>
      </c>
      <c r="AV90" s="95"/>
      <c r="AW90" s="99">
        <f>IF(A90&lt;&gt;"",AE90-AA90,"")</f>
        <v>6.9016393442622928</v>
      </c>
      <c r="AY90" s="99" t="b">
        <f>S90&gt;R90</f>
        <v>0</v>
      </c>
      <c r="BA90" s="99" t="e">
        <f>AND(AA90&gt;$BA$3,(W90+$W$8)/$W$2&lt;$BB$3,(X90+$X$8)/$X$2&lt;$BB$3)</f>
        <v>#VALUE!</v>
      </c>
      <c r="BB90" s="99" t="e">
        <f>AND(AA90&lt;$BA$3,AND(W90/$W$2&gt;$BB$3,X90/$X$2&gt;$BB$3))</f>
        <v>#VALUE!</v>
      </c>
      <c r="BC90" s="99" t="e">
        <f>AND(AA90&lt;$BA$3,OR(W90/$W$2&gt;$BB$3,X90/$X$2&gt;$BB$3))</f>
        <v>#VALUE!</v>
      </c>
      <c r="BE90" s="100" t="s">
        <v>84</v>
      </c>
    </row>
    <row r="91" spans="1:57" s="27" customFormat="1" ht="12.75" customHeight="1" x14ac:dyDescent="0.2">
      <c r="A91" s="10">
        <v>142819</v>
      </c>
      <c r="B91" s="2">
        <v>13</v>
      </c>
      <c r="C91" s="10">
        <v>12</v>
      </c>
      <c r="D91" s="10">
        <v>12</v>
      </c>
      <c r="E91" s="10"/>
      <c r="F91" s="10"/>
      <c r="G91" s="10"/>
      <c r="H91" s="10"/>
      <c r="I91" s="10"/>
      <c r="J91" s="2">
        <v>28</v>
      </c>
      <c r="K91" s="10">
        <v>44</v>
      </c>
      <c r="L91" s="10">
        <v>32</v>
      </c>
      <c r="M91" s="10"/>
      <c r="N91" s="93"/>
      <c r="O91" s="13"/>
      <c r="P91" s="10">
        <v>100</v>
      </c>
      <c r="Q91" s="10"/>
      <c r="R91" s="2"/>
      <c r="S91" s="10"/>
      <c r="T91" s="13"/>
      <c r="U91" s="1">
        <f t="array" ref="U91">IF(AND(A91&lt;&gt;"",OR(ISNUMBER(B91:I91))),SUM(B91:I91),"")</f>
        <v>37</v>
      </c>
      <c r="V91" s="10">
        <f t="array" ref="V91">IF(AND(A91&lt;&gt;"",OR(ISNUMBER(J91:O91))),SUM(J91:O91),"")</f>
        <v>104</v>
      </c>
      <c r="W91" s="10">
        <f t="array" ref="W91">IF(AND(A91&lt;&gt;"",OR(ISNUMBER(P91),ISNUMBER(Q91))),SUM(MAX(P91:Q91),Q91),"")</f>
        <v>100</v>
      </c>
      <c r="X91" s="10" t="str">
        <f t="array" ref="X91">IF(AND(A91&lt;&gt;"",OR(ISNUMBER(S91),ISNUMBER(T91))),SUM(S91,T91),"")</f>
        <v/>
      </c>
      <c r="Y91" s="13">
        <v>1</v>
      </c>
      <c r="Z91" s="13">
        <f>IF(A91&lt;&gt;"",SUM(U91:Y91),"")</f>
        <v>242</v>
      </c>
      <c r="AA91" s="27">
        <f>IF(A91&lt;&gt;"",(Z91+Normalize_To_Add)/(Point_Total_So_Far)*100,"")</f>
        <v>79.344262295081975</v>
      </c>
      <c r="AB91" s="10">
        <f>IF(A91&lt;&gt;"",RANK(AA91,All_Student_XC),"")</f>
        <v>416</v>
      </c>
      <c r="AC91" s="32" t="str">
        <f>IF(A91&lt;&gt;"",CHOOSE(10-MIN(9,TRUNC((AA91+0.5)/10)),"A","B","C","D","F","F","F","F","F","F"),"")</f>
        <v>C</v>
      </c>
      <c r="AD91" s="31" t="str">
        <f>IF(A91&lt;&gt;"",IF(OR(AA91+0.5&gt;=93,AA91+0.5&lt;60),"",IF(MOD(AA91+0.5,10)&gt;=7,"+",IF(MOD(AA91+0.5,10)&lt;3,"-",""))),"")</f>
        <v>+</v>
      </c>
      <c r="AE91" s="32">
        <f>IF(A91&lt;&gt;"",SUM(W91:X91,$W$8:$X$8)/SUM($W$2:$X$2)*100,"")</f>
        <v>100</v>
      </c>
      <c r="AF91" s="32" t="str">
        <f>IF(A91&lt;&gt;"",CHOOSE(10-MIN(9,TRUNC((AE91+0.5)/10)),"A","B","C","D","F","F","F","F","F","F"),"")</f>
        <v>A</v>
      </c>
      <c r="AG91" s="32" t="str">
        <f>IF(A91&lt;&gt;"",IF(OR(AE91+0.5&gt;=93,AE91+0.5&lt;60),"",IF(MOD(AE91+0.5,10)&gt;=7,"+",IF(MOD(AE91+0.5,10)&lt;3,"-",""))),"")</f>
        <v/>
      </c>
      <c r="AH91" s="36">
        <f>IF(A91&lt;&gt;"",MIN(MAX(AA91,AE91),AA91+$AH$8,AE91+$AH$8),"")</f>
        <v>100</v>
      </c>
      <c r="AI91" s="32" t="str">
        <f>IF(A91&lt;&gt;"",CHOOSE(10-MIN(9,TRUNC((AH91+0.5)/10)),"A","B","C","D","F","F","F","F","F","F"),"")</f>
        <v>A</v>
      </c>
      <c r="AJ91" s="32" t="str">
        <f>IF(A91&lt;&gt;"",IF(OR(AH91+0.5&gt;=93,AH91+0.5&lt;60),"",IF(MOD(AH91+0.5,10)&gt;=7,"+",IF(MOD(AH91+0.5,10)&lt;3,"-",""))),"")</f>
        <v/>
      </c>
      <c r="AK91" s="71" t="b">
        <f>IF(A91&lt;&gt;"",OR(AI91&lt;&gt;AC91,AJ91&lt;&gt;AD91),"")</f>
        <v>1</v>
      </c>
      <c r="AL91" s="86">
        <f>IF(AND(A91&lt;&gt;"",U91&lt;&gt;""),SUM(U91,$AL$8)/$AL$2*100,"")</f>
        <v>49.333333333333336</v>
      </c>
      <c r="AM91" s="71">
        <f>IF(AND(A91&lt;&gt;"",V91&lt;&gt;""),SUM(V91,$AM$8)/$AM$2*100,"")</f>
        <v>80</v>
      </c>
      <c r="AN91" s="71">
        <f>IF(AND(A91&lt;&gt;"",ISNUMBER(P91),P91&gt;=0),SUM(P91,$AN$8)/$AN$2*100,"")</f>
        <v>100</v>
      </c>
      <c r="AO91" s="71" t="str">
        <f>IF(AND(A91&lt;&gt;"",ISNUMBER(Q91),Q91&gt;=0),SUM(Q91,$AO$8)/$AO$2*100,"")</f>
        <v/>
      </c>
      <c r="AP91" s="24" t="str">
        <f>IF(AND(A91&lt;&gt;"",R91&lt;&gt;""),SUM(R91,$AP$8)/$AP$2*100,"")</f>
        <v/>
      </c>
      <c r="AQ91" s="24">
        <f>IF(AND(A91&lt;&gt;"",ISNUMBER(W91),W91&gt;=0),SUM(W91,$AQ$8)/$AQ$2*100,"")</f>
        <v>100</v>
      </c>
      <c r="AR91" s="24" t="str">
        <f>IF(AND(A91&lt;&gt;"",T91&gt;0,ISNUMBER(T91)),SUM(T91,$AR$8)/$AR$2*100,"")</f>
        <v/>
      </c>
      <c r="AS91" s="24" t="str">
        <f>IF(AND(A91&lt;&gt;"",X91&lt;&gt;""),SUM(X91,$AS$8)/$AS$2*100,"")</f>
        <v/>
      </c>
      <c r="AT91" s="89">
        <f>IF(AND(A91&lt;&gt;"",OR(ISNUMBER(W91),ISNUMBER(X91))),SUM(W91:X91,$AT$8)/$AT$2*100,"")</f>
        <v>100</v>
      </c>
      <c r="AU91" s="24">
        <f>AA91</f>
        <v>79.344262295081975</v>
      </c>
      <c r="AV91" s="71"/>
      <c r="AW91" s="27">
        <f>IF(A91&lt;&gt;"",AE91-AA91,"")</f>
        <v>20.655737704918025</v>
      </c>
      <c r="AY91" s="27" t="b">
        <f>S91&gt;R91</f>
        <v>0</v>
      </c>
      <c r="BA91" s="27" t="e">
        <f>AND(AA91&gt;$BA$3,(W91+$W$8)/$W$2&lt;$BB$3,(X91+$X$8)/$X$2&lt;$BB$3)</f>
        <v>#VALUE!</v>
      </c>
      <c r="BB91" s="27" t="e">
        <f>AND(AA91&lt;$BA$3,AND(W91/$W$2&gt;$BB$3,X91/$X$2&gt;$BB$3))</f>
        <v>#VALUE!</v>
      </c>
      <c r="BC91" s="27" t="e">
        <f>AND(AA91&lt;$BA$3,OR(W91/$W$2&gt;$BB$3,X91/$X$2&gt;$BB$3))</f>
        <v>#VALUE!</v>
      </c>
      <c r="BE91" s="32">
        <v>32</v>
      </c>
    </row>
    <row r="92" spans="1:57" s="27" customFormat="1" ht="12.75" customHeight="1" x14ac:dyDescent="0.2">
      <c r="A92" s="10">
        <v>149518</v>
      </c>
      <c r="B92" s="2">
        <v>25</v>
      </c>
      <c r="C92" s="10">
        <v>23</v>
      </c>
      <c r="D92" s="10">
        <v>25</v>
      </c>
      <c r="E92" s="10"/>
      <c r="F92" s="10"/>
      <c r="G92" s="10"/>
      <c r="H92" s="10"/>
      <c r="I92" s="10"/>
      <c r="J92" s="2">
        <v>30</v>
      </c>
      <c r="K92" s="10">
        <v>51</v>
      </c>
      <c r="L92" s="10">
        <v>51</v>
      </c>
      <c r="M92" s="10"/>
      <c r="N92" s="93"/>
      <c r="O92" s="13"/>
      <c r="P92" s="10">
        <v>101</v>
      </c>
      <c r="Q92" s="10"/>
      <c r="R92" s="2"/>
      <c r="S92" s="10"/>
      <c r="T92" s="13"/>
      <c r="U92" s="1">
        <f t="array" ref="U92">IF(AND(A92&lt;&gt;"",OR(ISNUMBER(B92:I92))),SUM(B92:I92),"")</f>
        <v>73</v>
      </c>
      <c r="V92" s="10">
        <f t="array" ref="V92">IF(AND(A92&lt;&gt;"",OR(ISNUMBER(J92:O92))),SUM(J92:O92),"")</f>
        <v>132</v>
      </c>
      <c r="W92" s="10">
        <f t="array" ref="W92">IF(AND(A92&lt;&gt;"",OR(ISNUMBER(P92),ISNUMBER(Q92))),SUM(MAX(P92:Q92),Q92),"")</f>
        <v>101</v>
      </c>
      <c r="X92" s="10" t="str">
        <f t="array" ref="X92">IF(AND(A92&lt;&gt;"",OR(ISNUMBER(S92),ISNUMBER(T92))),SUM(S92,T92),"")</f>
        <v/>
      </c>
      <c r="Y92" s="13">
        <v>1</v>
      </c>
      <c r="Z92" s="13">
        <f>IF(A92&lt;&gt;"",SUM(U92:Y92),"")</f>
        <v>307</v>
      </c>
      <c r="AA92" s="27">
        <f>IF(A92&lt;&gt;"",(Z92+Normalize_To_Add)/(Point_Total_So_Far)*100,"")</f>
        <v>100.65573770491802</v>
      </c>
      <c r="AB92" s="10">
        <f>IF(A92&lt;&gt;"",RANK(AA92,All_Student_XC),"")</f>
        <v>72</v>
      </c>
      <c r="AC92" s="32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2">
        <f>IF(A92&lt;&gt;"",SUM(W92:X92,$W$8:$X$8)/SUM($W$2:$X$2)*100,"")</f>
        <v>101</v>
      </c>
      <c r="AF92" s="32" t="str">
        <f>IF(A92&lt;&gt;"",CHOOSE(10-MIN(9,TRUNC((AE92+0.5)/10)),"A","B","C","D","F","F","F","F","F","F"),"")</f>
        <v>A</v>
      </c>
      <c r="AG92" s="32" t="str">
        <f>IF(A92&lt;&gt;"",IF(OR(AE92+0.5&gt;=93,AE92+0.5&lt;60),"",IF(MOD(AE92+0.5,10)&gt;=7,"+",IF(MOD(AE92+0.5,10)&lt;3,"-",""))),"")</f>
        <v/>
      </c>
      <c r="AH92" s="36">
        <f>IF(A92&lt;&gt;"",MIN(MAX(AA92,AE92),AA92+$AH$8,AE92+$AH$8),"")</f>
        <v>101</v>
      </c>
      <c r="AI92" s="32" t="str">
        <f>IF(A92&lt;&gt;"",CHOOSE(10-MIN(9,TRUNC((AH92+0.5)/10)),"A","B","C","D","F","F","F","F","F","F"),"")</f>
        <v>A</v>
      </c>
      <c r="AJ92" s="32" t="str">
        <f>IF(A92&lt;&gt;"",IF(OR(AH92+0.5&gt;=93,AH92+0.5&lt;60),"",IF(MOD(AH92+0.5,10)&gt;=7,"+",IF(MOD(AH92+0.5,10)&lt;3,"-",""))),"")</f>
        <v/>
      </c>
      <c r="AK92" s="71" t="b">
        <f>IF(A92&lt;&gt;"",OR(AI92&lt;&gt;AC92,AJ92&lt;&gt;AD92),"")</f>
        <v>0</v>
      </c>
      <c r="AL92" s="86">
        <f>IF(AND(A92&lt;&gt;"",U92&lt;&gt;""),SUM(U92,$AL$8)/$AL$2*100,"")</f>
        <v>97.333333333333343</v>
      </c>
      <c r="AM92" s="71">
        <f>IF(AND(A92&lt;&gt;"",V92&lt;&gt;""),SUM(V92,$AM$8)/$AM$2*100,"")</f>
        <v>101.53846153846153</v>
      </c>
      <c r="AN92" s="71">
        <f>IF(AND(A92&lt;&gt;"",ISNUMBER(P92),P92&gt;=0),SUM(P92,$AN$8)/$AN$2*100,"")</f>
        <v>101</v>
      </c>
      <c r="AO92" s="71" t="str">
        <f>IF(AND(A92&lt;&gt;"",ISNUMBER(Q92),Q92&gt;=0),SUM(Q92,$AO$8)/$AO$2*100,"")</f>
        <v/>
      </c>
      <c r="AP92" s="24" t="str">
        <f>IF(AND(A92&lt;&gt;"",R92&lt;&gt;""),SUM(R92,$AP$8)/$AP$2*100,"")</f>
        <v/>
      </c>
      <c r="AQ92" s="24">
        <f>IF(AND(A92&lt;&gt;"",ISNUMBER(W92),W92&gt;=0),SUM(W92,$AQ$8)/$AQ$2*100,"")</f>
        <v>101</v>
      </c>
      <c r="AR92" s="24" t="str">
        <f>IF(AND(A92&lt;&gt;"",T92&gt;0,ISNUMBER(T92)),SUM(T92,$AR$8)/$AR$2*100,"")</f>
        <v/>
      </c>
      <c r="AS92" s="24" t="str">
        <f>IF(AND(A92&lt;&gt;"",X92&lt;&gt;""),SUM(X92,$AS$8)/$AS$2*100,"")</f>
        <v/>
      </c>
      <c r="AT92" s="89">
        <f>IF(AND(A92&lt;&gt;"",OR(ISNUMBER(W92),ISNUMBER(X92))),SUM(W92:X92,$AT$8)/$AT$2*100,"")</f>
        <v>101</v>
      </c>
      <c r="AU92" s="24">
        <f>AA92</f>
        <v>100.65573770491802</v>
      </c>
      <c r="AV92" s="71"/>
      <c r="AW92" s="27">
        <f>IF(A92&lt;&gt;"",AE92-AA92,"")</f>
        <v>0.34426229508197537</v>
      </c>
      <c r="AY92" s="27" t="b">
        <f>S92&gt;R92</f>
        <v>0</v>
      </c>
      <c r="BA92" s="27" t="e">
        <f>AND(AA92&gt;$BA$3,(W92+$W$8)/$W$2&lt;$BB$3,(X92+$X$8)/$X$2&lt;$BB$3)</f>
        <v>#VALUE!</v>
      </c>
      <c r="BB92" s="27" t="e">
        <f>AND(AA92&lt;$BA$3,AND(W92/$W$2&gt;$BB$3,X92/$X$2&gt;$BB$3))</f>
        <v>#VALUE!</v>
      </c>
      <c r="BC92" s="27" t="e">
        <f>AND(AA92&lt;$BA$3,OR(W92/$W$2&gt;$BB$3,X92/$X$2&gt;$BB$3))</f>
        <v>#VALUE!</v>
      </c>
      <c r="BE92" s="32" t="s">
        <v>84</v>
      </c>
    </row>
    <row r="93" spans="1:57" s="27" customFormat="1" ht="12.75" customHeight="1" x14ac:dyDescent="0.2">
      <c r="A93" s="10">
        <v>152994</v>
      </c>
      <c r="B93" s="2">
        <v>16</v>
      </c>
      <c r="C93" s="10">
        <v>20</v>
      </c>
      <c r="D93" s="10">
        <v>20</v>
      </c>
      <c r="E93" s="10"/>
      <c r="F93" s="10"/>
      <c r="G93" s="10"/>
      <c r="H93" s="10"/>
      <c r="I93" s="10"/>
      <c r="J93" s="2">
        <v>26</v>
      </c>
      <c r="K93" s="10">
        <v>47</v>
      </c>
      <c r="L93" s="10">
        <v>45</v>
      </c>
      <c r="M93" s="10"/>
      <c r="N93" s="93"/>
      <c r="O93" s="13"/>
      <c r="P93" s="10">
        <v>40</v>
      </c>
      <c r="Q93" s="10"/>
      <c r="R93" s="2"/>
      <c r="S93" s="10"/>
      <c r="T93" s="13"/>
      <c r="U93" s="1">
        <f t="array" ref="U93">IF(AND(A93&lt;&gt;"",OR(ISNUMBER(B93:I93))),SUM(B93:I93),"")</f>
        <v>56</v>
      </c>
      <c r="V93" s="10">
        <f t="array" ref="V93">IF(AND(A93&lt;&gt;"",OR(ISNUMBER(J93:O93))),SUM(J93:O93),"")</f>
        <v>118</v>
      </c>
      <c r="W93" s="10">
        <f t="array" ref="W93">IF(AND(A93&lt;&gt;"",OR(ISNUMBER(P93),ISNUMBER(Q93))),SUM(MAX(P93:Q93),Q93),"")</f>
        <v>40</v>
      </c>
      <c r="X93" s="10" t="str">
        <f t="array" ref="X93">IF(AND(A93&lt;&gt;"",OR(ISNUMBER(S93),ISNUMBER(T93))),SUM(S93,T93),"")</f>
        <v/>
      </c>
      <c r="Y93" s="13">
        <v>1</v>
      </c>
      <c r="Z93" s="13">
        <f>IF(A93&lt;&gt;"",SUM(U93:Y93),"")</f>
        <v>215</v>
      </c>
      <c r="AA93" s="27">
        <f>IF(A93&lt;&gt;"",(Z93+Normalize_To_Add)/(Point_Total_So_Far)*100,"")</f>
        <v>70.491803278688522</v>
      </c>
      <c r="AB93" s="10">
        <f>IF(A93&lt;&gt;"",RANK(AA93,All_Student_XC),"")</f>
        <v>459</v>
      </c>
      <c r="AC93" s="32" t="str">
        <f>IF(A93&lt;&gt;"",CHOOSE(10-MIN(9,TRUNC((AA93+0.5)/10)),"A","B","C","D","F","F","F","F","F","F"),"")</f>
        <v>C</v>
      </c>
      <c r="AD93" s="31" t="str">
        <f>IF(A93&lt;&gt;"",IF(OR(AA93+0.5&gt;=93,AA93+0.5&lt;60),"",IF(MOD(AA93+0.5,10)&gt;=7,"+",IF(MOD(AA93+0.5,10)&lt;3,"-",""))),"")</f>
        <v>-</v>
      </c>
      <c r="AE93" s="32">
        <f>IF(A93&lt;&gt;"",SUM(W93:X93,$W$8:$X$8)/SUM($W$2:$X$2)*100,"")</f>
        <v>40</v>
      </c>
      <c r="AF93" s="32" t="str">
        <f>IF(A93&lt;&gt;"",CHOOSE(10-MIN(9,TRUNC((AE93+0.5)/10)),"A","B","C","D","F","F","F","F","F","F"),"")</f>
        <v>F</v>
      </c>
      <c r="AG93" s="32" t="str">
        <f>IF(A93&lt;&gt;"",IF(OR(AE93+0.5&gt;=93,AE93+0.5&lt;60),"",IF(MOD(AE93+0.5,10)&gt;=7,"+",IF(MOD(AE93+0.5,10)&lt;3,"-",""))),"")</f>
        <v/>
      </c>
      <c r="AH93" s="36">
        <f>IF(A93&lt;&gt;"",MIN(MAX(AA93,AE93),AA93+$AH$8,AE93+$AH$8),"")</f>
        <v>70.491803278688522</v>
      </c>
      <c r="AI93" s="32" t="str">
        <f>IF(A93&lt;&gt;"",CHOOSE(10-MIN(9,TRUNC((AH93+0.5)/10)),"A","B","C","D","F","F","F","F","F","F"),"")</f>
        <v>C</v>
      </c>
      <c r="AJ93" s="32" t="str">
        <f>IF(A93&lt;&gt;"",IF(OR(AH93+0.5&gt;=93,AH93+0.5&lt;60),"",IF(MOD(AH93+0.5,10)&gt;=7,"+",IF(MOD(AH93+0.5,10)&lt;3,"-",""))),"")</f>
        <v>-</v>
      </c>
      <c r="AK93" s="71" t="b">
        <f>IF(A93&lt;&gt;"",OR(AI93&lt;&gt;AC93,AJ93&lt;&gt;AD93),"")</f>
        <v>0</v>
      </c>
      <c r="AL93" s="86">
        <f>IF(AND(A93&lt;&gt;"",U93&lt;&gt;""),SUM(U93,$AL$8)/$AL$2*100,"")</f>
        <v>74.666666666666671</v>
      </c>
      <c r="AM93" s="71">
        <f>IF(AND(A93&lt;&gt;"",V93&lt;&gt;""),SUM(V93,$AM$8)/$AM$2*100,"")</f>
        <v>90.769230769230774</v>
      </c>
      <c r="AN93" s="71">
        <f>IF(AND(A93&lt;&gt;"",ISNUMBER(P93),P93&gt;=0),SUM(P93,$AN$8)/$AN$2*100,"")</f>
        <v>40</v>
      </c>
      <c r="AO93" s="71" t="str">
        <f>IF(AND(A93&lt;&gt;"",ISNUMBER(Q93),Q93&gt;=0),SUM(Q93,$AO$8)/$AO$2*100,"")</f>
        <v/>
      </c>
      <c r="AP93" s="24" t="str">
        <f>IF(AND(A93&lt;&gt;"",R93&lt;&gt;""),SUM(R93,$AP$8)/$AP$2*100,"")</f>
        <v/>
      </c>
      <c r="AQ93" s="24">
        <f>IF(AND(A93&lt;&gt;"",ISNUMBER(W93),W93&gt;=0),SUM(W93,$AQ$8)/$AQ$2*100,"")</f>
        <v>40</v>
      </c>
      <c r="AR93" s="24" t="str">
        <f>IF(AND(A93&lt;&gt;"",T93&gt;0,ISNUMBER(T93)),SUM(T93,$AR$8)/$AR$2*100,"")</f>
        <v/>
      </c>
      <c r="AS93" s="24" t="str">
        <f>IF(AND(A93&lt;&gt;"",X93&lt;&gt;""),SUM(X93,$AS$8)/$AS$2*100,"")</f>
        <v/>
      </c>
      <c r="AT93" s="89">
        <f>IF(AND(A93&lt;&gt;"",OR(ISNUMBER(W93),ISNUMBER(X93))),SUM(W93:X93,$AT$8)/$AT$2*100,"")</f>
        <v>40</v>
      </c>
      <c r="AU93" s="24">
        <f>AA93</f>
        <v>70.491803278688522</v>
      </c>
      <c r="AV93" s="71"/>
      <c r="AW93" s="27">
        <f>IF(A93&lt;&gt;"",AE93-AA93,"")</f>
        <v>-30.491803278688522</v>
      </c>
      <c r="AY93" s="27" t="b">
        <f>S93&gt;R93</f>
        <v>0</v>
      </c>
      <c r="BA93" s="27" t="e">
        <f>AND(AA93&gt;$BA$3,(W93+$W$8)/$W$2&lt;$BB$3,(X93+$X$8)/$X$2&lt;$BB$3)</f>
        <v>#VALUE!</v>
      </c>
      <c r="BB93" s="27" t="e">
        <f>AND(AA93&lt;$BA$3,AND(W93/$W$2&gt;$BB$3,X93/$X$2&gt;$BB$3))</f>
        <v>#VALUE!</v>
      </c>
      <c r="BC93" s="27" t="e">
        <f>AND(AA93&lt;$BA$3,OR(W93/$W$2&gt;$BB$3,X93/$X$2&gt;$BB$3))</f>
        <v>#VALUE!</v>
      </c>
      <c r="BE93" s="32">
        <v>32</v>
      </c>
    </row>
    <row r="94" spans="1:57" s="27" customFormat="1" ht="12.75" customHeight="1" x14ac:dyDescent="0.2">
      <c r="A94" s="10">
        <v>153265</v>
      </c>
      <c r="B94" s="2">
        <v>17</v>
      </c>
      <c r="C94" s="10">
        <v>20</v>
      </c>
      <c r="D94" s="10">
        <v>24</v>
      </c>
      <c r="E94" s="10"/>
      <c r="F94" s="10"/>
      <c r="G94" s="10"/>
      <c r="H94" s="10"/>
      <c r="I94" s="10"/>
      <c r="J94" s="2">
        <v>27</v>
      </c>
      <c r="K94" s="10">
        <v>45</v>
      </c>
      <c r="L94" s="10">
        <v>49</v>
      </c>
      <c r="M94" s="10"/>
      <c r="N94" s="10"/>
      <c r="O94" s="13"/>
      <c r="P94" s="10">
        <v>101</v>
      </c>
      <c r="Q94" s="10"/>
      <c r="R94" s="2"/>
      <c r="S94" s="10"/>
      <c r="T94" s="13"/>
      <c r="U94" s="1">
        <f t="array" ref="U94">IF(AND(A94&lt;&gt;"",OR(ISNUMBER(B94:I94))),SUM(B94:I94),"")</f>
        <v>61</v>
      </c>
      <c r="V94" s="10">
        <f t="array" ref="V94">IF(AND(A94&lt;&gt;"",OR(ISNUMBER(J94:O94))),SUM(J94:O94),"")</f>
        <v>121</v>
      </c>
      <c r="W94" s="10">
        <f t="array" ref="W94">IF(AND(A94&lt;&gt;"",OR(ISNUMBER(P94),ISNUMBER(Q94))),SUM(MAX(P94:Q94),Q94),"")</f>
        <v>101</v>
      </c>
      <c r="X94" s="10" t="str">
        <f t="array" ref="X94">IF(AND(A94&lt;&gt;"",OR(ISNUMBER(S94),ISNUMBER(T94))),SUM(S94,T94),"")</f>
        <v/>
      </c>
      <c r="Y94" s="13">
        <v>1</v>
      </c>
      <c r="Z94" s="13">
        <f>IF(A94&lt;&gt;"",SUM(U94:Y94),"")</f>
        <v>284</v>
      </c>
      <c r="AA94" s="27">
        <f>IF(A94&lt;&gt;"",(Z94+Normalize_To_Add)/(Point_Total_So_Far)*100,"")</f>
        <v>93.114754098360649</v>
      </c>
      <c r="AB94" s="10">
        <f>IF(A94&lt;&gt;"",RANK(AA94,All_Student_XC),"")</f>
        <v>297</v>
      </c>
      <c r="AC94" s="32" t="str">
        <f>IF(A94&lt;&gt;"",CHOOSE(10-MIN(9,TRUNC((AA94+0.5)/10)),"A","B","C","D","F","F","F","F","F","F"),"")</f>
        <v>A</v>
      </c>
      <c r="AD94" s="31" t="str">
        <f>IF(A94&lt;&gt;"",IF(OR(AA94+0.5&gt;=93,AA94+0.5&lt;60),"",IF(MOD(AA94+0.5,10)&gt;=7,"+",IF(MOD(AA94+0.5,10)&lt;3,"-",""))),"")</f>
        <v/>
      </c>
      <c r="AE94" s="32">
        <f>IF(A94&lt;&gt;"",SUM(W94:X94,$W$8:$X$8)/SUM($W$2:$X$2)*100,"")</f>
        <v>101</v>
      </c>
      <c r="AF94" s="32" t="str">
        <f>IF(A94&lt;&gt;"",CHOOSE(10-MIN(9,TRUNC((AE94+0.5)/10)),"A","B","C","D","F","F","F","F","F","F"),"")</f>
        <v>A</v>
      </c>
      <c r="AG94" s="32" t="str">
        <f>IF(A94&lt;&gt;"",IF(OR(AE94+0.5&gt;=93,AE94+0.5&lt;60),"",IF(MOD(AE94+0.5,10)&gt;=7,"+",IF(MOD(AE94+0.5,10)&lt;3,"-",""))),"")</f>
        <v/>
      </c>
      <c r="AH94" s="36">
        <f>IF(A94&lt;&gt;"",MIN(MAX(AA94,AE94),AA94+$AH$8,AE94+$AH$8),"")</f>
        <v>101</v>
      </c>
      <c r="AI94" s="32" t="str">
        <f>IF(A94&lt;&gt;"",CHOOSE(10-MIN(9,TRUNC((AH94+0.5)/10)),"A","B","C","D","F","F","F","F","F","F"),"")</f>
        <v>A</v>
      </c>
      <c r="AJ94" s="32" t="str">
        <f>IF(A94&lt;&gt;"",IF(OR(AH94+0.5&gt;=93,AH94+0.5&lt;60),"",IF(MOD(AH94+0.5,10)&gt;=7,"+",IF(MOD(AH94+0.5,10)&lt;3,"-",""))),"")</f>
        <v/>
      </c>
      <c r="AK94" s="71" t="b">
        <f>IF(A94&lt;&gt;"",OR(AI94&lt;&gt;AC94,AJ94&lt;&gt;AD94),"")</f>
        <v>0</v>
      </c>
      <c r="AL94" s="86">
        <f>IF(AND(A94&lt;&gt;"",U94&lt;&gt;""),SUM(U94,$AL$8)/$AL$2*100,"")</f>
        <v>81.333333333333329</v>
      </c>
      <c r="AM94" s="71">
        <f>IF(AND(A94&lt;&gt;"",V94&lt;&gt;""),SUM(V94,$AM$8)/$AM$2*100,"")</f>
        <v>93.07692307692308</v>
      </c>
      <c r="AN94" s="71">
        <f>IF(AND(A94&lt;&gt;"",ISNUMBER(P94),P94&gt;=0),SUM(P94,$AN$8)/$AN$2*100,"")</f>
        <v>101</v>
      </c>
      <c r="AO94" s="71" t="str">
        <f>IF(AND(A94&lt;&gt;"",ISNUMBER(Q94),Q94&gt;=0),SUM(Q94,$AO$8)/$AO$2*100,"")</f>
        <v/>
      </c>
      <c r="AP94" s="24" t="str">
        <f>IF(AND(A94&lt;&gt;"",R94&lt;&gt;""),SUM(R94,$AP$8)/$AP$2*100,"")</f>
        <v/>
      </c>
      <c r="AQ94" s="24">
        <f>IF(AND(A94&lt;&gt;"",ISNUMBER(W94),W94&gt;=0),SUM(W94,$AQ$8)/$AQ$2*100,"")</f>
        <v>101</v>
      </c>
      <c r="AR94" s="24" t="str">
        <f>IF(AND(A94&lt;&gt;"",T94&gt;0,ISNUMBER(T94)),SUM(T94,$AR$8)/$AR$2*100,"")</f>
        <v/>
      </c>
      <c r="AS94" s="24" t="str">
        <f>IF(AND(A94&lt;&gt;"",X94&lt;&gt;""),SUM(X94,$AS$8)/$AS$2*100,"")</f>
        <v/>
      </c>
      <c r="AT94" s="89">
        <f>IF(AND(A94&lt;&gt;"",OR(ISNUMBER(W94),ISNUMBER(X94))),SUM(W94:X94,$AT$8)/$AT$2*100,"")</f>
        <v>101</v>
      </c>
      <c r="AU94" s="24">
        <f>AA94</f>
        <v>93.114754098360649</v>
      </c>
      <c r="AV94" s="71"/>
      <c r="AW94" s="27">
        <f>IF(A94&lt;&gt;"",AE94-AA94,"")</f>
        <v>7.885245901639351</v>
      </c>
      <c r="AY94" s="27" t="b">
        <f>S94&gt;R94</f>
        <v>0</v>
      </c>
      <c r="BA94" s="27" t="e">
        <f>AND(AA94&gt;$BA$3,(W94+$W$8)/$W$2&lt;$BB$3,(X94+$X$8)/$X$2&lt;$BB$3)</f>
        <v>#VALUE!</v>
      </c>
      <c r="BB94" s="27" t="e">
        <f>AND(AA94&lt;$BA$3,AND(W94/$W$2&gt;$BB$3,X94/$X$2&gt;$BB$3))</f>
        <v>#VALUE!</v>
      </c>
      <c r="BC94" s="27" t="e">
        <f>AND(AA94&lt;$BA$3,OR(W94/$W$2&gt;$BB$3,X94/$X$2&gt;$BB$3))</f>
        <v>#VALUE!</v>
      </c>
      <c r="BE94" s="32" t="s">
        <v>84</v>
      </c>
    </row>
    <row r="95" spans="1:57" s="27" customFormat="1" ht="12.75" customHeight="1" x14ac:dyDescent="0.2">
      <c r="A95" s="10">
        <v>153375</v>
      </c>
      <c r="B95" s="2">
        <v>24</v>
      </c>
      <c r="C95" s="10">
        <v>24</v>
      </c>
      <c r="D95" s="10">
        <v>25</v>
      </c>
      <c r="E95" s="10"/>
      <c r="F95" s="10"/>
      <c r="G95" s="3"/>
      <c r="H95" s="10"/>
      <c r="I95" s="10"/>
      <c r="J95" s="2">
        <v>32</v>
      </c>
      <c r="K95" s="10">
        <v>51</v>
      </c>
      <c r="L95" s="10">
        <v>51</v>
      </c>
      <c r="M95" s="10"/>
      <c r="N95" s="10"/>
      <c r="O95" s="12"/>
      <c r="P95" s="41">
        <v>101</v>
      </c>
      <c r="Q95" s="41"/>
      <c r="R95" s="2"/>
      <c r="S95" s="10"/>
      <c r="T95" s="13"/>
      <c r="U95" s="1">
        <f t="array" ref="U95">IF(AND(A95&lt;&gt;"",OR(ISNUMBER(B95:I95))),SUM(B95:I95),"")</f>
        <v>73</v>
      </c>
      <c r="V95" s="10">
        <f t="array" ref="V95">IF(AND(A95&lt;&gt;"",OR(ISNUMBER(J95:O95))),SUM(J95:O95),"")</f>
        <v>134</v>
      </c>
      <c r="W95" s="10">
        <f t="array" ref="W95">IF(AND(A95&lt;&gt;"",OR(ISNUMBER(P95),ISNUMBER(Q95))),SUM(MAX(P95:Q95),Q95),"")</f>
        <v>101</v>
      </c>
      <c r="X95" s="10" t="str">
        <f t="array" ref="X95">IF(AND(A95&lt;&gt;"",OR(ISNUMBER(S95),ISNUMBER(T95))),SUM(S95,T95),"")</f>
        <v/>
      </c>
      <c r="Y95" s="13">
        <v>1</v>
      </c>
      <c r="Z95" s="13">
        <f>IF(A95&lt;&gt;"",SUM(U95:Y95),"")</f>
        <v>309</v>
      </c>
      <c r="AA95" s="27">
        <f>IF(A95&lt;&gt;"",(Z95+Normalize_To_Add)/(Point_Total_So_Far)*100,"")</f>
        <v>101.31147540983608</v>
      </c>
      <c r="AB95" s="10">
        <f>IF(A95&lt;&gt;"",RANK(AA95,All_Student_XC),"")</f>
        <v>35</v>
      </c>
      <c r="AC95" s="32" t="str">
        <f>IF(A95&lt;&gt;"",CHOOSE(10-MIN(9,TRUNC((AA95+0.5)/10)),"A","B","C","D","F","F","F","F","F","F"),"")</f>
        <v>A</v>
      </c>
      <c r="AD95" s="32" t="str">
        <f>IF(A95&lt;&gt;"",IF(OR(AA95+0.5&gt;=93,AA95+0.5&lt;60),"",IF(MOD(AA95+0.5,10)&gt;=7,"+",IF(MOD(AA95+0.5,10)&lt;3,"-",""))),"")</f>
        <v/>
      </c>
      <c r="AE95" s="32">
        <f>IF(A95&lt;&gt;"",SUM(W95:X95,$W$8:$X$8)/SUM($W$2:$X$2)*100,"")</f>
        <v>101</v>
      </c>
      <c r="AF95" s="32" t="str">
        <f>IF(A95&lt;&gt;"",CHOOSE(10-MIN(9,TRUNC((AE95+0.5)/10)),"A","B","C","D","F","F","F","F","F","F"),"")</f>
        <v>A</v>
      </c>
      <c r="AG95" s="32" t="str">
        <f>IF(A95&lt;&gt;"",IF(OR(AE95+0.5&gt;=93,AE95+0.5&lt;60),"",IF(MOD(AE95+0.5,10)&gt;=7,"+",IF(MOD(AE95+0.5,10)&lt;3,"-",""))),"")</f>
        <v/>
      </c>
      <c r="AH95" s="36">
        <f>IF(A95&lt;&gt;"",MIN(MAX(AA95,AE95),AA95+$AH$8,AE95+$AH$8),"")</f>
        <v>101.31147540983608</v>
      </c>
      <c r="AI95" s="32" t="str">
        <f>IF(A95&lt;&gt;"",CHOOSE(10-MIN(9,TRUNC((AH95+0.5)/10)),"A","B","C","D","F","F","F","F","F","F"),"")</f>
        <v>A</v>
      </c>
      <c r="AJ95" s="32" t="str">
        <f>IF(A95&lt;&gt;"",IF(OR(AH95+0.5&gt;=93,AH95+0.5&lt;60),"",IF(MOD(AH95+0.5,10)&gt;=7,"+",IF(MOD(AH95+0.5,10)&lt;3,"-",""))),"")</f>
        <v/>
      </c>
      <c r="AK95" s="32" t="b">
        <f>IF(A95&lt;&gt;"",OR(AI95&lt;&gt;AC95,AJ95&lt;&gt;AD95),"")</f>
        <v>0</v>
      </c>
      <c r="AL95" s="84">
        <f>IF(AND(A95&lt;&gt;"",U95&lt;&gt;""),SUM(U95,$AL$8)/$AL$2*100,"")</f>
        <v>97.333333333333343</v>
      </c>
      <c r="AM95" s="24">
        <f>IF(AND(A95&lt;&gt;"",V95&lt;&gt;""),SUM(V95,$AM$8)/$AM$2*100,"")</f>
        <v>103.07692307692307</v>
      </c>
      <c r="AN95" s="24">
        <f>IF(AND(A95&lt;&gt;"",ISNUMBER(P95),P95&gt;=0),SUM(P95,$AN$8)/$AN$2*100,"")</f>
        <v>101</v>
      </c>
      <c r="AO95" s="24" t="str">
        <f>IF(AND(A95&lt;&gt;"",ISNUMBER(Q95),Q95&gt;=0),SUM(Q95,$AO$8)/$AO$2*100,"")</f>
        <v/>
      </c>
      <c r="AP95" s="24" t="str">
        <f>IF(AND(A95&lt;&gt;"",R95&lt;&gt;""),SUM(R95,$AP$8)/$AP$2*100,"")</f>
        <v/>
      </c>
      <c r="AQ95" s="24">
        <f>IF(AND(A95&lt;&gt;"",ISNUMBER(W95),W95&gt;=0),SUM(W95,$AQ$8)/$AQ$2*100,"")</f>
        <v>101</v>
      </c>
      <c r="AR95" s="24" t="str">
        <f>IF(AND(A95&lt;&gt;"",T95&gt;0,ISNUMBER(T95)),SUM(T95,$AR$8)/$AR$2*100,"")</f>
        <v/>
      </c>
      <c r="AS95" s="24" t="str">
        <f>IF(AND(A95&lt;&gt;"",X95&lt;&gt;""),SUM(X95,$AS$8)/$AS$2*100,"")</f>
        <v/>
      </c>
      <c r="AT95" s="89">
        <f>IF(AND(A95&lt;&gt;"",OR(ISNUMBER(W95),ISNUMBER(X95))),SUM(W95:X95,$AT$8)/$AT$2*100,"")</f>
        <v>101</v>
      </c>
      <c r="AU95" s="24">
        <f>AA95</f>
        <v>101.31147540983608</v>
      </c>
      <c r="AV95" s="24"/>
      <c r="AW95" s="27">
        <f>IF(A95&lt;&gt;"",AE95-AA95,"")</f>
        <v>-0.31147540983607769</v>
      </c>
      <c r="AY95" s="27" t="b">
        <f>S95&gt;R95</f>
        <v>0</v>
      </c>
      <c r="BA95" s="27" t="e">
        <f>AND(AA95&gt;$BA$3,(W95+$W$8)/$W$2&lt;$BB$3,(X95+$X$8)/$X$2&lt;$BB$3)</f>
        <v>#VALUE!</v>
      </c>
      <c r="BB95" s="27" t="e">
        <f>AND(AA95&lt;$BA$3,AND(W95/$W$2&gt;$BB$3,X95/$X$2&gt;$BB$3))</f>
        <v>#VALUE!</v>
      </c>
      <c r="BC95" s="27" t="e">
        <f>AND(AA95&lt;$BA$3,OR(W95/$W$2&gt;$BB$3,X95/$X$2&gt;$BB$3))</f>
        <v>#VALUE!</v>
      </c>
      <c r="BE95" s="32" t="s">
        <v>84</v>
      </c>
    </row>
    <row r="96" spans="1:57" s="27" customFormat="1" ht="12.75" customHeight="1" x14ac:dyDescent="0.2">
      <c r="A96" s="10">
        <v>163050</v>
      </c>
      <c r="B96" s="2">
        <v>23</v>
      </c>
      <c r="C96" s="10">
        <v>24</v>
      </c>
      <c r="D96" s="10">
        <v>25</v>
      </c>
      <c r="E96" s="10"/>
      <c r="F96" s="10"/>
      <c r="G96" s="10"/>
      <c r="H96" s="10"/>
      <c r="I96" s="10"/>
      <c r="J96" s="2">
        <v>27</v>
      </c>
      <c r="K96" s="10">
        <v>52</v>
      </c>
      <c r="L96" s="10">
        <v>52</v>
      </c>
      <c r="M96" s="10"/>
      <c r="N96" s="93"/>
      <c r="O96" s="13"/>
      <c r="P96" s="10">
        <v>100</v>
      </c>
      <c r="Q96" s="10"/>
      <c r="R96" s="2"/>
      <c r="S96" s="10"/>
      <c r="T96" s="13"/>
      <c r="U96" s="7">
        <f t="array" ref="U96">IF(AND(A96&lt;&gt;"",OR(ISNUMBER(B96:I96))),SUM(B96:I96),"")</f>
        <v>72</v>
      </c>
      <c r="V96" s="10">
        <f t="array" ref="V96">IF(AND(A96&lt;&gt;"",OR(ISNUMBER(J96:O96))),SUM(J96:O96),"")</f>
        <v>131</v>
      </c>
      <c r="W96" s="10">
        <f t="array" ref="W96">IF(AND(A96&lt;&gt;"",OR(ISNUMBER(P96),ISNUMBER(Q96))),SUM(MAX(P96:Q96),Q96),"")</f>
        <v>100</v>
      </c>
      <c r="X96" s="10" t="str">
        <f t="array" ref="X96">IF(AND(A96&lt;&gt;"",OR(ISNUMBER(S96),ISNUMBER(T96))),SUM(S96,T96),"")</f>
        <v/>
      </c>
      <c r="Y96" s="13">
        <v>1</v>
      </c>
      <c r="Z96" s="13">
        <f>IF(A96&lt;&gt;"",SUM(U96:Y96),"")</f>
        <v>304</v>
      </c>
      <c r="AA96" s="27">
        <f>IF(A96&lt;&gt;"",(Z96+Normalize_To_Add)/(Point_Total_So_Far)*100,"")</f>
        <v>99.672131147540995</v>
      </c>
      <c r="AB96" s="10">
        <f>IF(A96&lt;&gt;"",RANK(AA96,All_Student_XC),"")</f>
        <v>124</v>
      </c>
      <c r="AC96" s="32" t="str">
        <f>IF(A96&lt;&gt;"",CHOOSE(10-MIN(9,TRUNC((AA96+0.5)/10)),"A","B","C","D","F","F","F","F","F","F"),"")</f>
        <v>A</v>
      </c>
      <c r="AD96" s="31" t="str">
        <f>IF(A96&lt;&gt;"",IF(OR(AA96+0.5&gt;=93,AA96+0.5&lt;60),"",IF(MOD(AA96+0.5,10)&gt;=7,"+",IF(MOD(AA96+0.5,10)&lt;3,"-",""))),"")</f>
        <v/>
      </c>
      <c r="AE96" s="32">
        <f>IF(A96&lt;&gt;"",SUM(W96:X96,$W$8:$X$8)/SUM($W$2:$X$2)*100,"")</f>
        <v>100</v>
      </c>
      <c r="AF96" s="32" t="str">
        <f>IF(A96&lt;&gt;"",CHOOSE(10-MIN(9,TRUNC((AE96+0.5)/10)),"A","B","C","D","F","F","F","F","F","F"),"")</f>
        <v>A</v>
      </c>
      <c r="AG96" s="32" t="str">
        <f>IF(A96&lt;&gt;"",IF(OR(AE96+0.5&gt;=93,AE96+0.5&lt;60),"",IF(MOD(AE96+0.5,10)&gt;=7,"+",IF(MOD(AE96+0.5,10)&lt;3,"-",""))),"")</f>
        <v/>
      </c>
      <c r="AH96" s="36">
        <f>IF(A96&lt;&gt;"",MIN(MAX(AA96,AE96),AA96+$AH$8,AE96+$AH$8),"")</f>
        <v>100</v>
      </c>
      <c r="AI96" s="32" t="str">
        <f>IF(A96&lt;&gt;"",CHOOSE(10-MIN(9,TRUNC((AH96+0.5)/10)),"A","B","C","D","F","F","F","F","F","F"),"")</f>
        <v>A</v>
      </c>
      <c r="AJ96" s="32" t="str">
        <f>IF(A96&lt;&gt;"",IF(OR(AH96+0.5&gt;=93,AH96+0.5&lt;60),"",IF(MOD(AH96+0.5,10)&gt;=7,"+",IF(MOD(AH96+0.5,10)&lt;3,"-",""))),"")</f>
        <v/>
      </c>
      <c r="AK96" s="71" t="b">
        <f>IF(A96&lt;&gt;"",OR(AI96&lt;&gt;AC96,AJ96&lt;&gt;AD96),"")</f>
        <v>0</v>
      </c>
      <c r="AL96" s="86">
        <f>IF(AND(A96&lt;&gt;"",U96&lt;&gt;""),SUM(U96,$AL$8)/$AL$2*100,"")</f>
        <v>96</v>
      </c>
      <c r="AM96" s="71">
        <f>IF(AND(A96&lt;&gt;"",V96&lt;&gt;""),SUM(V96,$AM$8)/$AM$2*100,"")</f>
        <v>100.76923076923077</v>
      </c>
      <c r="AN96" s="71">
        <f>IF(AND(A96&lt;&gt;"",ISNUMBER(P96),P96&gt;=0),SUM(P96,$AN$8)/$AN$2*100,"")</f>
        <v>100</v>
      </c>
      <c r="AO96" s="71" t="str">
        <f>IF(AND(A96&lt;&gt;"",ISNUMBER(Q96),Q96&gt;=0),SUM(Q96,$AO$8)/$AO$2*100,"")</f>
        <v/>
      </c>
      <c r="AP96" s="24" t="str">
        <f>IF(AND(A96&lt;&gt;"",R96&lt;&gt;""),SUM(R96,$AP$8)/$AP$2*100,"")</f>
        <v/>
      </c>
      <c r="AQ96" s="24">
        <f>IF(AND(A96&lt;&gt;"",ISNUMBER(W96),W96&gt;=0),SUM(W96,$AQ$8)/$AQ$2*100,"")</f>
        <v>100</v>
      </c>
      <c r="AR96" s="24" t="str">
        <f>IF(AND(A96&lt;&gt;"",T96&gt;0,ISNUMBER(T96)),SUM(T96,$AR$8)/$AR$2*100,"")</f>
        <v/>
      </c>
      <c r="AS96" s="24" t="str">
        <f>IF(AND(A96&lt;&gt;"",X96&lt;&gt;""),SUM(X96,$AS$8)/$AS$2*100,"")</f>
        <v/>
      </c>
      <c r="AT96" s="89">
        <f>IF(AND(A96&lt;&gt;"",OR(ISNUMBER(W96),ISNUMBER(X96))),SUM(W96:X96,$AT$8)/$AT$2*100,"")</f>
        <v>100</v>
      </c>
      <c r="AU96" s="24">
        <f>AA96</f>
        <v>99.672131147540995</v>
      </c>
      <c r="AV96" s="71"/>
      <c r="AW96" s="27">
        <f>IF(A96&lt;&gt;"",AE96-AA96,"")</f>
        <v>0.32786885245900521</v>
      </c>
      <c r="AY96" s="27" t="b">
        <f>S96&gt;R96</f>
        <v>0</v>
      </c>
      <c r="BA96" s="27" t="e">
        <f>AND(AA96&gt;$BA$3,(W96+$W$8)/$W$2&lt;$BB$3,(X96+$X$8)/$X$2&lt;$BB$3)</f>
        <v>#VALUE!</v>
      </c>
      <c r="BB96" s="27" t="e">
        <f>AND(AA96&lt;$BA$3,AND(W96/$W$2&gt;$BB$3,X96/$X$2&gt;$BB$3))</f>
        <v>#VALUE!</v>
      </c>
      <c r="BC96" s="27" t="e">
        <f>AND(AA96&lt;$BA$3,OR(W96/$W$2&gt;$BB$3,X96/$X$2&gt;$BB$3))</f>
        <v>#VALUE!</v>
      </c>
      <c r="BE96" s="32">
        <v>32</v>
      </c>
    </row>
    <row r="97" spans="1:57" s="27" customFormat="1" ht="12.75" customHeight="1" x14ac:dyDescent="0.2">
      <c r="A97" s="56">
        <v>167506</v>
      </c>
      <c r="B97" s="2">
        <v>23</v>
      </c>
      <c r="C97" s="10">
        <v>21</v>
      </c>
      <c r="D97" s="10">
        <v>19</v>
      </c>
      <c r="E97" s="10"/>
      <c r="F97" s="10"/>
      <c r="G97" s="3"/>
      <c r="H97" s="10"/>
      <c r="I97" s="10"/>
      <c r="J97" s="2">
        <v>28</v>
      </c>
      <c r="K97" s="10">
        <v>50</v>
      </c>
      <c r="L97" s="10">
        <v>50</v>
      </c>
      <c r="M97" s="10"/>
      <c r="N97" s="10"/>
      <c r="O97" s="12"/>
      <c r="P97" s="10">
        <v>80</v>
      </c>
      <c r="Q97" s="41"/>
      <c r="R97" s="2"/>
      <c r="S97" s="10"/>
      <c r="T97" s="13"/>
      <c r="U97" s="7">
        <f t="array" ref="U97">IF(AND(A97&lt;&gt;"",OR(ISNUMBER(B97:I97))),SUM(B97:I97),"")</f>
        <v>63</v>
      </c>
      <c r="V97" s="10">
        <f t="array" ref="V97">IF(AND(A97&lt;&gt;"",OR(ISNUMBER(J97:O97))),SUM(J97:O97),"")</f>
        <v>128</v>
      </c>
      <c r="W97" s="10">
        <f t="array" ref="W97">IF(AND(A97&lt;&gt;"",OR(ISNUMBER(P97),ISNUMBER(Q97))),SUM(MAX(P97:Q97),Q97),"")</f>
        <v>80</v>
      </c>
      <c r="X97" s="10" t="str">
        <f t="array" ref="X97">IF(AND(A97&lt;&gt;"",OR(ISNUMBER(S97),ISNUMBER(T97))),SUM(S97,T97),"")</f>
        <v/>
      </c>
      <c r="Y97" s="13">
        <v>1</v>
      </c>
      <c r="Z97" s="13">
        <f>IF(A97&lt;&gt;"",SUM(U97:Y97),"")</f>
        <v>272</v>
      </c>
      <c r="AA97" s="27">
        <f>IF(A97&lt;&gt;"",(Z97+Normalize_To_Add)/(Point_Total_So_Far)*100,"")</f>
        <v>89.180327868852459</v>
      </c>
      <c r="AB97" s="10">
        <f>IF(A97&lt;&gt;"",RANK(AA97,All_Student_XC),"")</f>
        <v>344</v>
      </c>
      <c r="AC97" s="32" t="str">
        <f>IF(A97&lt;&gt;"",CHOOSE(10-MIN(9,TRUNC((AA97+0.5)/10)),"A","B","C","D","F","F","F","F","F","F"),"")</f>
        <v>B</v>
      </c>
      <c r="AD97" s="32" t="str">
        <f>IF(A97&lt;&gt;"",IF(OR(AA97+0.5&gt;=93,AA97+0.5&lt;60),"",IF(MOD(AA97+0.5,10)&gt;=7,"+",IF(MOD(AA97+0.5,10)&lt;3,"-",""))),"")</f>
        <v>+</v>
      </c>
      <c r="AE97" s="32">
        <f>IF(A97&lt;&gt;"",SUM(W97:X97,$W$8:$X$8)/SUM($W$2:$X$2)*100,"")</f>
        <v>80</v>
      </c>
      <c r="AF97" s="32" t="str">
        <f>IF(A97&lt;&gt;"",CHOOSE(10-MIN(9,TRUNC((AE97+0.5)/10)),"A","B","C","D","F","F","F","F","F","F"),"")</f>
        <v>B</v>
      </c>
      <c r="AG97" s="32" t="str">
        <f>IF(A97&lt;&gt;"",IF(OR(AE97+0.5&gt;=93,AE97+0.5&lt;60),"",IF(MOD(AE97+0.5,10)&gt;=7,"+",IF(MOD(AE97+0.5,10)&lt;3,"-",""))),"")</f>
        <v>-</v>
      </c>
      <c r="AH97" s="36">
        <f>IF(A97&lt;&gt;"",MIN(MAX(AA97,AE97),AA97+$AH$8,AE97+$AH$8),"")</f>
        <v>89.180327868852459</v>
      </c>
      <c r="AI97" s="32" t="str">
        <f>IF(A97&lt;&gt;"",CHOOSE(10-MIN(9,TRUNC((AH97+0.5)/10)),"A","B","C","D","F","F","F","F","F","F"),"")</f>
        <v>B</v>
      </c>
      <c r="AJ97" s="32" t="str">
        <f>IF(A97&lt;&gt;"",IF(OR(AH97+0.5&gt;=93,AH97+0.5&lt;60),"",IF(MOD(AH97+0.5,10)&gt;=7,"+",IF(MOD(AH97+0.5,10)&lt;3,"-",""))),"")</f>
        <v>+</v>
      </c>
      <c r="AK97" s="32" t="b">
        <f>IF(A97&lt;&gt;"",OR(AI97&lt;&gt;AC97,AJ97&lt;&gt;AD97),"")</f>
        <v>0</v>
      </c>
      <c r="AL97" s="84">
        <f>IF(AND(A97&lt;&gt;"",U97&lt;&gt;""),SUM(U97,$AL$8)/$AL$2*100,"")</f>
        <v>84</v>
      </c>
      <c r="AM97" s="24">
        <f>IF(AND(A97&lt;&gt;"",V97&lt;&gt;""),SUM(V97,$AM$8)/$AM$2*100,"")</f>
        <v>98.461538461538467</v>
      </c>
      <c r="AN97" s="24">
        <f>IF(AND(A97&lt;&gt;"",ISNUMBER(P97),P97&gt;=0),SUM(P97,$AN$8)/$AN$2*100,"")</f>
        <v>80</v>
      </c>
      <c r="AO97" s="24" t="str">
        <f>IF(AND(A97&lt;&gt;"",ISNUMBER(Q97),Q97&gt;=0),SUM(Q97,$AO$8)/$AO$2*100,"")</f>
        <v/>
      </c>
      <c r="AP97" s="24" t="str">
        <f>IF(AND(A97&lt;&gt;"",R97&lt;&gt;""),SUM(R97,$AP$8)/$AP$2*100,"")</f>
        <v/>
      </c>
      <c r="AQ97" s="24">
        <f>IF(AND(A97&lt;&gt;"",ISNUMBER(W97),W97&gt;=0),SUM(W97,$AQ$8)/$AQ$2*100,"")</f>
        <v>80</v>
      </c>
      <c r="AR97" s="24" t="str">
        <f>IF(AND(A97&lt;&gt;"",T97&gt;0,ISNUMBER(T97)),SUM(T97,$AR$8)/$AR$2*100,"")</f>
        <v/>
      </c>
      <c r="AS97" s="24" t="str">
        <f>IF(AND(A97&lt;&gt;"",X97&lt;&gt;""),SUM(X97,$AS$8)/$AS$2*100,"")</f>
        <v/>
      </c>
      <c r="AT97" s="89">
        <f>IF(AND(A97&lt;&gt;"",OR(ISNUMBER(W97),ISNUMBER(X97))),SUM(W97:X97,$AT$8)/$AT$2*100,"")</f>
        <v>80</v>
      </c>
      <c r="AU97" s="24">
        <f>AA97</f>
        <v>89.180327868852459</v>
      </c>
      <c r="AV97" s="24"/>
      <c r="AW97" s="27">
        <f>IF(A97&lt;&gt;"",AE97-AA97,"")</f>
        <v>-9.1803278688524586</v>
      </c>
      <c r="AY97" s="27" t="b">
        <f>S97&gt;R97</f>
        <v>0</v>
      </c>
      <c r="BA97" s="27" t="e">
        <f>AND(AA97&gt;$BA$3,(W97+$W$8)/$W$2&lt;$BB$3,(X97+$X$8)/$X$2&lt;$BB$3)</f>
        <v>#VALUE!</v>
      </c>
      <c r="BB97" s="27" t="e">
        <f>AND(AA97&lt;$BA$3,AND(W97/$W$2&gt;$BB$3,X97/$X$2&gt;$BB$3))</f>
        <v>#VALUE!</v>
      </c>
      <c r="BC97" s="27" t="e">
        <f>AND(AA97&lt;$BA$3,OR(W97/$W$2&gt;$BB$3,X97/$X$2&gt;$BB$3))</f>
        <v>#VALUE!</v>
      </c>
      <c r="BE97" s="32" t="s">
        <v>84</v>
      </c>
    </row>
    <row r="98" spans="1:57" s="27" customFormat="1" ht="12.75" customHeight="1" x14ac:dyDescent="0.2">
      <c r="A98" s="10">
        <v>168794</v>
      </c>
      <c r="B98" s="2">
        <v>19</v>
      </c>
      <c r="C98" s="10">
        <v>5</v>
      </c>
      <c r="D98" s="10">
        <v>25</v>
      </c>
      <c r="E98" s="10"/>
      <c r="F98" s="10"/>
      <c r="G98" s="10"/>
      <c r="H98" s="10"/>
      <c r="I98" s="10"/>
      <c r="J98" s="2">
        <v>28</v>
      </c>
      <c r="K98" s="10">
        <v>51</v>
      </c>
      <c r="L98" s="10">
        <v>51</v>
      </c>
      <c r="M98" s="10"/>
      <c r="N98" s="10"/>
      <c r="O98" s="12"/>
      <c r="P98" s="106">
        <v>100</v>
      </c>
      <c r="Q98" s="41"/>
      <c r="R98" s="2"/>
      <c r="S98" s="10"/>
      <c r="T98" s="13"/>
      <c r="U98" s="7">
        <f t="array" ref="U98">IF(AND(A98&lt;&gt;"",OR(ISNUMBER(B98:I98))),SUM(B98:I98),"")</f>
        <v>49</v>
      </c>
      <c r="V98" s="10">
        <f t="array" ref="V98">IF(AND(A98&lt;&gt;"",OR(ISNUMBER(J98:O98))),SUM(J98:O98),"")</f>
        <v>130</v>
      </c>
      <c r="W98" s="10">
        <f t="array" ref="W98">IF(AND(A98&lt;&gt;"",OR(ISNUMBER(P98),ISNUMBER(Q98))),SUM(MAX(P98:Q98),Q98),"")</f>
        <v>100</v>
      </c>
      <c r="X98" s="10" t="str">
        <f t="array" ref="X98">IF(AND(A98&lt;&gt;"",OR(ISNUMBER(S98),ISNUMBER(T98))),SUM(S98,T98),"")</f>
        <v/>
      </c>
      <c r="Y98" s="13">
        <v>1</v>
      </c>
      <c r="Z98" s="13">
        <f>IF(A98&lt;&gt;"",SUM(U98:Y98),"")</f>
        <v>280</v>
      </c>
      <c r="AA98" s="27">
        <f>IF(A98&lt;&gt;"",(Z98+Normalize_To_Add)/(Point_Total_So_Far)*100,"")</f>
        <v>91.803278688524586</v>
      </c>
      <c r="AB98" s="10">
        <f>IF(A98&lt;&gt;"",RANK(AA98,All_Student_XC),"")</f>
        <v>310</v>
      </c>
      <c r="AC98" s="32" t="str">
        <f>IF(A98&lt;&gt;"",CHOOSE(10-MIN(9,TRUNC((AA98+0.5)/10)),"A","B","C","D","F","F","F","F","F","F"),"")</f>
        <v>A</v>
      </c>
      <c r="AD98" s="32" t="str">
        <f>IF(A98&lt;&gt;"",IF(OR(AA98+0.5&gt;=93,AA98+0.5&lt;60),"",IF(MOD(AA98+0.5,10)&gt;=7,"+",IF(MOD(AA98+0.5,10)&lt;3,"-",""))),"")</f>
        <v>-</v>
      </c>
      <c r="AE98" s="32">
        <f>IF(A98&lt;&gt;"",SUM(W98:X98,$W$8:$X$8)/SUM($W$2:$X$2)*100,"")</f>
        <v>100</v>
      </c>
      <c r="AF98" s="32" t="str">
        <f>IF(A98&lt;&gt;"",CHOOSE(10-MIN(9,TRUNC((AE98+0.5)/10)),"A","B","C","D","F","F","F","F","F","F"),"")</f>
        <v>A</v>
      </c>
      <c r="AG98" s="32" t="str">
        <f>IF(A98&lt;&gt;"",IF(OR(AE98+0.5&gt;=93,AE98+0.5&lt;60),"",IF(MOD(AE98+0.5,10)&gt;=7,"+",IF(MOD(AE98+0.5,10)&lt;3,"-",""))),"")</f>
        <v/>
      </c>
      <c r="AH98" s="36">
        <f>IF(A98&lt;&gt;"",MIN(MAX(AA98,AE98),AA98+$AH$8,AE98+$AH$8),"")</f>
        <v>100</v>
      </c>
      <c r="AI98" s="32" t="str">
        <f>IF(A98&lt;&gt;"",CHOOSE(10-MIN(9,TRUNC((AH98+0.5)/10)),"A","B","C","D","F","F","F","F","F","F"),"")</f>
        <v>A</v>
      </c>
      <c r="AJ98" s="32" t="str">
        <f>IF(A98&lt;&gt;"",IF(OR(AH98+0.5&gt;=93,AH98+0.5&lt;60),"",IF(MOD(AH98+0.5,10)&gt;=7,"+",IF(MOD(AH98+0.5,10)&lt;3,"-",""))),"")</f>
        <v/>
      </c>
      <c r="AK98" s="32" t="b">
        <f>IF(A98&lt;&gt;"",OR(AI98&lt;&gt;AC98,AJ98&lt;&gt;AD98),"")</f>
        <v>1</v>
      </c>
      <c r="AL98" s="84">
        <f>IF(AND(A98&lt;&gt;"",U98&lt;&gt;""),SUM(U98,$AL$8)/$AL$2*100,"")</f>
        <v>65.333333333333329</v>
      </c>
      <c r="AM98" s="24">
        <f>IF(AND(A98&lt;&gt;"",V98&lt;&gt;""),SUM(V98,$AM$8)/$AM$2*100,"")</f>
        <v>100</v>
      </c>
      <c r="AN98" s="24">
        <f>IF(AND(A98&lt;&gt;"",ISNUMBER(P98),P98&gt;=0),SUM(P98,$AN$8)/$AN$2*100,"")</f>
        <v>100</v>
      </c>
      <c r="AO98" s="24" t="str">
        <f>IF(AND(A98&lt;&gt;"",ISNUMBER(Q98),Q98&gt;=0),SUM(Q98,$AO$8)/$AO$2*100,"")</f>
        <v/>
      </c>
      <c r="AP98" s="24" t="str">
        <f>IF(AND(A98&lt;&gt;"",R98&lt;&gt;""),SUM(R98,$AP$8)/$AP$2*100,"")</f>
        <v/>
      </c>
      <c r="AQ98" s="24">
        <f>IF(AND(A98&lt;&gt;"",ISNUMBER(W98),W98&gt;=0),SUM(W98,$AQ$8)/$AQ$2*100,"")</f>
        <v>100</v>
      </c>
      <c r="AR98" s="24" t="str">
        <f>IF(AND(A98&lt;&gt;"",T98&gt;0,ISNUMBER(T98)),SUM(T98,$AR$8)/$AR$2*100,"")</f>
        <v/>
      </c>
      <c r="AS98" s="24" t="str">
        <f>IF(AND(A98&lt;&gt;"",X98&lt;&gt;""),SUM(X98,$AS$8)/$AS$2*100,"")</f>
        <v/>
      </c>
      <c r="AT98" s="89">
        <f>IF(AND(A98&lt;&gt;"",OR(ISNUMBER(W98),ISNUMBER(X98))),SUM(W98:X98,$AT$8)/$AT$2*100,"")</f>
        <v>100</v>
      </c>
      <c r="AU98" s="24">
        <f>AA98</f>
        <v>91.803278688524586</v>
      </c>
      <c r="AV98" s="24"/>
      <c r="AW98" s="27">
        <f>IF(A98&lt;&gt;"",AE98-AA98,"")</f>
        <v>8.1967213114754145</v>
      </c>
      <c r="AY98" s="27" t="b">
        <f>S98&gt;R98</f>
        <v>0</v>
      </c>
      <c r="BA98" s="27" t="e">
        <f>AND(AA98&gt;$BA$3,(W98+$W$8)/$W$2&lt;$BB$3,(X98+$X$8)/$X$2&lt;$BB$3)</f>
        <v>#VALUE!</v>
      </c>
      <c r="BB98" s="27" t="e">
        <f>AND(AA98&lt;$BA$3,AND(W98/$W$2&gt;$BB$3,X98/$X$2&gt;$BB$3))</f>
        <v>#VALUE!</v>
      </c>
      <c r="BC98" s="27" t="e">
        <f>AND(AA98&lt;$BA$3,OR(W98/$W$2&gt;$BB$3,X98/$X$2&gt;$BB$3))</f>
        <v>#VALUE!</v>
      </c>
      <c r="BE98" s="32" t="s">
        <v>84</v>
      </c>
    </row>
    <row r="99" spans="1:57" s="27" customFormat="1" ht="12.75" customHeight="1" x14ac:dyDescent="0.2">
      <c r="A99" s="10">
        <v>169986</v>
      </c>
      <c r="B99" s="2">
        <v>15</v>
      </c>
      <c r="C99" s="10">
        <v>23</v>
      </c>
      <c r="D99" s="10">
        <v>2</v>
      </c>
      <c r="E99" s="10"/>
      <c r="F99" s="10"/>
      <c r="G99" s="3"/>
      <c r="H99" s="10"/>
      <c r="I99" s="10"/>
      <c r="J99" s="2">
        <v>27</v>
      </c>
      <c r="K99" s="10">
        <v>29</v>
      </c>
      <c r="L99" s="10">
        <v>48</v>
      </c>
      <c r="M99" s="10"/>
      <c r="N99" s="10"/>
      <c r="O99" s="12"/>
      <c r="P99" s="41">
        <v>101</v>
      </c>
      <c r="Q99" s="41"/>
      <c r="R99" s="2"/>
      <c r="S99" s="10"/>
      <c r="T99" s="13"/>
      <c r="U99" s="7">
        <f t="array" ref="U99">IF(AND(A99&lt;&gt;"",OR(ISNUMBER(B99:I99))),SUM(B99:I99),"")</f>
        <v>40</v>
      </c>
      <c r="V99" s="10">
        <f t="array" ref="V99">IF(AND(A99&lt;&gt;"",OR(ISNUMBER(J99:O99))),SUM(J99:O99),"")</f>
        <v>104</v>
      </c>
      <c r="W99" s="10">
        <f t="array" ref="W99">IF(AND(A99&lt;&gt;"",OR(ISNUMBER(P99),ISNUMBER(Q99))),SUM(MAX(P99:Q99),Q99),"")</f>
        <v>101</v>
      </c>
      <c r="X99" s="10" t="str">
        <f t="array" ref="X99">IF(AND(A99&lt;&gt;"",OR(ISNUMBER(S99),ISNUMBER(T99))),SUM(S99,T99),"")</f>
        <v/>
      </c>
      <c r="Y99" s="13">
        <v>1</v>
      </c>
      <c r="Z99" s="13">
        <f>IF(A99&lt;&gt;"",SUM(U99:Y99),"")</f>
        <v>246</v>
      </c>
      <c r="AA99" s="27">
        <f>IF(A99&lt;&gt;"",(Z99+Normalize_To_Add)/(Point_Total_So_Far)*100,"")</f>
        <v>80.655737704918025</v>
      </c>
      <c r="AB99" s="10">
        <f>IF(A99&lt;&gt;"",RANK(AA99,All_Student_XC),"")</f>
        <v>407</v>
      </c>
      <c r="AC99" s="32" t="str">
        <f>IF(A99&lt;&gt;"",CHOOSE(10-MIN(9,TRUNC((AA99+0.5)/10)),"A","B","C","D","F","F","F","F","F","F"),"")</f>
        <v>B</v>
      </c>
      <c r="AD99" s="32" t="str">
        <f>IF(A99&lt;&gt;"",IF(OR(AA99+0.5&gt;=93,AA99+0.5&lt;60),"",IF(MOD(AA99+0.5,10)&gt;=7,"+",IF(MOD(AA99+0.5,10)&lt;3,"-",""))),"")</f>
        <v>-</v>
      </c>
      <c r="AE99" s="32">
        <f>IF(A99&lt;&gt;"",SUM(W99:X99,$W$8:$X$8)/SUM($W$2:$X$2)*100,"")</f>
        <v>101</v>
      </c>
      <c r="AF99" s="32" t="str">
        <f>IF(A99&lt;&gt;"",CHOOSE(10-MIN(9,TRUNC((AE99+0.5)/10)),"A","B","C","D","F","F","F","F","F","F"),"")</f>
        <v>A</v>
      </c>
      <c r="AG99" s="32" t="str">
        <f>IF(A99&lt;&gt;"",IF(OR(AE99+0.5&gt;=93,AE99+0.5&lt;60),"",IF(MOD(AE99+0.5,10)&gt;=7,"+",IF(MOD(AE99+0.5,10)&lt;3,"-",""))),"")</f>
        <v/>
      </c>
      <c r="AH99" s="36">
        <f>IF(A99&lt;&gt;"",MIN(MAX(AA99,AE99),AA99+$AH$8,AE99+$AH$8),"")</f>
        <v>101</v>
      </c>
      <c r="AI99" s="32" t="str">
        <f>IF(A99&lt;&gt;"",CHOOSE(10-MIN(9,TRUNC((AH99+0.5)/10)),"A","B","C","D","F","F","F","F","F","F"),"")</f>
        <v>A</v>
      </c>
      <c r="AJ99" s="32" t="str">
        <f>IF(A99&lt;&gt;"",IF(OR(AH99+0.5&gt;=93,AH99+0.5&lt;60),"",IF(MOD(AH99+0.5,10)&gt;=7,"+",IF(MOD(AH99+0.5,10)&lt;3,"-",""))),"")</f>
        <v/>
      </c>
      <c r="AK99" s="32" t="b">
        <f>IF(A99&lt;&gt;"",OR(AI99&lt;&gt;AC99,AJ99&lt;&gt;AD99),"")</f>
        <v>1</v>
      </c>
      <c r="AL99" s="84">
        <f>IF(AND(A99&lt;&gt;"",U99&lt;&gt;""),SUM(U99,$AL$8)/$AL$2*100,"")</f>
        <v>53.333333333333336</v>
      </c>
      <c r="AM99" s="24">
        <f>IF(AND(A99&lt;&gt;"",V99&lt;&gt;""),SUM(V99,$AM$8)/$AM$2*100,"")</f>
        <v>80</v>
      </c>
      <c r="AN99" s="24">
        <f>IF(AND(A99&lt;&gt;"",ISNUMBER(P99),P99&gt;=0),SUM(P99,$AN$8)/$AN$2*100,"")</f>
        <v>101</v>
      </c>
      <c r="AO99" s="24" t="str">
        <f>IF(AND(A99&lt;&gt;"",ISNUMBER(Q99),Q99&gt;=0),SUM(Q99,$AO$8)/$AO$2*100,"")</f>
        <v/>
      </c>
      <c r="AP99" s="24" t="str">
        <f>IF(AND(A99&lt;&gt;"",R99&lt;&gt;""),SUM(R99,$AP$8)/$AP$2*100,"")</f>
        <v/>
      </c>
      <c r="AQ99" s="24">
        <f>IF(AND(A99&lt;&gt;"",ISNUMBER(W99),W99&gt;=0),SUM(W99,$AQ$8)/$AQ$2*100,"")</f>
        <v>101</v>
      </c>
      <c r="AR99" s="24" t="str">
        <f>IF(AND(A99&lt;&gt;"",T99&gt;0,ISNUMBER(T99)),SUM(T99,$AR$8)/$AR$2*100,"")</f>
        <v/>
      </c>
      <c r="AS99" s="24" t="str">
        <f>IF(AND(A99&lt;&gt;"",X99&lt;&gt;""),SUM(X99,$AS$8)/$AS$2*100,"")</f>
        <v/>
      </c>
      <c r="AT99" s="89">
        <f>IF(AND(A99&lt;&gt;"",OR(ISNUMBER(W99),ISNUMBER(X99))),SUM(W99:X99,$AT$8)/$AT$2*100,"")</f>
        <v>101</v>
      </c>
      <c r="AU99" s="24">
        <f>AA99</f>
        <v>80.655737704918025</v>
      </c>
      <c r="AV99" s="24"/>
      <c r="AW99" s="27">
        <f>IF(A99&lt;&gt;"",AE99-AA99,"")</f>
        <v>20.344262295081975</v>
      </c>
      <c r="AY99" s="27" t="b">
        <f>S99&gt;R99</f>
        <v>0</v>
      </c>
      <c r="BA99" s="27" t="e">
        <f>AND(AA99&gt;$BA$3,(W99+$W$8)/$W$2&lt;$BB$3,(X99+$X$8)/$X$2&lt;$BB$3)</f>
        <v>#VALUE!</v>
      </c>
      <c r="BB99" s="27" t="e">
        <f>AND(AA99&lt;$BA$3,AND(W99/$W$2&gt;$BB$3,X99/$X$2&gt;$BB$3))</f>
        <v>#VALUE!</v>
      </c>
      <c r="BC99" s="27" t="e">
        <f>AND(AA99&lt;$BA$3,OR(W99/$W$2&gt;$BB$3,X99/$X$2&gt;$BB$3))</f>
        <v>#VALUE!</v>
      </c>
      <c r="BE99" s="32">
        <v>32</v>
      </c>
    </row>
    <row r="100" spans="1:57" s="27" customFormat="1" ht="12.75" customHeight="1" x14ac:dyDescent="0.2">
      <c r="A100" s="10">
        <v>171383</v>
      </c>
      <c r="B100" s="2">
        <v>22</v>
      </c>
      <c r="C100" s="10">
        <v>24</v>
      </c>
      <c r="D100" s="10">
        <v>25</v>
      </c>
      <c r="E100" s="10"/>
      <c r="F100" s="10"/>
      <c r="G100" s="10"/>
      <c r="H100" s="10"/>
      <c r="I100" s="10"/>
      <c r="J100" s="2">
        <v>32</v>
      </c>
      <c r="K100" s="10">
        <v>52</v>
      </c>
      <c r="L100" s="10">
        <v>52</v>
      </c>
      <c r="M100" s="10"/>
      <c r="N100" s="93"/>
      <c r="O100" s="13"/>
      <c r="P100" s="10">
        <v>101</v>
      </c>
      <c r="Q100" s="10"/>
      <c r="R100" s="2"/>
      <c r="S100" s="10"/>
      <c r="T100" s="13"/>
      <c r="U100" s="1">
        <f t="array" ref="U100">IF(AND(A100&lt;&gt;"",OR(ISNUMBER(B100:I100))),SUM(B100:I100),"")</f>
        <v>71</v>
      </c>
      <c r="V100" s="10">
        <f t="array" ref="V100">IF(AND(A100&lt;&gt;"",OR(ISNUMBER(J100:O100))),SUM(J100:O100),"")</f>
        <v>136</v>
      </c>
      <c r="W100" s="10">
        <f t="array" ref="W100">IF(AND(A100&lt;&gt;"",OR(ISNUMBER(P100),ISNUMBER(Q100))),SUM(MAX(P100:Q100),Q100),"")</f>
        <v>101</v>
      </c>
      <c r="X100" s="10" t="str">
        <f t="array" ref="X100">IF(AND(A100&lt;&gt;"",OR(ISNUMBER(S100),ISNUMBER(T100))),SUM(S100,T100),"")</f>
        <v/>
      </c>
      <c r="Y100" s="13">
        <v>1</v>
      </c>
      <c r="Z100" s="13">
        <f>IF(A100&lt;&gt;"",SUM(U100:Y100),"")</f>
        <v>309</v>
      </c>
      <c r="AA100" s="27">
        <f>IF(A100&lt;&gt;"",(Z100+Normalize_To_Add)/(Point_Total_So_Far)*100,"")</f>
        <v>101.31147540983608</v>
      </c>
      <c r="AB100" s="10">
        <f>IF(A100&lt;&gt;"",RANK(AA100,All_Student_XC),"")</f>
        <v>35</v>
      </c>
      <c r="AC100" s="32" t="str">
        <f>IF(A100&lt;&gt;"",CHOOSE(10-MIN(9,TRUNC((AA100+0.5)/10)),"A","B","C","D","F","F","F","F","F","F"),"")</f>
        <v>A</v>
      </c>
      <c r="AD100" s="31" t="str">
        <f>IF(A100&lt;&gt;"",IF(OR(AA100+0.5&gt;=93,AA100+0.5&lt;60),"",IF(MOD(AA100+0.5,10)&gt;=7,"+",IF(MOD(AA100+0.5,10)&lt;3,"-",""))),"")</f>
        <v/>
      </c>
      <c r="AE100" s="32">
        <f>IF(A100&lt;&gt;"",SUM(W100:X100,$W$8:$X$8)/SUM($W$2:$X$2)*100,"")</f>
        <v>101</v>
      </c>
      <c r="AF100" s="32" t="str">
        <f>IF(A100&lt;&gt;"",CHOOSE(10-MIN(9,TRUNC((AE100+0.5)/10)),"A","B","C","D","F","F","F","F","F","F"),"")</f>
        <v>A</v>
      </c>
      <c r="AG100" s="32" t="str">
        <f>IF(A100&lt;&gt;"",IF(OR(AE100+0.5&gt;=93,AE100+0.5&lt;60),"",IF(MOD(AE100+0.5,10)&gt;=7,"+",IF(MOD(AE100+0.5,10)&lt;3,"-",""))),"")</f>
        <v/>
      </c>
      <c r="AH100" s="36">
        <f>IF(A100&lt;&gt;"",MIN(MAX(AA100,AE100),AA100+$AH$8,AE100+$AH$8),"")</f>
        <v>101.31147540983608</v>
      </c>
      <c r="AI100" s="32" t="str">
        <f>IF(A100&lt;&gt;"",CHOOSE(10-MIN(9,TRUNC((AH100+0.5)/10)),"A","B","C","D","F","F","F","F","F","F"),"")</f>
        <v>A</v>
      </c>
      <c r="AJ100" s="32" t="str">
        <f>IF(A100&lt;&gt;"",IF(OR(AH100+0.5&gt;=93,AH100+0.5&lt;60),"",IF(MOD(AH100+0.5,10)&gt;=7,"+",IF(MOD(AH100+0.5,10)&lt;3,"-",""))),"")</f>
        <v/>
      </c>
      <c r="AK100" s="71" t="b">
        <f>IF(A100&lt;&gt;"",OR(AI100&lt;&gt;AC100,AJ100&lt;&gt;AD100),"")</f>
        <v>0</v>
      </c>
      <c r="AL100" s="86">
        <f>IF(AND(A100&lt;&gt;"",U100&lt;&gt;""),SUM(U100,$AL$8)/$AL$2*100,"")</f>
        <v>94.666666666666671</v>
      </c>
      <c r="AM100" s="71">
        <f>IF(AND(A100&lt;&gt;"",V100&lt;&gt;""),SUM(V100,$AM$8)/$AM$2*100,"")</f>
        <v>104.61538461538463</v>
      </c>
      <c r="AN100" s="71">
        <f>IF(AND(A100&lt;&gt;"",ISNUMBER(P100),P100&gt;=0),SUM(P100,$AN$8)/$AN$2*100,"")</f>
        <v>101</v>
      </c>
      <c r="AO100" s="71" t="str">
        <f>IF(AND(A100&lt;&gt;"",ISNUMBER(Q100),Q100&gt;=0),SUM(Q100,$AO$8)/$AO$2*100,"")</f>
        <v/>
      </c>
      <c r="AP100" s="24" t="str">
        <f>IF(AND(A100&lt;&gt;"",R100&lt;&gt;""),SUM(R100,$AP$8)/$AP$2*100,"")</f>
        <v/>
      </c>
      <c r="AQ100" s="24">
        <f>IF(AND(A100&lt;&gt;"",ISNUMBER(W100),W100&gt;=0),SUM(W100,$AQ$8)/$AQ$2*100,"")</f>
        <v>101</v>
      </c>
      <c r="AR100" s="24" t="str">
        <f>IF(AND(A100&lt;&gt;"",T100&gt;0,ISNUMBER(T100)),SUM(T100,$AR$8)/$AR$2*100,"")</f>
        <v/>
      </c>
      <c r="AS100" s="24" t="str">
        <f>IF(AND(A100&lt;&gt;"",X100&lt;&gt;""),SUM(X100,$AS$8)/$AS$2*100,"")</f>
        <v/>
      </c>
      <c r="AT100" s="89">
        <f>IF(AND(A100&lt;&gt;"",OR(ISNUMBER(W100),ISNUMBER(X100))),SUM(W100:X100,$AT$8)/$AT$2*100,"")</f>
        <v>101</v>
      </c>
      <c r="AU100" s="24">
        <f>AA100</f>
        <v>101.31147540983608</v>
      </c>
      <c r="AV100" s="71"/>
      <c r="AW100" s="27">
        <f>IF(A100&lt;&gt;"",AE100-AA100,"")</f>
        <v>-0.31147540983607769</v>
      </c>
      <c r="AY100" s="27" t="b">
        <f>S100&gt;R100</f>
        <v>0</v>
      </c>
      <c r="BA100" s="27" t="e">
        <f>AND(AA100&gt;$BA$3,(W100+$W$8)/$W$2&lt;$BB$3,(X100+$X$8)/$X$2&lt;$BB$3)</f>
        <v>#VALUE!</v>
      </c>
      <c r="BB100" s="27" t="e">
        <f>AND(AA100&lt;$BA$3,AND(W100/$W$2&gt;$BB$3,X100/$X$2&gt;$BB$3))</f>
        <v>#VALUE!</v>
      </c>
      <c r="BC100" s="27" t="e">
        <f>AND(AA100&lt;$BA$3,OR(W100/$W$2&gt;$BB$3,X100/$X$2&gt;$BB$3))</f>
        <v>#VALUE!</v>
      </c>
      <c r="BE100" s="32" t="s">
        <v>84</v>
      </c>
    </row>
    <row r="101" spans="1:57" s="27" customFormat="1" ht="12.75" customHeight="1" x14ac:dyDescent="0.2">
      <c r="A101" s="10">
        <v>174660</v>
      </c>
      <c r="B101" s="2">
        <v>17</v>
      </c>
      <c r="C101" s="10">
        <v>24</v>
      </c>
      <c r="D101" s="10">
        <v>16</v>
      </c>
      <c r="E101" s="10"/>
      <c r="F101" s="10"/>
      <c r="G101" s="3"/>
      <c r="H101" s="10"/>
      <c r="I101" s="10"/>
      <c r="J101" s="2">
        <v>26</v>
      </c>
      <c r="K101" s="10">
        <v>35</v>
      </c>
      <c r="L101" s="10">
        <v>50</v>
      </c>
      <c r="M101" s="10"/>
      <c r="N101" s="93"/>
      <c r="O101" s="12"/>
      <c r="P101" s="10">
        <v>100</v>
      </c>
      <c r="Q101" s="41"/>
      <c r="R101" s="2"/>
      <c r="S101" s="10"/>
      <c r="T101" s="13"/>
      <c r="U101" s="7">
        <f t="array" ref="U101">IF(AND(A101&lt;&gt;"",OR(ISNUMBER(B101:I101))),SUM(B101:I101),"")</f>
        <v>57</v>
      </c>
      <c r="V101" s="10">
        <f t="array" ref="V101">IF(AND(A101&lt;&gt;"",OR(ISNUMBER(J101:O101))),SUM(J101:O101),"")</f>
        <v>111</v>
      </c>
      <c r="W101" s="10">
        <f t="array" ref="W101">IF(AND(A101&lt;&gt;"",OR(ISNUMBER(P101),ISNUMBER(Q101))),SUM(MAX(P101:Q101),Q101),"")</f>
        <v>100</v>
      </c>
      <c r="X101" s="10" t="str">
        <f t="array" ref="X101">IF(AND(A101&lt;&gt;"",OR(ISNUMBER(S101),ISNUMBER(T101))),SUM(S101,T101),"")</f>
        <v/>
      </c>
      <c r="Y101" s="13">
        <v>1</v>
      </c>
      <c r="Z101" s="13">
        <f>IF(A101&lt;&gt;"",SUM(U101:Y101),"")</f>
        <v>269</v>
      </c>
      <c r="AA101" s="27">
        <f>IF(A101&lt;&gt;"",(Z101+Normalize_To_Add)/(Point_Total_So_Far)*100,"")</f>
        <v>88.196721311475414</v>
      </c>
      <c r="AB101" s="10">
        <f>IF(A101&lt;&gt;"",RANK(AA101,All_Student_XC),"")</f>
        <v>355</v>
      </c>
      <c r="AC101" s="32" t="str">
        <f>IF(A101&lt;&gt;"",CHOOSE(10-MIN(9,TRUNC((AA101+0.5)/10)),"A","B","C","D","F","F","F","F","F","F"),"")</f>
        <v>B</v>
      </c>
      <c r="AD101" s="32" t="str">
        <f>IF(A101&lt;&gt;"",IF(OR(AA101+0.5&gt;=93,AA101+0.5&lt;60),"",IF(MOD(AA101+0.5,10)&gt;=7,"+",IF(MOD(AA101+0.5,10)&lt;3,"-",""))),"")</f>
        <v>+</v>
      </c>
      <c r="AE101" s="32">
        <f>IF(A101&lt;&gt;"",SUM(W101:X101,$W$8:$X$8)/SUM($W$2:$X$2)*100,"")</f>
        <v>100</v>
      </c>
      <c r="AF101" s="32" t="str">
        <f>IF(A101&lt;&gt;"",CHOOSE(10-MIN(9,TRUNC((AE101+0.5)/10)),"A","B","C","D","F","F","F","F","F","F"),"")</f>
        <v>A</v>
      </c>
      <c r="AG101" s="32" t="str">
        <f>IF(A101&lt;&gt;"",IF(OR(AE101+0.5&gt;=93,AE101+0.5&lt;60),"",IF(MOD(AE101+0.5,10)&gt;=7,"+",IF(MOD(AE101+0.5,10)&lt;3,"-",""))),"")</f>
        <v/>
      </c>
      <c r="AH101" s="36">
        <f>IF(A101&lt;&gt;"",MIN(MAX(AA101,AE101),AA101+$AH$8,AE101+$AH$8),"")</f>
        <v>100</v>
      </c>
      <c r="AI101" s="32" t="str">
        <f>IF(A101&lt;&gt;"",CHOOSE(10-MIN(9,TRUNC((AH101+0.5)/10)),"A","B","C","D","F","F","F","F","F","F"),"")</f>
        <v>A</v>
      </c>
      <c r="AJ101" s="32" t="str">
        <f>IF(A101&lt;&gt;"",IF(OR(AH101+0.5&gt;=93,AH101+0.5&lt;60),"",IF(MOD(AH101+0.5,10)&gt;=7,"+",IF(MOD(AH101+0.5,10)&lt;3,"-",""))),"")</f>
        <v/>
      </c>
      <c r="AK101" s="32" t="b">
        <f>IF(A101&lt;&gt;"",OR(AI101&lt;&gt;AC101,AJ101&lt;&gt;AD101),"")</f>
        <v>1</v>
      </c>
      <c r="AL101" s="84">
        <f>IF(AND(A101&lt;&gt;"",U101&lt;&gt;""),SUM(U101,$AL$8)/$AL$2*100,"")</f>
        <v>76</v>
      </c>
      <c r="AM101" s="24">
        <f>IF(AND(A101&lt;&gt;"",V101&lt;&gt;""),SUM(V101,$AM$8)/$AM$2*100,"")</f>
        <v>85.384615384615387</v>
      </c>
      <c r="AN101" s="24">
        <f>IF(AND(A101&lt;&gt;"",ISNUMBER(P101),P101&gt;=0),SUM(P101,$AN$8)/$AN$2*100,"")</f>
        <v>100</v>
      </c>
      <c r="AO101" s="24" t="str">
        <f>IF(AND(A101&lt;&gt;"",ISNUMBER(Q101),Q101&gt;=0),SUM(Q101,$AO$8)/$AO$2*100,"")</f>
        <v/>
      </c>
      <c r="AP101" s="24" t="str">
        <f>IF(AND(A101&lt;&gt;"",R101&lt;&gt;""),SUM(R101,$AP$8)/$AP$2*100,"")</f>
        <v/>
      </c>
      <c r="AQ101" s="24">
        <f>IF(AND(A101&lt;&gt;"",ISNUMBER(W101),W101&gt;=0),SUM(W101,$AQ$8)/$AQ$2*100,"")</f>
        <v>100</v>
      </c>
      <c r="AR101" s="24" t="str">
        <f>IF(AND(A101&lt;&gt;"",T101&gt;0,ISNUMBER(T101)),SUM(T101,$AR$8)/$AR$2*100,"")</f>
        <v/>
      </c>
      <c r="AS101" s="24" t="str">
        <f>IF(AND(A101&lt;&gt;"",X101&lt;&gt;""),SUM(X101,$AS$8)/$AS$2*100,"")</f>
        <v/>
      </c>
      <c r="AT101" s="89">
        <f>IF(AND(A101&lt;&gt;"",OR(ISNUMBER(W101),ISNUMBER(X101))),SUM(W101:X101,$AT$8)/$AT$2*100,"")</f>
        <v>100</v>
      </c>
      <c r="AU101" s="24">
        <f>AA101</f>
        <v>88.196721311475414</v>
      </c>
      <c r="AV101" s="24"/>
      <c r="AW101" s="27">
        <f>IF(A101&lt;&gt;"",AE101-AA101,"")</f>
        <v>11.803278688524586</v>
      </c>
      <c r="AY101" s="27" t="b">
        <f>S101&gt;R101</f>
        <v>0</v>
      </c>
      <c r="BA101" s="27" t="e">
        <f>AND(AA101&gt;$BA$3,(W101+$W$8)/$W$2&lt;$BB$3,(X101+$X$8)/$X$2&lt;$BB$3)</f>
        <v>#VALUE!</v>
      </c>
      <c r="BB101" s="27" t="e">
        <f>AND(AA101&lt;$BA$3,AND(W101/$W$2&gt;$BB$3,X101/$X$2&gt;$BB$3))</f>
        <v>#VALUE!</v>
      </c>
      <c r="BC101" s="27" t="e">
        <f>AND(AA101&lt;$BA$3,OR(W101/$W$2&gt;$BB$3,X101/$X$2&gt;$BB$3))</f>
        <v>#VALUE!</v>
      </c>
      <c r="BE101" s="32">
        <v>32</v>
      </c>
    </row>
    <row r="102" spans="1:57" s="27" customFormat="1" ht="12.75" customHeight="1" x14ac:dyDescent="0.2">
      <c r="A102" s="10">
        <v>174669</v>
      </c>
      <c r="B102" s="2">
        <v>23</v>
      </c>
      <c r="C102" s="10">
        <v>20</v>
      </c>
      <c r="D102" s="10">
        <v>25</v>
      </c>
      <c r="E102" s="10"/>
      <c r="F102" s="10"/>
      <c r="G102" s="3"/>
      <c r="H102" s="10"/>
      <c r="I102" s="10"/>
      <c r="J102" s="2">
        <v>30</v>
      </c>
      <c r="K102" s="10">
        <v>51</v>
      </c>
      <c r="L102" s="10">
        <v>51</v>
      </c>
      <c r="M102" s="10"/>
      <c r="N102" s="93"/>
      <c r="O102" s="13"/>
      <c r="P102" s="10">
        <v>101</v>
      </c>
      <c r="Q102" s="10"/>
      <c r="R102" s="2"/>
      <c r="S102" s="10"/>
      <c r="T102" s="13"/>
      <c r="U102" s="7">
        <f t="array" ref="U102">IF(AND(A102&lt;&gt;"",OR(ISNUMBER(B102:I102))),SUM(B102:I102),"")</f>
        <v>68</v>
      </c>
      <c r="V102" s="10">
        <f t="array" ref="V102">IF(AND(A102&lt;&gt;"",OR(ISNUMBER(J102:O102))),SUM(J102:O102),"")</f>
        <v>132</v>
      </c>
      <c r="W102" s="10">
        <f t="array" ref="W102">IF(AND(A102&lt;&gt;"",OR(ISNUMBER(P102),ISNUMBER(Q102))),SUM(MAX(P102:Q102),Q102),"")</f>
        <v>101</v>
      </c>
      <c r="X102" s="10" t="str">
        <f t="array" ref="X102">IF(AND(A102&lt;&gt;"",OR(ISNUMBER(S102),ISNUMBER(T102))),SUM(S102,T102),"")</f>
        <v/>
      </c>
      <c r="Y102" s="13">
        <v>1</v>
      </c>
      <c r="Z102" s="13">
        <f>IF(A102&lt;&gt;"",SUM(U102:Y102),"")</f>
        <v>302</v>
      </c>
      <c r="AA102" s="27">
        <f>IF(A102&lt;&gt;"",(Z102+Normalize_To_Add)/(Point_Total_So_Far)*100,"")</f>
        <v>99.016393442622956</v>
      </c>
      <c r="AB102" s="10">
        <f>IF(A102&lt;&gt;"",RANK(AA102,All_Student_XC),"")</f>
        <v>164</v>
      </c>
      <c r="AC102" s="32" t="str">
        <f>IF(A102&lt;&gt;"",CHOOSE(10-MIN(9,TRUNC((AA102+0.5)/10)),"A","B","C","D","F","F","F","F","F","F"),"")</f>
        <v>A</v>
      </c>
      <c r="AD102" s="31" t="str">
        <f>IF(A102&lt;&gt;"",IF(OR(AA102+0.5&gt;=93,AA102+0.5&lt;60),"",IF(MOD(AA102+0.5,10)&gt;=7,"+",IF(MOD(AA102+0.5,10)&lt;3,"-",""))),"")</f>
        <v/>
      </c>
      <c r="AE102" s="32">
        <f>IF(A102&lt;&gt;"",SUM(W102:X102,$W$8:$X$8)/SUM($W$2:$X$2)*100,"")</f>
        <v>101</v>
      </c>
      <c r="AF102" s="32" t="str">
        <f>IF(A102&lt;&gt;"",CHOOSE(10-MIN(9,TRUNC((AE102+0.5)/10)),"A","B","C","D","F","F","F","F","F","F"),"")</f>
        <v>A</v>
      </c>
      <c r="AG102" s="32" t="str">
        <f>IF(A102&lt;&gt;"",IF(OR(AE102+0.5&gt;=93,AE102+0.5&lt;60),"",IF(MOD(AE102+0.5,10)&gt;=7,"+",IF(MOD(AE102+0.5,10)&lt;3,"-",""))),"")</f>
        <v/>
      </c>
      <c r="AH102" s="36">
        <f>IF(A102&lt;&gt;"",MIN(MAX(AA102,AE102),AA102+$AH$8,AE102+$AH$8),"")</f>
        <v>101</v>
      </c>
      <c r="AI102" s="32" t="str">
        <f>IF(A102&lt;&gt;"",CHOOSE(10-MIN(9,TRUNC((AH102+0.5)/10)),"A","B","C","D","F","F","F","F","F","F"),"")</f>
        <v>A</v>
      </c>
      <c r="AJ102" s="32" t="str">
        <f>IF(A102&lt;&gt;"",IF(OR(AH102+0.5&gt;=93,AH102+0.5&lt;60),"",IF(MOD(AH102+0.5,10)&gt;=7,"+",IF(MOD(AH102+0.5,10)&lt;3,"-",""))),"")</f>
        <v/>
      </c>
      <c r="AK102" s="71" t="b">
        <f>IF(A102&lt;&gt;"",OR(AI102&lt;&gt;AC102,AJ102&lt;&gt;AD102),"")</f>
        <v>0</v>
      </c>
      <c r="AL102" s="86">
        <f>IF(AND(A102&lt;&gt;"",U102&lt;&gt;""),SUM(U102,$AL$8)/$AL$2*100,"")</f>
        <v>90.666666666666657</v>
      </c>
      <c r="AM102" s="71">
        <f>IF(AND(A102&lt;&gt;"",V102&lt;&gt;""),SUM(V102,$AM$8)/$AM$2*100,"")</f>
        <v>101.53846153846153</v>
      </c>
      <c r="AN102" s="71">
        <f>IF(AND(A102&lt;&gt;"",ISNUMBER(P102),P102&gt;=0),SUM(P102,$AN$8)/$AN$2*100,"")</f>
        <v>101</v>
      </c>
      <c r="AO102" s="71" t="str">
        <f>IF(AND(A102&lt;&gt;"",ISNUMBER(Q102),Q102&gt;=0),SUM(Q102,$AO$8)/$AO$2*100,"")</f>
        <v/>
      </c>
      <c r="AP102" s="24" t="str">
        <f>IF(AND(A102&lt;&gt;"",R102&lt;&gt;""),SUM(R102,$AP$8)/$AP$2*100,"")</f>
        <v/>
      </c>
      <c r="AQ102" s="24">
        <f>IF(AND(A102&lt;&gt;"",ISNUMBER(W102),W102&gt;=0),SUM(W102,$AQ$8)/$AQ$2*100,"")</f>
        <v>101</v>
      </c>
      <c r="AR102" s="24" t="str">
        <f>IF(AND(A102&lt;&gt;"",T102&gt;0,ISNUMBER(T102)),SUM(T102,$AR$8)/$AR$2*100,"")</f>
        <v/>
      </c>
      <c r="AS102" s="24" t="str">
        <f>IF(AND(A102&lt;&gt;"",X102&lt;&gt;""),SUM(X102,$AS$8)/$AS$2*100,"")</f>
        <v/>
      </c>
      <c r="AT102" s="89">
        <f>IF(AND(A102&lt;&gt;"",OR(ISNUMBER(W102),ISNUMBER(X102))),SUM(W102:X102,$AT$8)/$AT$2*100,"")</f>
        <v>101</v>
      </c>
      <c r="AU102" s="24">
        <f>AA102</f>
        <v>99.016393442622956</v>
      </c>
      <c r="AV102" s="71"/>
      <c r="AW102" s="27">
        <f>IF(A102&lt;&gt;"",AE102-AA102,"")</f>
        <v>1.9836065573770441</v>
      </c>
      <c r="AY102" s="27" t="b">
        <f>S102&gt;R102</f>
        <v>0</v>
      </c>
      <c r="BA102" s="27" t="e">
        <f>AND(AA102&gt;$BA$3,(W102+$W$8)/$W$2&lt;$BB$3,(X102+$X$8)/$X$2&lt;$BB$3)</f>
        <v>#VALUE!</v>
      </c>
      <c r="BB102" s="27" t="e">
        <f>AND(AA102&lt;$BA$3,AND(W102/$W$2&gt;$BB$3,X102/$X$2&gt;$BB$3))</f>
        <v>#VALUE!</v>
      </c>
      <c r="BC102" s="27" t="e">
        <f>AND(AA102&lt;$BA$3,OR(W102/$W$2&gt;$BB$3,X102/$X$2&gt;$BB$3))</f>
        <v>#VALUE!</v>
      </c>
      <c r="BE102" s="32" t="s">
        <v>84</v>
      </c>
    </row>
    <row r="103" spans="1:57" s="27" customFormat="1" ht="12.75" customHeight="1" x14ac:dyDescent="0.2">
      <c r="A103" s="56">
        <v>176952</v>
      </c>
      <c r="B103" s="2">
        <v>19</v>
      </c>
      <c r="C103" s="10">
        <v>20</v>
      </c>
      <c r="D103" s="10">
        <v>25</v>
      </c>
      <c r="E103" s="10"/>
      <c r="F103" s="10"/>
      <c r="G103" s="10"/>
      <c r="H103" s="10"/>
      <c r="I103" s="10"/>
      <c r="J103" s="2">
        <v>31</v>
      </c>
      <c r="K103" s="10">
        <v>30</v>
      </c>
      <c r="L103" s="10">
        <v>47</v>
      </c>
      <c r="M103" s="10"/>
      <c r="N103" s="93"/>
      <c r="O103" s="12"/>
      <c r="P103" s="10">
        <v>101</v>
      </c>
      <c r="Q103" s="41"/>
      <c r="R103" s="2"/>
      <c r="S103" s="10"/>
      <c r="T103" s="13"/>
      <c r="U103" s="1">
        <f t="array" ref="U103">IF(AND(A103&lt;&gt;"",OR(ISNUMBER(B103:I103))),SUM(B103:I103),"")</f>
        <v>64</v>
      </c>
      <c r="V103" s="10">
        <f t="array" ref="V103">IF(AND(A103&lt;&gt;"",OR(ISNUMBER(J103:O103))),SUM(J103:O103),"")</f>
        <v>108</v>
      </c>
      <c r="W103" s="10">
        <f t="array" ref="W103">IF(AND(A103&lt;&gt;"",OR(ISNUMBER(P103),ISNUMBER(Q103))),SUM(MAX(P103:Q103),Q103),"")</f>
        <v>101</v>
      </c>
      <c r="X103" s="10" t="str">
        <f t="array" ref="X103">IF(AND(A103&lt;&gt;"",OR(ISNUMBER(S103),ISNUMBER(T103))),SUM(S103,T103),"")</f>
        <v/>
      </c>
      <c r="Y103" s="13">
        <v>1</v>
      </c>
      <c r="Z103" s="13">
        <f>IF(A103&lt;&gt;"",SUM(U103:Y103),"")</f>
        <v>274</v>
      </c>
      <c r="AA103" s="27">
        <f>IF(A103&lt;&gt;"",(Z103+Normalize_To_Add)/(Point_Total_So_Far)*100,"")</f>
        <v>89.836065573770497</v>
      </c>
      <c r="AB103" s="10">
        <f>IF(A103&lt;&gt;"",RANK(AA103,All_Student_XC),"")</f>
        <v>338</v>
      </c>
      <c r="AC103" s="32" t="str">
        <f>IF(A103&lt;&gt;"",CHOOSE(10-MIN(9,TRUNC((AA103+0.5)/10)),"A","B","C","D","F","F","F","F","F","F"),"")</f>
        <v>A</v>
      </c>
      <c r="AD103" s="32" t="str">
        <f>IF(A103&lt;&gt;"",IF(OR(AA103+0.5&gt;=93,AA103+0.5&lt;60),"",IF(MOD(AA103+0.5,10)&gt;=7,"+",IF(MOD(AA103+0.5,10)&lt;3,"-",""))),"")</f>
        <v>-</v>
      </c>
      <c r="AE103" s="32">
        <f>IF(A103&lt;&gt;"",SUM(W103:X103,$W$8:$X$8)/SUM($W$2:$X$2)*100,"")</f>
        <v>101</v>
      </c>
      <c r="AF103" s="32" t="str">
        <f>IF(A103&lt;&gt;"",CHOOSE(10-MIN(9,TRUNC((AE103+0.5)/10)),"A","B","C","D","F","F","F","F","F","F"),"")</f>
        <v>A</v>
      </c>
      <c r="AG103" s="32" t="str">
        <f>IF(A103&lt;&gt;"",IF(OR(AE103+0.5&gt;=93,AE103+0.5&lt;60),"",IF(MOD(AE103+0.5,10)&gt;=7,"+",IF(MOD(AE103+0.5,10)&lt;3,"-",""))),"")</f>
        <v/>
      </c>
      <c r="AH103" s="36">
        <f>IF(A103&lt;&gt;"",MIN(MAX(AA103,AE103),AA103+$AH$8,AE103+$AH$8),"")</f>
        <v>101</v>
      </c>
      <c r="AI103" s="32" t="str">
        <f>IF(A103&lt;&gt;"",CHOOSE(10-MIN(9,TRUNC((AH103+0.5)/10)),"A","B","C","D","F","F","F","F","F","F"),"")</f>
        <v>A</v>
      </c>
      <c r="AJ103" s="32" t="str">
        <f>IF(A103&lt;&gt;"",IF(OR(AH103+0.5&gt;=93,AH103+0.5&lt;60),"",IF(MOD(AH103+0.5,10)&gt;=7,"+",IF(MOD(AH103+0.5,10)&lt;3,"-",""))),"")</f>
        <v/>
      </c>
      <c r="AK103" s="32" t="b">
        <f>IF(A103&lt;&gt;"",OR(AI103&lt;&gt;AC103,AJ103&lt;&gt;AD103),"")</f>
        <v>1</v>
      </c>
      <c r="AL103" s="84">
        <f>IF(AND(A103&lt;&gt;"",U103&lt;&gt;""),SUM(U103,$AL$8)/$AL$2*100,"")</f>
        <v>85.333333333333343</v>
      </c>
      <c r="AM103" s="24">
        <f>IF(AND(A103&lt;&gt;"",V103&lt;&gt;""),SUM(V103,$AM$8)/$AM$2*100,"")</f>
        <v>83.07692307692308</v>
      </c>
      <c r="AN103" s="24">
        <f>IF(AND(A103&lt;&gt;"",ISNUMBER(P103),P103&gt;=0),SUM(P103,$AN$8)/$AN$2*100,"")</f>
        <v>101</v>
      </c>
      <c r="AO103" s="24" t="str">
        <f>IF(AND(A103&lt;&gt;"",ISNUMBER(Q103),Q103&gt;=0),SUM(Q103,$AO$8)/$AO$2*100,"")</f>
        <v/>
      </c>
      <c r="AP103" s="24" t="str">
        <f>IF(AND(A103&lt;&gt;"",R103&lt;&gt;""),SUM(R103,$AP$8)/$AP$2*100,"")</f>
        <v/>
      </c>
      <c r="AQ103" s="24">
        <f>IF(AND(A103&lt;&gt;"",ISNUMBER(W103),W103&gt;=0),SUM(W103,$AQ$8)/$AQ$2*100,"")</f>
        <v>101</v>
      </c>
      <c r="AR103" s="24" t="str">
        <f>IF(AND(A103&lt;&gt;"",T103&gt;0,ISNUMBER(T103)),SUM(T103,$AR$8)/$AR$2*100,"")</f>
        <v/>
      </c>
      <c r="AS103" s="24" t="str">
        <f>IF(AND(A103&lt;&gt;"",X103&lt;&gt;""),SUM(X103,$AS$8)/$AS$2*100,"")</f>
        <v/>
      </c>
      <c r="AT103" s="89">
        <f>IF(AND(A103&lt;&gt;"",OR(ISNUMBER(W103),ISNUMBER(X103))),SUM(W103:X103,$AT$8)/$AT$2*100,"")</f>
        <v>101</v>
      </c>
      <c r="AU103" s="24">
        <f>AA103</f>
        <v>89.836065573770497</v>
      </c>
      <c r="AV103" s="24"/>
      <c r="AW103" s="27">
        <f>IF(A103&lt;&gt;"",AE103-AA103,"")</f>
        <v>11.163934426229503</v>
      </c>
      <c r="AY103" s="27" t="b">
        <f>S103&gt;R103</f>
        <v>0</v>
      </c>
      <c r="BA103" s="27" t="e">
        <f>AND(AA103&gt;$BA$3,(W103+$W$8)/$W$2&lt;$BB$3,(X103+$X$8)/$X$2&lt;$BB$3)</f>
        <v>#VALUE!</v>
      </c>
      <c r="BB103" s="27" t="e">
        <f>AND(AA103&lt;$BA$3,AND(W103/$W$2&gt;$BB$3,X103/$X$2&gt;$BB$3))</f>
        <v>#VALUE!</v>
      </c>
      <c r="BC103" s="27" t="e">
        <f>AND(AA103&lt;$BA$3,OR(W103/$W$2&gt;$BB$3,X103/$X$2&gt;$BB$3))</f>
        <v>#VALUE!</v>
      </c>
      <c r="BE103" s="32" t="s">
        <v>85</v>
      </c>
    </row>
    <row r="104" spans="1:57" s="27" customFormat="1" ht="12.75" customHeight="1" x14ac:dyDescent="0.2">
      <c r="A104" s="10">
        <v>178385</v>
      </c>
      <c r="B104" s="55">
        <v>19</v>
      </c>
      <c r="C104" s="10">
        <v>21</v>
      </c>
      <c r="D104" s="10">
        <v>25</v>
      </c>
      <c r="E104" s="10"/>
      <c r="F104" s="10"/>
      <c r="G104" s="3"/>
      <c r="H104" s="10"/>
      <c r="I104" s="10"/>
      <c r="J104" s="2">
        <v>31</v>
      </c>
      <c r="K104" s="10">
        <v>50</v>
      </c>
      <c r="L104" s="10">
        <v>52</v>
      </c>
      <c r="M104" s="10"/>
      <c r="N104" s="93"/>
      <c r="O104" s="12"/>
      <c r="P104" s="10">
        <v>101</v>
      </c>
      <c r="Q104" s="41"/>
      <c r="R104" s="2"/>
      <c r="S104" s="10"/>
      <c r="T104" s="13"/>
      <c r="U104" s="77">
        <f t="array" ref="U104">IF(AND(A104&lt;&gt;"",OR(ISNUMBER(B104:I104))),SUM(B104:I104),"")</f>
        <v>65</v>
      </c>
      <c r="V104" s="10">
        <f t="array" ref="V104">IF(AND(A104&lt;&gt;"",OR(ISNUMBER(J104:O104))),SUM(J104:O104),"")</f>
        <v>133</v>
      </c>
      <c r="W104" s="10">
        <f t="array" ref="W104">IF(AND(A104&lt;&gt;"",OR(ISNUMBER(P104),ISNUMBER(Q104))),SUM(MAX(P104:Q104),Q104),"")</f>
        <v>101</v>
      </c>
      <c r="X104" s="10" t="str">
        <f t="array" ref="X104">IF(AND(A104&lt;&gt;"",OR(ISNUMBER(S104),ISNUMBER(T104))),SUM(S104,T104),"")</f>
        <v/>
      </c>
      <c r="Y104" s="72">
        <v>1</v>
      </c>
      <c r="Z104" s="13">
        <f>IF(A104&lt;&gt;"",SUM(U104:Y104),"")</f>
        <v>300</v>
      </c>
      <c r="AA104" s="27">
        <f>IF(A104&lt;&gt;"",(Z104+Normalize_To_Add)/(Point_Total_So_Far)*100,"")</f>
        <v>98.360655737704917</v>
      </c>
      <c r="AB104" s="10">
        <f>IF(A104&lt;&gt;"",RANK(AA104,All_Student_XC),"")</f>
        <v>186</v>
      </c>
      <c r="AC104" s="32" t="str">
        <f>IF(A104&lt;&gt;"",CHOOSE(10-MIN(9,TRUNC((AA104+0.5)/10)),"A","B","C","D","F","F","F","F","F","F"),"")</f>
        <v>A</v>
      </c>
      <c r="AD104" s="32" t="str">
        <f>IF(A104&lt;&gt;"",IF(OR(AA104+0.5&gt;=93,AA104+0.5&lt;60),"",IF(MOD(AA104+0.5,10)&gt;=7,"+",IF(MOD(AA104+0.5,10)&lt;3,"-",""))),"")</f>
        <v/>
      </c>
      <c r="AE104" s="32">
        <f>IF(A104&lt;&gt;"",SUM(W104:X104,$W$8:$X$8)/SUM($W$2:$X$2)*100,"")</f>
        <v>101</v>
      </c>
      <c r="AF104" s="32" t="str">
        <f>IF(A104&lt;&gt;"",CHOOSE(10-MIN(9,TRUNC((AE104+0.5)/10)),"A","B","C","D","F","F","F","F","F","F"),"")</f>
        <v>A</v>
      </c>
      <c r="AG104" s="32" t="str">
        <f>IF(A104&lt;&gt;"",IF(OR(AE104+0.5&gt;=93,AE104+0.5&lt;60),"",IF(MOD(AE104+0.5,10)&gt;=7,"+",IF(MOD(AE104+0.5,10)&lt;3,"-",""))),"")</f>
        <v/>
      </c>
      <c r="AH104" s="36">
        <f>IF(A104&lt;&gt;"",MIN(MAX(AA104,AE104),AA104+$AH$8,AE104+$AH$8),"")</f>
        <v>101</v>
      </c>
      <c r="AI104" s="32" t="str">
        <f>IF(A104&lt;&gt;"",CHOOSE(10-MIN(9,TRUNC((AH104+0.5)/10)),"A","B","C","D","F","F","F","F","F","F"),"")</f>
        <v>A</v>
      </c>
      <c r="AJ104" s="32" t="str">
        <f>IF(A104&lt;&gt;"",IF(OR(AH104+0.5&gt;=93,AH104+0.5&lt;60),"",IF(MOD(AH104+0.5,10)&gt;=7,"+",IF(MOD(AH104+0.5,10)&lt;3,"-",""))),"")</f>
        <v/>
      </c>
      <c r="AK104" s="32" t="b">
        <f>IF(A104&lt;&gt;"",OR(AI104&lt;&gt;AC104,AJ104&lt;&gt;AD104),"")</f>
        <v>0</v>
      </c>
      <c r="AL104" s="84">
        <f>IF(AND(A104&lt;&gt;"",U104&lt;&gt;""),SUM(U104,$AL$8)/$AL$2*100,"")</f>
        <v>86.666666666666671</v>
      </c>
      <c r="AM104" s="24">
        <f>IF(AND(A104&lt;&gt;"",V104&lt;&gt;""),SUM(V104,$AM$8)/$AM$2*100,"")</f>
        <v>102.30769230769229</v>
      </c>
      <c r="AN104" s="24">
        <f>IF(AND(A104&lt;&gt;"",ISNUMBER(P104),P104&gt;=0),SUM(P104,$AN$8)/$AN$2*100,"")</f>
        <v>101</v>
      </c>
      <c r="AO104" s="24" t="str">
        <f>IF(AND(A104&lt;&gt;"",ISNUMBER(Q104),Q104&gt;=0),SUM(Q104,$AO$8)/$AO$2*100,"")</f>
        <v/>
      </c>
      <c r="AP104" s="24" t="str">
        <f>IF(AND(A104&lt;&gt;"",R104&lt;&gt;""),SUM(R104,$AP$8)/$AP$2*100,"")</f>
        <v/>
      </c>
      <c r="AQ104" s="24">
        <f>IF(AND(A104&lt;&gt;"",ISNUMBER(W104),W104&gt;=0),SUM(W104,$AQ$8)/$AQ$2*100,"")</f>
        <v>101</v>
      </c>
      <c r="AR104" s="24" t="str">
        <f>IF(AND(A104&lt;&gt;"",T104&gt;0,ISNUMBER(T104)),SUM(T104,$AR$8)/$AR$2*100,"")</f>
        <v/>
      </c>
      <c r="AS104" s="24" t="str">
        <f>IF(AND(A104&lt;&gt;"",X104&lt;&gt;""),SUM(X104,$AS$8)/$AS$2*100,"")</f>
        <v/>
      </c>
      <c r="AT104" s="89">
        <f>IF(AND(A104&lt;&gt;"",OR(ISNUMBER(W104),ISNUMBER(X104))),SUM(W104:X104,$AT$8)/$AT$2*100,"")</f>
        <v>101</v>
      </c>
      <c r="AU104" s="24">
        <f>AA104</f>
        <v>98.360655737704917</v>
      </c>
      <c r="AV104" s="24"/>
      <c r="AW104" s="27">
        <f>IF(A104&lt;&gt;"",AE104-AA104,"")</f>
        <v>2.6393442622950829</v>
      </c>
      <c r="AY104" s="27" t="b">
        <f>S104&gt;R104</f>
        <v>0</v>
      </c>
      <c r="BA104" s="27" t="e">
        <f>AND(AA104&gt;$BA$3,(W104+$W$8)/$W$2&lt;$BB$3,(X104+$X$8)/$X$2&lt;$BB$3)</f>
        <v>#VALUE!</v>
      </c>
      <c r="BB104" s="27" t="e">
        <f>AND(AA104&lt;$BA$3,AND(W104/$W$2&gt;$BB$3,X104/$X$2&gt;$BB$3))</f>
        <v>#VALUE!</v>
      </c>
      <c r="BC104" s="27" t="e">
        <f>AND(AA104&lt;$BA$3,OR(W104/$W$2&gt;$BB$3,X104/$X$2&gt;$BB$3))</f>
        <v>#VALUE!</v>
      </c>
      <c r="BE104" s="32" t="s">
        <v>84</v>
      </c>
    </row>
    <row r="105" spans="1:57" s="27" customFormat="1" ht="12.75" customHeight="1" x14ac:dyDescent="0.2">
      <c r="A105" s="10">
        <v>178801</v>
      </c>
      <c r="B105" s="55">
        <v>24</v>
      </c>
      <c r="C105" s="10">
        <v>24</v>
      </c>
      <c r="D105" s="10">
        <v>25</v>
      </c>
      <c r="E105" s="10"/>
      <c r="F105" s="10"/>
      <c r="G105" s="10"/>
      <c r="H105" s="10"/>
      <c r="I105" s="10"/>
      <c r="J105" s="2">
        <v>29</v>
      </c>
      <c r="K105" s="10">
        <v>44</v>
      </c>
      <c r="L105" s="10">
        <v>49</v>
      </c>
      <c r="M105" s="10"/>
      <c r="N105" s="10"/>
      <c r="O105" s="12"/>
      <c r="P105" s="116">
        <v>101</v>
      </c>
      <c r="Q105" s="41"/>
      <c r="R105" s="2"/>
      <c r="S105" s="10"/>
      <c r="T105" s="13"/>
      <c r="U105" s="1">
        <f t="array" ref="U105">IF(AND(A105&lt;&gt;"",OR(ISNUMBER(B105:I105))),SUM(B105:I105),"")</f>
        <v>73</v>
      </c>
      <c r="V105" s="10">
        <f t="array" ref="V105">IF(AND(A105&lt;&gt;"",OR(ISNUMBER(J105:O105))),SUM(J105:O105),"")</f>
        <v>122</v>
      </c>
      <c r="W105" s="10">
        <f t="array" ref="W105">IF(AND(A105&lt;&gt;"",OR(ISNUMBER(P105),ISNUMBER(Q105))),SUM(MAX(P105:Q105),Q105),"")</f>
        <v>101</v>
      </c>
      <c r="X105" s="10" t="str">
        <f t="array" ref="X105">IF(AND(A105&lt;&gt;"",OR(ISNUMBER(S105),ISNUMBER(T105))),SUM(S105,T105),"")</f>
        <v/>
      </c>
      <c r="Y105" s="13">
        <v>1</v>
      </c>
      <c r="Z105" s="13">
        <f>IF(A105&lt;&gt;"",SUM(U105:Y105),"")</f>
        <v>297</v>
      </c>
      <c r="AA105" s="27">
        <f>IF(A105&lt;&gt;"",(Z105+Normalize_To_Add)/(Point_Total_So_Far)*100,"")</f>
        <v>97.377049180327873</v>
      </c>
      <c r="AB105" s="10">
        <f>IF(A105&lt;&gt;"",RANK(AA105,All_Student_XC),"")</f>
        <v>224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>
        <f>IF(A105&lt;&gt;"",SUM(W105:X105,$W$8:$X$8)/SUM($W$2:$X$2)*100,"")</f>
        <v>101</v>
      </c>
      <c r="AF105" s="32" t="str">
        <f>IF(A105&lt;&gt;"",CHOOSE(10-MIN(9,TRUNC((AE105+0.5)/10)),"A","B","C","D","F","F","F","F","F","F"),"")</f>
        <v>A</v>
      </c>
      <c r="AG105" s="32" t="str">
        <f>IF(A105&lt;&gt;"",IF(OR(AE105+0.5&gt;=93,AE105+0.5&lt;60),"",IF(MOD(AE105+0.5,10)&gt;=7,"+",IF(MOD(AE105+0.5,10)&lt;3,"-",""))),"")</f>
        <v/>
      </c>
      <c r="AH105" s="36">
        <f>IF(A105&lt;&gt;"",MIN(MAX(AA105,AE105),AA105+$AH$8,AE105+$AH$8),"")</f>
        <v>101</v>
      </c>
      <c r="AI105" s="32" t="str">
        <f>IF(A105&lt;&gt;"",CHOOSE(10-MIN(9,TRUNC((AH105+0.5)/10)),"A","B","C","D","F","F","F","F","F","F"),"")</f>
        <v>A</v>
      </c>
      <c r="AJ105" s="32" t="str">
        <f>IF(A105&lt;&gt;"",IF(OR(AH105+0.5&gt;=93,AH105+0.5&lt;60),"",IF(MOD(AH105+0.5,10)&gt;=7,"+",IF(MOD(AH105+0.5,10)&lt;3,"-",""))),"")</f>
        <v/>
      </c>
      <c r="AK105" s="32" t="b">
        <f>IF(A105&lt;&gt;"",OR(AI105&lt;&gt;AC105,AJ105&lt;&gt;AD105),"")</f>
        <v>0</v>
      </c>
      <c r="AL105" s="84">
        <f>IF(AND(A105&lt;&gt;"",U105&lt;&gt;""),SUM(U105,$AL$8)/$AL$2*100,"")</f>
        <v>97.333333333333343</v>
      </c>
      <c r="AM105" s="24">
        <f>IF(AND(A105&lt;&gt;"",V105&lt;&gt;""),SUM(V105,$AM$8)/$AM$2*100,"")</f>
        <v>93.84615384615384</v>
      </c>
      <c r="AN105" s="24">
        <f>IF(AND(A105&lt;&gt;"",ISNUMBER(P105),P105&gt;=0),SUM(P105,$AN$8)/$AN$2*100,"")</f>
        <v>101</v>
      </c>
      <c r="AO105" s="24" t="str">
        <f>IF(AND(A105&lt;&gt;"",ISNUMBER(Q105),Q105&gt;=0),SUM(Q105,$AO$8)/$AO$2*100,"")</f>
        <v/>
      </c>
      <c r="AP105" s="24" t="str">
        <f>IF(AND(A105&lt;&gt;"",R105&lt;&gt;""),SUM(R105,$AP$8)/$AP$2*100,"")</f>
        <v/>
      </c>
      <c r="AQ105" s="24">
        <f>IF(AND(A105&lt;&gt;"",ISNUMBER(W105),W105&gt;=0),SUM(W105,$AQ$8)/$AQ$2*100,"")</f>
        <v>101</v>
      </c>
      <c r="AR105" s="24" t="str">
        <f>IF(AND(A105&lt;&gt;"",T105&gt;0,ISNUMBER(T105)),SUM(T105,$AR$8)/$AR$2*100,"")</f>
        <v/>
      </c>
      <c r="AS105" s="24" t="str">
        <f>IF(AND(A105&lt;&gt;"",X105&lt;&gt;""),SUM(X105,$AS$8)/$AS$2*100,"")</f>
        <v/>
      </c>
      <c r="AT105" s="89">
        <f>IF(AND(A105&lt;&gt;"",OR(ISNUMBER(W105),ISNUMBER(X105))),SUM(W105:X105,$AT$8)/$AT$2*100,"")</f>
        <v>101</v>
      </c>
      <c r="AU105" s="24">
        <f>AA105</f>
        <v>97.377049180327873</v>
      </c>
      <c r="AV105" s="24"/>
      <c r="AW105" s="27">
        <f>IF(A105&lt;&gt;"",AE105-AA105,"")</f>
        <v>3.622950819672127</v>
      </c>
      <c r="AY105" s="27" t="b">
        <f>S105&gt;R105</f>
        <v>0</v>
      </c>
      <c r="BA105" s="27" t="e">
        <f>AND(AA105&gt;$BA$3,(W105+$W$8)/$W$2&lt;$BB$3,(X105+$X$8)/$X$2&lt;$BB$3)</f>
        <v>#VALUE!</v>
      </c>
      <c r="BB105" s="27" t="e">
        <f>AND(AA105&lt;$BA$3,AND(W105/$W$2&gt;$BB$3,X105/$X$2&gt;$BB$3))</f>
        <v>#VALUE!</v>
      </c>
      <c r="BC105" s="27" t="e">
        <f>AND(AA105&lt;$BA$3,OR(W105/$W$2&gt;$BB$3,X105/$X$2&gt;$BB$3))</f>
        <v>#VALUE!</v>
      </c>
      <c r="BE105" s="32" t="s">
        <v>84</v>
      </c>
    </row>
    <row r="106" spans="1:57" s="27" customFormat="1" ht="12.75" customHeight="1" x14ac:dyDescent="0.2">
      <c r="A106" s="10">
        <v>178862</v>
      </c>
      <c r="B106" s="2">
        <v>12</v>
      </c>
      <c r="C106" s="10">
        <v>4</v>
      </c>
      <c r="D106" s="10">
        <v>19</v>
      </c>
      <c r="E106" s="10"/>
      <c r="F106" s="10"/>
      <c r="G106" s="10"/>
      <c r="H106" s="10"/>
      <c r="I106" s="10"/>
      <c r="J106" s="2">
        <v>29</v>
      </c>
      <c r="K106" s="10">
        <v>6</v>
      </c>
      <c r="L106" s="10">
        <v>25</v>
      </c>
      <c r="M106" s="10"/>
      <c r="N106" s="93"/>
      <c r="O106" s="13"/>
      <c r="P106" s="10">
        <v>40</v>
      </c>
      <c r="Q106" s="13"/>
      <c r="R106" s="2"/>
      <c r="S106" s="10"/>
      <c r="T106" s="13"/>
      <c r="U106" s="1">
        <f t="array" ref="U106">IF(AND(A106&lt;&gt;"",OR(ISNUMBER(B106:I106))),SUM(B106:I106),"")</f>
        <v>35</v>
      </c>
      <c r="V106" s="10">
        <f t="array" ref="V106">IF(AND(A106&lt;&gt;"",OR(ISNUMBER(J106:O106))),SUM(J106:O106),"")</f>
        <v>60</v>
      </c>
      <c r="W106" s="10">
        <f t="array" ref="W106">IF(AND(A106&lt;&gt;"",OR(ISNUMBER(P106),ISNUMBER(Q106))),SUM(MAX(P106:Q106),Q106),"")</f>
        <v>40</v>
      </c>
      <c r="X106" s="10" t="str">
        <f t="array" ref="X106">IF(AND(A106&lt;&gt;"",OR(ISNUMBER(S106),ISNUMBER(T106))),SUM(S106,T106),"")</f>
        <v/>
      </c>
      <c r="Y106" s="13">
        <v>1</v>
      </c>
      <c r="Z106" s="13">
        <f>IF(A106&lt;&gt;"",SUM(U106:Y106),"")</f>
        <v>136</v>
      </c>
      <c r="AA106" s="27">
        <f>IF(A106&lt;&gt;"",(Z106+Normalize_To_Add)/(Point_Total_So_Far)*100,"")</f>
        <v>44.590163934426229</v>
      </c>
      <c r="AB106" s="10">
        <f>IF(A106&lt;&gt;"",RANK(AA106,All_Student_XC),"")</f>
        <v>496</v>
      </c>
      <c r="AC106" s="32" t="str">
        <f>IF(A106&lt;&gt;"",CHOOSE(10-MIN(9,TRUNC((AA106+0.5)/10)),"A","B","C","D","F","F","F","F","F","F"),"")</f>
        <v>F</v>
      </c>
      <c r="AD106" s="31" t="str">
        <f>IF(A106&lt;&gt;"",IF(OR(AA106+0.5&gt;=93,AA106+0.5&lt;60),"",IF(MOD(AA106+0.5,10)&gt;=7,"+",IF(MOD(AA106+0.5,10)&lt;3,"-",""))),"")</f>
        <v/>
      </c>
      <c r="AE106" s="32">
        <f>IF(A106&lt;&gt;"",SUM(W106:X106,$W$8:$X$8)/SUM($W$2:$X$2)*100,"")</f>
        <v>40</v>
      </c>
      <c r="AF106" s="32" t="str">
        <f>IF(A106&lt;&gt;"",CHOOSE(10-MIN(9,TRUNC((AE106+0.5)/10)),"A","B","C","D","F","F","F","F","F","F"),"")</f>
        <v>F</v>
      </c>
      <c r="AG106" s="32" t="str">
        <f>IF(A106&lt;&gt;"",IF(OR(AE106+0.5&gt;=93,AE106+0.5&lt;60),"",IF(MOD(AE106+0.5,10)&gt;=7,"+",IF(MOD(AE106+0.5,10)&lt;3,"-",""))),"")</f>
        <v/>
      </c>
      <c r="AH106" s="36">
        <f>IF(A106&lt;&gt;"",MIN(MAX(AA106,AE106),AA106+$AH$8,AE106+$AH$8),"")</f>
        <v>44.590163934426229</v>
      </c>
      <c r="AI106" s="32" t="str">
        <f>IF(A106&lt;&gt;"",CHOOSE(10-MIN(9,TRUNC((AH106+0.5)/10)),"A","B","C","D","F","F","F","F","F","F"),"")</f>
        <v>F</v>
      </c>
      <c r="AJ106" s="32" t="str">
        <f>IF(A106&lt;&gt;"",IF(OR(AH106+0.5&gt;=93,AH106+0.5&lt;60),"",IF(MOD(AH106+0.5,10)&gt;=7,"+",IF(MOD(AH106+0.5,10)&lt;3,"-",""))),"")</f>
        <v/>
      </c>
      <c r="AK106" s="71" t="b">
        <f>IF(A106&lt;&gt;"",OR(AI106&lt;&gt;AC106,AJ106&lt;&gt;AD106),"")</f>
        <v>0</v>
      </c>
      <c r="AL106" s="86">
        <f>IF(AND(A106&lt;&gt;"",U106&lt;&gt;""),SUM(U106,$AL$8)/$AL$2*100,"")</f>
        <v>46.666666666666664</v>
      </c>
      <c r="AM106" s="71">
        <f>IF(AND(A106&lt;&gt;"",V106&lt;&gt;""),SUM(V106,$AM$8)/$AM$2*100,"")</f>
        <v>46.153846153846153</v>
      </c>
      <c r="AN106" s="71">
        <f>IF(AND(A106&lt;&gt;"",ISNUMBER(P106),P106&gt;=0),SUM(P106,$AN$8)/$AN$2*100,"")</f>
        <v>40</v>
      </c>
      <c r="AO106" s="71" t="str">
        <f>IF(AND(A106&lt;&gt;"",ISNUMBER(Q106),Q106&gt;=0),SUM(Q106,$AO$8)/$AO$2*100,"")</f>
        <v/>
      </c>
      <c r="AP106" s="24" t="str">
        <f>IF(AND(A106&lt;&gt;"",R106&lt;&gt;""),SUM(R106,$AP$8)/$AP$2*100,"")</f>
        <v/>
      </c>
      <c r="AQ106" s="24">
        <f>IF(AND(A106&lt;&gt;"",ISNUMBER(W106),W106&gt;=0),SUM(W106,$AQ$8)/$AQ$2*100,"")</f>
        <v>40</v>
      </c>
      <c r="AR106" s="24" t="str">
        <f>IF(AND(A106&lt;&gt;"",T106&gt;0,ISNUMBER(T106)),SUM(T106,$AR$8)/$AR$2*100,"")</f>
        <v/>
      </c>
      <c r="AS106" s="24" t="str">
        <f>IF(AND(A106&lt;&gt;"",X106&lt;&gt;""),SUM(X106,$AS$8)/$AS$2*100,"")</f>
        <v/>
      </c>
      <c r="AT106" s="89">
        <f>IF(AND(A106&lt;&gt;"",OR(ISNUMBER(W106),ISNUMBER(X106))),SUM(W106:X106,$AT$8)/$AT$2*100,"")</f>
        <v>40</v>
      </c>
      <c r="AU106" s="24">
        <f>AA106</f>
        <v>44.590163934426229</v>
      </c>
      <c r="AV106" s="71"/>
      <c r="AW106" s="27">
        <f>IF(A106&lt;&gt;"",AE106-AA106,"")</f>
        <v>-4.5901639344262293</v>
      </c>
      <c r="AY106" s="27" t="b">
        <f>S106&gt;R106</f>
        <v>0</v>
      </c>
      <c r="BA106" s="27" t="e">
        <f>AND(AA106&gt;$BA$3,(W106+$W$8)/$W$2&lt;$BB$3,(X106+$X$8)/$X$2&lt;$BB$3)</f>
        <v>#VALUE!</v>
      </c>
      <c r="BB106" s="27" t="e">
        <f>AND(AA106&lt;$BA$3,AND(W106/$W$2&gt;$BB$3,X106/$X$2&gt;$BB$3))</f>
        <v>#VALUE!</v>
      </c>
      <c r="BC106" s="27" t="e">
        <f>AND(AA106&lt;$BA$3,OR(W106/$W$2&gt;$BB$3,X106/$X$2&gt;$BB$3))</f>
        <v>#VALUE!</v>
      </c>
      <c r="BE106" s="32">
        <v>32</v>
      </c>
    </row>
    <row r="107" spans="1:57" s="27" customFormat="1" ht="12.75" customHeight="1" x14ac:dyDescent="0.2">
      <c r="A107" s="10">
        <v>180503</v>
      </c>
      <c r="B107" s="2">
        <v>22</v>
      </c>
      <c r="C107" s="10">
        <v>24</v>
      </c>
      <c r="D107" s="10">
        <v>22</v>
      </c>
      <c r="E107" s="10"/>
      <c r="F107" s="10"/>
      <c r="G107" s="10"/>
      <c r="H107" s="10"/>
      <c r="I107" s="10"/>
      <c r="J107" s="2">
        <v>27</v>
      </c>
      <c r="K107" s="10">
        <v>43</v>
      </c>
      <c r="L107" s="10">
        <v>49</v>
      </c>
      <c r="M107" s="10"/>
      <c r="N107" s="93"/>
      <c r="O107" s="13"/>
      <c r="P107" s="10">
        <v>100</v>
      </c>
      <c r="Q107" s="10"/>
      <c r="R107" s="2"/>
      <c r="S107" s="10"/>
      <c r="T107" s="13"/>
      <c r="U107" s="1">
        <f t="array" ref="U107">IF(AND(A107&lt;&gt;"",OR(ISNUMBER(B107:I107))),SUM(B107:I107),"")</f>
        <v>68</v>
      </c>
      <c r="V107" s="10">
        <f t="array" ref="V107">IF(AND(A107&lt;&gt;"",OR(ISNUMBER(J107:O107))),SUM(J107:O107),"")</f>
        <v>119</v>
      </c>
      <c r="W107" s="10">
        <f t="array" ref="W107">IF(AND(A107&lt;&gt;"",OR(ISNUMBER(P107),ISNUMBER(Q107))),SUM(MAX(P107:Q107),Q107),"")</f>
        <v>100</v>
      </c>
      <c r="X107" s="10" t="str">
        <f t="array" ref="X107">IF(AND(A107&lt;&gt;"",OR(ISNUMBER(S107),ISNUMBER(T107))),SUM(S107,T107),"")</f>
        <v/>
      </c>
      <c r="Y107" s="13">
        <v>1</v>
      </c>
      <c r="Z107" s="13">
        <f>IF(A107&lt;&gt;"",SUM(U107:Y107),"")</f>
        <v>288</v>
      </c>
      <c r="AA107" s="27">
        <f>IF(A107&lt;&gt;"",(Z107+Normalize_To_Add)/(Point_Total_So_Far)*100,"")</f>
        <v>94.426229508196727</v>
      </c>
      <c r="AB107" s="10">
        <f>IF(A107&lt;&gt;"",RANK(AA107,All_Student_XC),"")</f>
        <v>279</v>
      </c>
      <c r="AC107" s="32" t="str">
        <f>IF(A107&lt;&gt;"",CHOOSE(10-MIN(9,TRUNC((AA107+0.5)/10)),"A","B","C","D","F","F","F","F","F","F"),"")</f>
        <v>A</v>
      </c>
      <c r="AD107" s="31" t="str">
        <f>IF(A107&lt;&gt;"",IF(OR(AA107+0.5&gt;=93,AA107+0.5&lt;60),"",IF(MOD(AA107+0.5,10)&gt;=7,"+",IF(MOD(AA107+0.5,10)&lt;3,"-",""))),"")</f>
        <v/>
      </c>
      <c r="AE107" s="32">
        <f>IF(A107&lt;&gt;"",SUM(W107:X107,$W$8:$X$8)/SUM($W$2:$X$2)*100,"")</f>
        <v>100</v>
      </c>
      <c r="AF107" s="32" t="str">
        <f>IF(A107&lt;&gt;"",CHOOSE(10-MIN(9,TRUNC((AE107+0.5)/10)),"A","B","C","D","F","F","F","F","F","F"),"")</f>
        <v>A</v>
      </c>
      <c r="AG107" s="32" t="str">
        <f>IF(A107&lt;&gt;"",IF(OR(AE107+0.5&gt;=93,AE107+0.5&lt;60),"",IF(MOD(AE107+0.5,10)&gt;=7,"+",IF(MOD(AE107+0.5,10)&lt;3,"-",""))),"")</f>
        <v/>
      </c>
      <c r="AH107" s="36">
        <f>IF(A107&lt;&gt;"",MIN(MAX(AA107,AE107),AA107+$AH$8,AE107+$AH$8),"")</f>
        <v>100</v>
      </c>
      <c r="AI107" s="32" t="str">
        <f>IF(A107&lt;&gt;"",CHOOSE(10-MIN(9,TRUNC((AH107+0.5)/10)),"A","B","C","D","F","F","F","F","F","F"),"")</f>
        <v>A</v>
      </c>
      <c r="AJ107" s="32" t="str">
        <f>IF(A107&lt;&gt;"",IF(OR(AH107+0.5&gt;=93,AH107+0.5&lt;60),"",IF(MOD(AH107+0.5,10)&gt;=7,"+",IF(MOD(AH107+0.5,10)&lt;3,"-",""))),"")</f>
        <v/>
      </c>
      <c r="AK107" s="71" t="b">
        <f>IF(A107&lt;&gt;"",OR(AI107&lt;&gt;AC107,AJ107&lt;&gt;AD107),"")</f>
        <v>0</v>
      </c>
      <c r="AL107" s="86">
        <f>IF(AND(A107&lt;&gt;"",U107&lt;&gt;""),SUM(U107,$AL$8)/$AL$2*100,"")</f>
        <v>90.666666666666657</v>
      </c>
      <c r="AM107" s="71">
        <f>IF(AND(A107&lt;&gt;"",V107&lt;&gt;""),SUM(V107,$AM$8)/$AM$2*100,"")</f>
        <v>91.538461538461533</v>
      </c>
      <c r="AN107" s="71">
        <f>IF(AND(A107&lt;&gt;"",ISNUMBER(P107),P107&gt;=0),SUM(P107,$AN$8)/$AN$2*100,"")</f>
        <v>100</v>
      </c>
      <c r="AO107" s="71" t="str">
        <f>IF(AND(A107&lt;&gt;"",ISNUMBER(Q107),Q107&gt;=0),SUM(Q107,$AO$8)/$AO$2*100,"")</f>
        <v/>
      </c>
      <c r="AP107" s="24" t="str">
        <f>IF(AND(A107&lt;&gt;"",R107&lt;&gt;""),SUM(R107,$AP$8)/$AP$2*100,"")</f>
        <v/>
      </c>
      <c r="AQ107" s="24">
        <f>IF(AND(A107&lt;&gt;"",ISNUMBER(W107),W107&gt;=0),SUM(W107,$AQ$8)/$AQ$2*100,"")</f>
        <v>100</v>
      </c>
      <c r="AR107" s="24" t="str">
        <f>IF(AND(A107&lt;&gt;"",T107&gt;0,ISNUMBER(T107)),SUM(T107,$AR$8)/$AR$2*100,"")</f>
        <v/>
      </c>
      <c r="AS107" s="24" t="str">
        <f>IF(AND(A107&lt;&gt;"",X107&lt;&gt;""),SUM(X107,$AS$8)/$AS$2*100,"")</f>
        <v/>
      </c>
      <c r="AT107" s="89">
        <f>IF(AND(A107&lt;&gt;"",OR(ISNUMBER(W107),ISNUMBER(X107))),SUM(W107:X107,$AT$8)/$AT$2*100,"")</f>
        <v>100</v>
      </c>
      <c r="AU107" s="24">
        <f>AA107</f>
        <v>94.426229508196727</v>
      </c>
      <c r="AV107" s="71"/>
      <c r="AW107" s="27">
        <f>IF(A107&lt;&gt;"",AE107-AA107,"")</f>
        <v>5.5737704918032733</v>
      </c>
      <c r="AY107" s="27" t="b">
        <f>S107&gt;R107</f>
        <v>0</v>
      </c>
      <c r="BA107" s="27" t="e">
        <f>AND(AA107&gt;$BA$3,(W107+$W$8)/$W$2&lt;$BB$3,(X107+$X$8)/$X$2&lt;$BB$3)</f>
        <v>#VALUE!</v>
      </c>
      <c r="BB107" s="27" t="e">
        <f>AND(AA107&lt;$BA$3,AND(W107/$W$2&gt;$BB$3,X107/$X$2&gt;$BB$3))</f>
        <v>#VALUE!</v>
      </c>
      <c r="BC107" s="27" t="e">
        <f>AND(AA107&lt;$BA$3,OR(W107/$W$2&gt;$BB$3,X107/$X$2&gt;$BB$3))</f>
        <v>#VALUE!</v>
      </c>
      <c r="BE107" s="32">
        <v>32</v>
      </c>
    </row>
    <row r="108" spans="1:57" s="27" customFormat="1" ht="12.75" customHeight="1" x14ac:dyDescent="0.2">
      <c r="A108" s="10">
        <v>184041</v>
      </c>
      <c r="B108" s="2">
        <v>21</v>
      </c>
      <c r="C108" s="10">
        <v>23</v>
      </c>
      <c r="D108" s="10">
        <v>25</v>
      </c>
      <c r="E108" s="10"/>
      <c r="F108" s="10"/>
      <c r="G108" s="10"/>
      <c r="H108" s="10"/>
      <c r="I108" s="10"/>
      <c r="J108" s="2">
        <v>30</v>
      </c>
      <c r="K108" s="10">
        <v>52</v>
      </c>
      <c r="L108" s="10">
        <v>51</v>
      </c>
      <c r="M108" s="10"/>
      <c r="N108" s="10"/>
      <c r="O108" s="12"/>
      <c r="P108" s="7">
        <v>101</v>
      </c>
      <c r="Q108" s="7"/>
      <c r="R108" s="2"/>
      <c r="S108" s="10"/>
      <c r="T108" s="13"/>
      <c r="U108" s="77">
        <f t="array" ref="U108">IF(AND(A108&lt;&gt;"",OR(ISNUMBER(B108:I108))),SUM(B108:I108),"")</f>
        <v>69</v>
      </c>
      <c r="V108" s="10">
        <f t="array" ref="V108">IF(AND(A108&lt;&gt;"",OR(ISNUMBER(J108:O108))),SUM(J108:O108),"")</f>
        <v>133</v>
      </c>
      <c r="W108" s="10">
        <f t="array" ref="W108">IF(AND(A108&lt;&gt;"",OR(ISNUMBER(P108),ISNUMBER(Q108))),SUM(MAX(P108:Q108),Q108),"")</f>
        <v>101</v>
      </c>
      <c r="X108" s="10" t="str">
        <f t="array" ref="X108">IF(AND(A108&lt;&gt;"",OR(ISNUMBER(S108),ISNUMBER(T108))),SUM(S108,T108),"")</f>
        <v/>
      </c>
      <c r="Y108" s="13">
        <v>1</v>
      </c>
      <c r="Z108" s="13">
        <f>IF(A108&lt;&gt;"",SUM(U108:Y108),"")</f>
        <v>304</v>
      </c>
      <c r="AA108" s="27">
        <f>IF(A108&lt;&gt;"",(Z108+Normalize_To_Add)/(Point_Total_So_Far)*100,"")</f>
        <v>99.672131147540995</v>
      </c>
      <c r="AB108" s="10">
        <f>IF(A108&lt;&gt;"",RANK(AA108,All_Student_XC),"")</f>
        <v>124</v>
      </c>
      <c r="AC108" s="32" t="str">
        <f>IF(A108&lt;&gt;"",CHOOSE(10-MIN(9,TRUNC((AA108+0.5)/10)),"A","B","C","D","F","F","F","F","F","F"),"")</f>
        <v>A</v>
      </c>
      <c r="AD108" s="32" t="str">
        <f>IF(A108&lt;&gt;"",IF(OR(AA108+0.5&gt;=93,AA108+0.5&lt;60),"",IF(MOD(AA108+0.5,10)&gt;=7,"+",IF(MOD(AA108+0.5,10)&lt;3,"-",""))),"")</f>
        <v/>
      </c>
      <c r="AE108" s="32">
        <f>IF(A108&lt;&gt;"",SUM(W108:X108,$W$8:$X$8)/SUM($W$2:$X$2)*100,"")</f>
        <v>101</v>
      </c>
      <c r="AF108" s="32" t="str">
        <f>IF(A108&lt;&gt;"",CHOOSE(10-MIN(9,TRUNC((AE108+0.5)/10)),"A","B","C","D","F","F","F","F","F","F"),"")</f>
        <v>A</v>
      </c>
      <c r="AG108" s="32" t="str">
        <f>IF(A108&lt;&gt;"",IF(OR(AE108+0.5&gt;=93,AE108+0.5&lt;60),"",IF(MOD(AE108+0.5,10)&gt;=7,"+",IF(MOD(AE108+0.5,10)&lt;3,"-",""))),"")</f>
        <v/>
      </c>
      <c r="AH108" s="36">
        <f>IF(A108&lt;&gt;"",MIN(MAX(AA108,AE108),AA108+$AH$8,AE108+$AH$8),"")</f>
        <v>101</v>
      </c>
      <c r="AI108" s="32" t="str">
        <f>IF(A108&lt;&gt;"",CHOOSE(10-MIN(9,TRUNC((AH108+0.5)/10)),"A","B","C","D","F","F","F","F","F","F"),"")</f>
        <v>A</v>
      </c>
      <c r="AJ108" s="32" t="str">
        <f>IF(A108&lt;&gt;"",IF(OR(AH108+0.5&gt;=93,AH108+0.5&lt;60),"",IF(MOD(AH108+0.5,10)&gt;=7,"+",IF(MOD(AH108+0.5,10)&lt;3,"-",""))),"")</f>
        <v/>
      </c>
      <c r="AK108" s="32" t="b">
        <f>IF(A108&lt;&gt;"",OR(AI108&lt;&gt;AC108,AJ108&lt;&gt;AD108),"")</f>
        <v>0</v>
      </c>
      <c r="AL108" s="84">
        <f>IF(AND(A108&lt;&gt;"",U108&lt;&gt;""),SUM(U108,$AL$8)/$AL$2*100,"")</f>
        <v>92</v>
      </c>
      <c r="AM108" s="24">
        <f>IF(AND(A108&lt;&gt;"",V108&lt;&gt;""),SUM(V108,$AM$8)/$AM$2*100,"")</f>
        <v>102.30769230769229</v>
      </c>
      <c r="AN108" s="24">
        <f>IF(AND(A108&lt;&gt;"",ISNUMBER(P108),P108&gt;=0),SUM(P108,$AN$8)/$AN$2*100,"")</f>
        <v>101</v>
      </c>
      <c r="AO108" s="24" t="str">
        <f>IF(AND(A108&lt;&gt;"",ISNUMBER(Q108),Q108&gt;=0),SUM(Q108,$AO$8)/$AO$2*100,"")</f>
        <v/>
      </c>
      <c r="AP108" s="24" t="str">
        <f>IF(AND(A108&lt;&gt;"",R108&lt;&gt;""),SUM(R108,$AP$8)/$AP$2*100,"")</f>
        <v/>
      </c>
      <c r="AQ108" s="24">
        <f>IF(AND(A108&lt;&gt;"",ISNUMBER(W108),W108&gt;=0),SUM(W108,$AQ$8)/$AQ$2*100,"")</f>
        <v>101</v>
      </c>
      <c r="AR108" s="24" t="str">
        <f>IF(AND(A108&lt;&gt;"",T108&gt;0,ISNUMBER(T108)),SUM(T108,$AR$8)/$AR$2*100,"")</f>
        <v/>
      </c>
      <c r="AS108" s="24" t="str">
        <f>IF(AND(A108&lt;&gt;"",X108&lt;&gt;""),SUM(X108,$AS$8)/$AS$2*100,"")</f>
        <v/>
      </c>
      <c r="AT108" s="89">
        <f>IF(AND(A108&lt;&gt;"",OR(ISNUMBER(W108),ISNUMBER(X108))),SUM(W108:X108,$AT$8)/$AT$2*100,"")</f>
        <v>101</v>
      </c>
      <c r="AU108" s="24">
        <f>AA108</f>
        <v>99.672131147540995</v>
      </c>
      <c r="AV108" s="24"/>
      <c r="AW108" s="27">
        <f>IF(A108&lt;&gt;"",AE108-AA108,"")</f>
        <v>1.3278688524590052</v>
      </c>
      <c r="AY108" s="27" t="b">
        <f>S108&gt;R108</f>
        <v>0</v>
      </c>
      <c r="BA108" s="27" t="e">
        <f>AND(AA108&gt;$BA$3,(W108+$W$8)/$W$2&lt;$BB$3,(X108+$X$8)/$X$2&lt;$BB$3)</f>
        <v>#VALUE!</v>
      </c>
      <c r="BB108" s="27" t="e">
        <f>AND(AA108&lt;$BA$3,AND(W108/$W$2&gt;$BB$3,X108/$X$2&gt;$BB$3))</f>
        <v>#VALUE!</v>
      </c>
      <c r="BC108" s="27" t="e">
        <f>AND(AA108&lt;$BA$3,OR(W108/$W$2&gt;$BB$3,X108/$X$2&gt;$BB$3))</f>
        <v>#VALUE!</v>
      </c>
      <c r="BE108" s="32" t="s">
        <v>84</v>
      </c>
    </row>
    <row r="109" spans="1:57" s="27" customFormat="1" ht="12.75" customHeight="1" x14ac:dyDescent="0.2">
      <c r="A109" s="10">
        <v>184083</v>
      </c>
      <c r="B109" s="2">
        <v>24</v>
      </c>
      <c r="C109" s="10">
        <v>20</v>
      </c>
      <c r="D109" s="10">
        <v>21</v>
      </c>
      <c r="E109" s="10"/>
      <c r="F109" s="10"/>
      <c r="G109" s="10"/>
      <c r="H109" s="10"/>
      <c r="I109" s="10"/>
      <c r="J109" s="2">
        <v>29</v>
      </c>
      <c r="K109" s="10">
        <v>44</v>
      </c>
      <c r="L109" s="10">
        <v>49</v>
      </c>
      <c r="M109" s="10"/>
      <c r="N109" s="93"/>
      <c r="O109" s="12"/>
      <c r="P109" s="10">
        <v>101</v>
      </c>
      <c r="Q109" s="41"/>
      <c r="R109" s="2"/>
      <c r="S109" s="10"/>
      <c r="T109" s="13"/>
      <c r="U109" s="1">
        <f t="array" ref="U109">IF(AND(A109&lt;&gt;"",OR(ISNUMBER(B109:I109))),SUM(B109:I109),"")</f>
        <v>65</v>
      </c>
      <c r="V109" s="10">
        <f t="array" ref="V109">IF(AND(A109&lt;&gt;"",OR(ISNUMBER(J109:O109))),SUM(J109:O109),"")</f>
        <v>122</v>
      </c>
      <c r="W109" s="10">
        <f t="array" ref="W109">IF(AND(A109&lt;&gt;"",OR(ISNUMBER(P109),ISNUMBER(Q109))),SUM(MAX(P109:Q109),Q109),"")</f>
        <v>101</v>
      </c>
      <c r="X109" s="10" t="str">
        <f t="array" ref="X109">IF(AND(A109&lt;&gt;"",OR(ISNUMBER(S109),ISNUMBER(T109))),SUM(S109,T109),"")</f>
        <v/>
      </c>
      <c r="Y109" s="13">
        <v>1</v>
      </c>
      <c r="Z109" s="13">
        <f>IF(A109&lt;&gt;"",SUM(U109:Y109),"")</f>
        <v>289</v>
      </c>
      <c r="AA109" s="27">
        <f>IF(A109&lt;&gt;"",(Z109+Normalize_To_Add)/(Point_Total_So_Far)*100,"")</f>
        <v>94.754098360655732</v>
      </c>
      <c r="AB109" s="10">
        <f>IF(A109&lt;&gt;"",RANK(AA109,All_Student_XC),"")</f>
        <v>273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/>
      </c>
      <c r="AE109" s="32">
        <f>IF(A109&lt;&gt;"",SUM(W109:X109,$W$8:$X$8)/SUM($W$2:$X$2)*100,"")</f>
        <v>101</v>
      </c>
      <c r="AF109" s="44" t="str">
        <f>IF(A109&lt;&gt;"",CHOOSE(10-MIN(9,TRUNC((AE109+0.5)/10)),"A","B","C","D","F","F","F","F","F","F"),"")</f>
        <v>A</v>
      </c>
      <c r="AG109" s="44" t="str">
        <f>IF(A109&lt;&gt;"",IF(OR(AE109+0.5&gt;=93,AE109+0.5&lt;60),"",IF(MOD(AE109+0.5,10)&gt;=7,"+",IF(MOD(AE109+0.5,10)&lt;3,"-",""))),"")</f>
        <v/>
      </c>
      <c r="AH109" s="36">
        <f>IF(A109&lt;&gt;"",MIN(MAX(AA109,AE109),AA109+$AH$8,AE109+$AH$8),"")</f>
        <v>101</v>
      </c>
      <c r="AI109" s="32" t="str">
        <f>IF(A109&lt;&gt;"",CHOOSE(10-MIN(9,TRUNC((AH109+0.5)/10)),"A","B","C","D","F","F","F","F","F","F"),"")</f>
        <v>A</v>
      </c>
      <c r="AJ109" s="32" t="str">
        <f>IF(A109&lt;&gt;"",IF(OR(AH109+0.5&gt;=93,AH109+0.5&lt;60),"",IF(MOD(AH109+0.5,10)&gt;=7,"+",IF(MOD(AH109+0.5,10)&lt;3,"-",""))),"")</f>
        <v/>
      </c>
      <c r="AK109" s="32" t="b">
        <f>IF(A109&lt;&gt;"",OR(AI109&lt;&gt;AC109,AJ109&lt;&gt;AD109),"")</f>
        <v>0</v>
      </c>
      <c r="AL109" s="84">
        <f>IF(AND(A109&lt;&gt;"",U109&lt;&gt;""),SUM(U109,$AL$8)/$AL$2*100,"")</f>
        <v>86.666666666666671</v>
      </c>
      <c r="AM109" s="24">
        <f>IF(AND(A109&lt;&gt;"",V109&lt;&gt;""),SUM(V109,$AM$8)/$AM$2*100,"")</f>
        <v>93.84615384615384</v>
      </c>
      <c r="AN109" s="24">
        <f>IF(AND(A109&lt;&gt;"",ISNUMBER(P109),P109&gt;=0),SUM(P109,$AN$8)/$AN$2*100,"")</f>
        <v>101</v>
      </c>
      <c r="AO109" s="24" t="str">
        <f>IF(AND(A109&lt;&gt;"",ISNUMBER(Q109),Q109&gt;=0),SUM(Q109,$AO$8)/$AO$2*100,"")</f>
        <v/>
      </c>
      <c r="AP109" s="24" t="str">
        <f>IF(AND(A109&lt;&gt;"",R109&lt;&gt;""),SUM(R109,$AP$8)/$AP$2*100,"")</f>
        <v/>
      </c>
      <c r="AQ109" s="24">
        <f>IF(AND(A109&lt;&gt;"",ISNUMBER(W109),W109&gt;=0),SUM(W109,$AQ$8)/$AQ$2*100,"")</f>
        <v>101</v>
      </c>
      <c r="AR109" s="24" t="str">
        <f>IF(AND(A109&lt;&gt;"",T109&gt;0,ISNUMBER(T109)),SUM(T109,$AR$8)/$AR$2*100,"")</f>
        <v/>
      </c>
      <c r="AS109" s="24" t="str">
        <f>IF(AND(A109&lt;&gt;"",X109&lt;&gt;""),SUM(X109,$AS$8)/$AS$2*100,"")</f>
        <v/>
      </c>
      <c r="AT109" s="89">
        <f>IF(AND(A109&lt;&gt;"",OR(ISNUMBER(W109),ISNUMBER(X109))),SUM(W109:X109,$AT$8)/$AT$2*100,"")</f>
        <v>101</v>
      </c>
      <c r="AU109" s="24">
        <f>AA109</f>
        <v>94.754098360655732</v>
      </c>
      <c r="AV109" s="24"/>
      <c r="AW109" s="27">
        <f>IF(A109&lt;&gt;"",AE109-AA109,"")</f>
        <v>6.2459016393442681</v>
      </c>
      <c r="AY109" s="27" t="b">
        <f>S109&gt;R109</f>
        <v>0</v>
      </c>
      <c r="BA109" s="27" t="e">
        <f>AND(AA109&gt;$BA$3,(W109+$W$8)/$W$2&lt;$BB$3,(X109+$X$8)/$X$2&lt;$BB$3)</f>
        <v>#VALUE!</v>
      </c>
      <c r="BB109" s="27" t="e">
        <f>AND(AA109&lt;$BA$3,AND(W109/$W$2&gt;$BB$3,X109/$X$2&gt;$BB$3))</f>
        <v>#VALUE!</v>
      </c>
      <c r="BC109" s="27" t="e">
        <f>AND(AA109&lt;$BA$3,OR(W109/$W$2&gt;$BB$3,X109/$X$2&gt;$BB$3))</f>
        <v>#VALUE!</v>
      </c>
      <c r="BE109" s="32" t="s">
        <v>85</v>
      </c>
    </row>
    <row r="110" spans="1:57" s="27" customFormat="1" ht="12.75" customHeight="1" x14ac:dyDescent="0.2">
      <c r="A110" s="10">
        <v>184125</v>
      </c>
      <c r="B110" s="2">
        <v>5</v>
      </c>
      <c r="C110" s="10">
        <v>20</v>
      </c>
      <c r="D110" s="10">
        <v>16</v>
      </c>
      <c r="E110" s="10"/>
      <c r="F110" s="10"/>
      <c r="G110" s="10"/>
      <c r="H110" s="10"/>
      <c r="I110" s="10"/>
      <c r="J110" s="2">
        <v>30</v>
      </c>
      <c r="K110" s="10">
        <v>24</v>
      </c>
      <c r="L110" s="10">
        <v>18</v>
      </c>
      <c r="M110" s="10"/>
      <c r="N110" s="93"/>
      <c r="O110" s="13"/>
      <c r="P110" s="10">
        <v>60</v>
      </c>
      <c r="Q110" s="10"/>
      <c r="R110" s="2"/>
      <c r="S110" s="10"/>
      <c r="T110" s="13"/>
      <c r="U110" s="1">
        <f t="array" ref="U110">IF(AND(A110&lt;&gt;"",OR(ISNUMBER(B110:I110))),SUM(B110:I110),"")</f>
        <v>41</v>
      </c>
      <c r="V110" s="10">
        <f t="array" ref="V110">IF(AND(A110&lt;&gt;"",OR(ISNUMBER(J110:O110))),SUM(J110:O110),"")</f>
        <v>72</v>
      </c>
      <c r="W110" s="10">
        <f t="array" ref="W110">IF(AND(A110&lt;&gt;"",OR(ISNUMBER(P110),ISNUMBER(Q110))),SUM(MAX(P110:Q110),Q110),"")</f>
        <v>60</v>
      </c>
      <c r="X110" s="10" t="str">
        <f t="array" ref="X110">IF(AND(A110&lt;&gt;"",OR(ISNUMBER(S110),ISNUMBER(T110))),SUM(S110,T110),"")</f>
        <v/>
      </c>
      <c r="Y110" s="13">
        <v>1</v>
      </c>
      <c r="Z110" s="13">
        <f>IF(A110&lt;&gt;"",SUM(U110:Y110),"")</f>
        <v>174</v>
      </c>
      <c r="AA110" s="27">
        <f>IF(A110&lt;&gt;"",(Z110+Normalize_To_Add)/(Point_Total_So_Far)*100,"")</f>
        <v>57.049180327868854</v>
      </c>
      <c r="AB110" s="10">
        <f>IF(A110&lt;&gt;"",RANK(AA110,All_Student_XC),"")</f>
        <v>484</v>
      </c>
      <c r="AC110" s="32" t="str">
        <f>IF(A110&lt;&gt;"",CHOOSE(10-MIN(9,TRUNC((AA110+0.5)/10)),"A","B","C","D","F","F","F","F","F","F"),"")</f>
        <v>F</v>
      </c>
      <c r="AD110" s="31" t="str">
        <f>IF(A110&lt;&gt;"",IF(OR(AA110+0.5&gt;=93,AA110+0.5&lt;60),"",IF(MOD(AA110+0.5,10)&gt;=7,"+",IF(MOD(AA110+0.5,10)&lt;3,"-",""))),"")</f>
        <v/>
      </c>
      <c r="AE110" s="32">
        <f>IF(A110&lt;&gt;"",SUM(W110:X110,$W$8:$X$8)/SUM($W$2:$X$2)*100,"")</f>
        <v>60</v>
      </c>
      <c r="AF110" s="32" t="str">
        <f>IF(A110&lt;&gt;"",CHOOSE(10-MIN(9,TRUNC((AE110+0.5)/10)),"A","B","C","D","F","F","F","F","F","F"),"")</f>
        <v>D</v>
      </c>
      <c r="AG110" s="32" t="str">
        <f>IF(A110&lt;&gt;"",IF(OR(AE110+0.5&gt;=93,AE110+0.5&lt;60),"",IF(MOD(AE110+0.5,10)&gt;=7,"+",IF(MOD(AE110+0.5,10)&lt;3,"-",""))),"")</f>
        <v>-</v>
      </c>
      <c r="AH110" s="36">
        <f>IF(A110&lt;&gt;"",MIN(MAX(AA110,AE110),AA110+$AH$8,AE110+$AH$8),"")</f>
        <v>60</v>
      </c>
      <c r="AI110" s="32" t="str">
        <f>IF(A110&lt;&gt;"",CHOOSE(10-MIN(9,TRUNC((AH110+0.5)/10)),"A","B","C","D","F","F","F","F","F","F"),"")</f>
        <v>D</v>
      </c>
      <c r="AJ110" s="32" t="str">
        <f>IF(A110&lt;&gt;"",IF(OR(AH110+0.5&gt;=93,AH110+0.5&lt;60),"",IF(MOD(AH110+0.5,10)&gt;=7,"+",IF(MOD(AH110+0.5,10)&lt;3,"-",""))),"")</f>
        <v>-</v>
      </c>
      <c r="AK110" s="71" t="b">
        <f>IF(A110&lt;&gt;"",OR(AI110&lt;&gt;AC110,AJ110&lt;&gt;AD110),"")</f>
        <v>1</v>
      </c>
      <c r="AL110" s="86">
        <f>IF(AND(A110&lt;&gt;"",U110&lt;&gt;""),SUM(U110,$AL$8)/$AL$2*100,"")</f>
        <v>54.666666666666664</v>
      </c>
      <c r="AM110" s="71">
        <f>IF(AND(A110&lt;&gt;"",V110&lt;&gt;""),SUM(V110,$AM$8)/$AM$2*100,"")</f>
        <v>55.384615384615387</v>
      </c>
      <c r="AN110" s="71">
        <f>IF(AND(A110&lt;&gt;"",ISNUMBER(P110),P110&gt;=0),SUM(P110,$AN$8)/$AN$2*100,"")</f>
        <v>60</v>
      </c>
      <c r="AO110" s="71" t="str">
        <f>IF(AND(A110&lt;&gt;"",ISNUMBER(Q110),Q110&gt;=0),SUM(Q110,$AO$8)/$AO$2*100,"")</f>
        <v/>
      </c>
      <c r="AP110" s="24" t="str">
        <f>IF(AND(A110&lt;&gt;"",R110&lt;&gt;""),SUM(R110,$AP$8)/$AP$2*100,"")</f>
        <v/>
      </c>
      <c r="AQ110" s="24">
        <f>IF(AND(A110&lt;&gt;"",ISNUMBER(W110),W110&gt;=0),SUM(W110,$AQ$8)/$AQ$2*100,"")</f>
        <v>60</v>
      </c>
      <c r="AR110" s="24" t="str">
        <f>IF(AND(A110&lt;&gt;"",T110&gt;0,ISNUMBER(T110)),SUM(T110,$AR$8)/$AR$2*100,"")</f>
        <v/>
      </c>
      <c r="AS110" s="24" t="str">
        <f>IF(AND(A110&lt;&gt;"",X110&lt;&gt;""),SUM(X110,$AS$8)/$AS$2*100,"")</f>
        <v/>
      </c>
      <c r="AT110" s="89">
        <f>IF(AND(A110&lt;&gt;"",OR(ISNUMBER(W110),ISNUMBER(X110))),SUM(W110:X110,$AT$8)/$AT$2*100,"")</f>
        <v>60</v>
      </c>
      <c r="AU110" s="24">
        <f>AA110</f>
        <v>57.049180327868854</v>
      </c>
      <c r="AV110" s="71"/>
      <c r="AW110" s="27">
        <f>IF(A110&lt;&gt;"",AE110-AA110,"")</f>
        <v>2.9508196721311464</v>
      </c>
      <c r="AY110" s="27" t="b">
        <f>S110&gt;R110</f>
        <v>0</v>
      </c>
      <c r="BA110" s="27" t="e">
        <f>AND(AA110&gt;$BA$3,(W110+$W$8)/$W$2&lt;$BB$3,(X110+$X$8)/$X$2&lt;$BB$3)</f>
        <v>#VALUE!</v>
      </c>
      <c r="BB110" s="27" t="e">
        <f>AND(AA110&lt;$BA$3,AND(W110/$W$2&gt;$BB$3,X110/$X$2&gt;$BB$3))</f>
        <v>#VALUE!</v>
      </c>
      <c r="BC110" s="27" t="e">
        <f>AND(AA110&lt;$BA$3,OR(W110/$W$2&gt;$BB$3,X110/$X$2&gt;$BB$3))</f>
        <v>#VALUE!</v>
      </c>
      <c r="BE110" s="32" t="s">
        <v>84</v>
      </c>
    </row>
    <row r="111" spans="1:57" s="27" customFormat="1" ht="12.75" customHeight="1" x14ac:dyDescent="0.2">
      <c r="A111" s="56">
        <v>186396</v>
      </c>
      <c r="B111" s="2">
        <v>17</v>
      </c>
      <c r="C111" s="10">
        <v>21</v>
      </c>
      <c r="D111" s="10">
        <v>19</v>
      </c>
      <c r="E111" s="10"/>
      <c r="F111" s="10"/>
      <c r="G111" s="3"/>
      <c r="H111" s="10"/>
      <c r="I111" s="10"/>
      <c r="J111" s="2">
        <v>32</v>
      </c>
      <c r="K111" s="10">
        <v>9</v>
      </c>
      <c r="L111" s="10">
        <v>49</v>
      </c>
      <c r="M111" s="10"/>
      <c r="N111" s="93"/>
      <c r="O111" s="12"/>
      <c r="P111" s="10">
        <v>101</v>
      </c>
      <c r="Q111" s="41"/>
      <c r="R111" s="2"/>
      <c r="S111" s="10"/>
      <c r="T111" s="13"/>
      <c r="U111" s="1">
        <f t="array" ref="U111">IF(AND(A111&lt;&gt;"",OR(ISNUMBER(B111:I111))),SUM(B111:I111),"")</f>
        <v>57</v>
      </c>
      <c r="V111" s="10">
        <f t="array" ref="V111">IF(AND(A111&lt;&gt;"",OR(ISNUMBER(J111:O111))),SUM(J111:O111),"")</f>
        <v>90</v>
      </c>
      <c r="W111" s="10">
        <f t="array" ref="W111">IF(AND(A111&lt;&gt;"",OR(ISNUMBER(P111),ISNUMBER(Q111))),SUM(MAX(P111:Q111),Q111),"")</f>
        <v>101</v>
      </c>
      <c r="X111" s="10" t="str">
        <f t="array" ref="X111">IF(AND(A111&lt;&gt;"",OR(ISNUMBER(S111),ISNUMBER(T111))),SUM(S111,T111),"")</f>
        <v/>
      </c>
      <c r="Y111" s="13">
        <v>1</v>
      </c>
      <c r="Z111" s="13">
        <f>IF(A111&lt;&gt;"",SUM(U111:Y111),"")</f>
        <v>249</v>
      </c>
      <c r="AA111" s="27">
        <f>IF(A111&lt;&gt;"",(Z111+Normalize_To_Add)/(Point_Total_So_Far)*100,"")</f>
        <v>81.639344262295083</v>
      </c>
      <c r="AB111" s="10">
        <f>IF(A111&lt;&gt;"",RANK(AA111,All_Student_XC),"")</f>
        <v>403</v>
      </c>
      <c r="AC111" s="32" t="str">
        <f>IF(A111&lt;&gt;"",CHOOSE(10-MIN(9,TRUNC((AA111+0.5)/10)),"A","B","C","D","F","F","F","F","F","F"),"")</f>
        <v>B</v>
      </c>
      <c r="AD111" s="32" t="str">
        <f>IF(A111&lt;&gt;"",IF(OR(AA111+0.5&gt;=93,AA111+0.5&lt;60),"",IF(MOD(AA111+0.5,10)&gt;=7,"+",IF(MOD(AA111+0.5,10)&lt;3,"-",""))),"")</f>
        <v>-</v>
      </c>
      <c r="AE111" s="32">
        <f>IF(A111&lt;&gt;"",SUM(W111:X111,$W$8:$X$8)/SUM($W$2:$X$2)*100,"")</f>
        <v>101</v>
      </c>
      <c r="AF111" s="32" t="str">
        <f>IF(A111&lt;&gt;"",CHOOSE(10-MIN(9,TRUNC((AE111+0.5)/10)),"A","B","C","D","F","F","F","F","F","F"),"")</f>
        <v>A</v>
      </c>
      <c r="AG111" s="32" t="str">
        <f>IF(A111&lt;&gt;"",IF(OR(AE111+0.5&gt;=93,AE111+0.5&lt;60),"",IF(MOD(AE111+0.5,10)&gt;=7,"+",IF(MOD(AE111+0.5,10)&lt;3,"-",""))),"")</f>
        <v/>
      </c>
      <c r="AH111" s="36">
        <f>IF(A111&lt;&gt;"",MIN(MAX(AA111,AE111),AA111+$AH$8,AE111+$AH$8),"")</f>
        <v>101</v>
      </c>
      <c r="AI111" s="32" t="str">
        <f>IF(A111&lt;&gt;"",CHOOSE(10-MIN(9,TRUNC((AH111+0.5)/10)),"A","B","C","D","F","F","F","F","F","F"),"")</f>
        <v>A</v>
      </c>
      <c r="AJ111" s="32" t="str">
        <f>IF(A111&lt;&gt;"",IF(OR(AH111+0.5&gt;=93,AH111+0.5&lt;60),"",IF(MOD(AH111+0.5,10)&gt;=7,"+",IF(MOD(AH111+0.5,10)&lt;3,"-",""))),"")</f>
        <v/>
      </c>
      <c r="AK111" s="32" t="b">
        <f>IF(A111&lt;&gt;"",OR(AI111&lt;&gt;AC111,AJ111&lt;&gt;AD111),"")</f>
        <v>1</v>
      </c>
      <c r="AL111" s="84">
        <f>IF(AND(A111&lt;&gt;"",U111&lt;&gt;""),SUM(U111,$AL$8)/$AL$2*100,"")</f>
        <v>76</v>
      </c>
      <c r="AM111" s="24">
        <f>IF(AND(A111&lt;&gt;"",V111&lt;&gt;""),SUM(V111,$AM$8)/$AM$2*100,"")</f>
        <v>69.230769230769226</v>
      </c>
      <c r="AN111" s="24">
        <f>IF(AND(A111&lt;&gt;"",ISNUMBER(P111),P111&gt;=0),SUM(P111,$AN$8)/$AN$2*100,"")</f>
        <v>101</v>
      </c>
      <c r="AO111" s="24" t="str">
        <f>IF(AND(A111&lt;&gt;"",ISNUMBER(Q111),Q111&gt;=0),SUM(Q111,$AO$8)/$AO$2*100,"")</f>
        <v/>
      </c>
      <c r="AP111" s="24" t="str">
        <f>IF(AND(A111&lt;&gt;"",R111&lt;&gt;""),SUM(R111,$AP$8)/$AP$2*100,"")</f>
        <v/>
      </c>
      <c r="AQ111" s="24">
        <f>IF(AND(A111&lt;&gt;"",ISNUMBER(W111),W111&gt;=0),SUM(W111,$AQ$8)/$AQ$2*100,"")</f>
        <v>101</v>
      </c>
      <c r="AR111" s="24" t="str">
        <f>IF(AND(A111&lt;&gt;"",T111&gt;0,ISNUMBER(T111)),SUM(T111,$AR$8)/$AR$2*100,"")</f>
        <v/>
      </c>
      <c r="AS111" s="24" t="str">
        <f>IF(AND(A111&lt;&gt;"",X111&lt;&gt;""),SUM(X111,$AS$8)/$AS$2*100,"")</f>
        <v/>
      </c>
      <c r="AT111" s="89">
        <f>IF(AND(A111&lt;&gt;"",OR(ISNUMBER(W111),ISNUMBER(X111))),SUM(W111:X111,$AT$8)/$AT$2*100,"")</f>
        <v>101</v>
      </c>
      <c r="AU111" s="24">
        <f>AA111</f>
        <v>81.639344262295083</v>
      </c>
      <c r="AV111" s="24"/>
      <c r="AW111" s="27">
        <f>IF(A111&lt;&gt;"",AE111-AA111,"")</f>
        <v>19.360655737704917</v>
      </c>
      <c r="AY111" s="27" t="b">
        <f>S111&gt;R111</f>
        <v>0</v>
      </c>
      <c r="BA111" s="27" t="e">
        <f>AND(AA111&gt;$BA$3,(W111+$W$8)/$W$2&lt;$BB$3,(X111+$X$8)/$X$2&lt;$BB$3)</f>
        <v>#VALUE!</v>
      </c>
      <c r="BB111" s="27" t="e">
        <f>AND(AA111&lt;$BA$3,AND(W111/$W$2&gt;$BB$3,X111/$X$2&gt;$BB$3))</f>
        <v>#VALUE!</v>
      </c>
      <c r="BC111" s="27" t="e">
        <f>AND(AA111&lt;$BA$3,OR(W111/$W$2&gt;$BB$3,X111/$X$2&gt;$BB$3))</f>
        <v>#VALUE!</v>
      </c>
      <c r="BE111" s="32">
        <v>32</v>
      </c>
    </row>
    <row r="112" spans="1:57" s="27" customFormat="1" ht="12.75" customHeight="1" x14ac:dyDescent="0.2">
      <c r="A112" s="10">
        <v>187154</v>
      </c>
      <c r="B112" s="2">
        <v>17</v>
      </c>
      <c r="C112" s="10">
        <v>24</v>
      </c>
      <c r="D112" s="10">
        <v>12</v>
      </c>
      <c r="E112" s="10"/>
      <c r="F112" s="10"/>
      <c r="G112" s="10"/>
      <c r="H112" s="10"/>
      <c r="I112" s="10"/>
      <c r="J112" s="2">
        <v>28</v>
      </c>
      <c r="K112" s="10">
        <v>51</v>
      </c>
      <c r="L112" s="10">
        <v>49</v>
      </c>
      <c r="M112" s="10"/>
      <c r="N112" s="10"/>
      <c r="O112" s="12"/>
      <c r="P112" s="35">
        <v>101</v>
      </c>
      <c r="Q112" s="41"/>
      <c r="R112" s="2"/>
      <c r="S112" s="10"/>
      <c r="T112" s="13"/>
      <c r="U112" s="1">
        <f t="array" ref="U112">IF(AND(A112&lt;&gt;"",OR(ISNUMBER(B112:I112))),SUM(B112:I112),"")</f>
        <v>53</v>
      </c>
      <c r="V112" s="10">
        <f t="array" ref="V112">IF(AND(A112&lt;&gt;"",OR(ISNUMBER(J112:O112))),SUM(J112:O112),"")</f>
        <v>128</v>
      </c>
      <c r="W112" s="10">
        <f t="array" ref="W112">IF(AND(A112&lt;&gt;"",OR(ISNUMBER(P112),ISNUMBER(Q112))),SUM(MAX(P112:Q112),Q112),"")</f>
        <v>101</v>
      </c>
      <c r="X112" s="10" t="str">
        <f t="array" ref="X112">IF(AND(A112&lt;&gt;"",OR(ISNUMBER(S112),ISNUMBER(T112))),SUM(S112,T112),"")</f>
        <v/>
      </c>
      <c r="Y112" s="13">
        <v>1</v>
      </c>
      <c r="Z112" s="13">
        <f>IF(A112&lt;&gt;"",SUM(U112:Y112),"")</f>
        <v>283</v>
      </c>
      <c r="AA112" s="27">
        <f>IF(A112&lt;&gt;"",(Z112+Normalize_To_Add)/(Point_Total_So_Far)*100,"")</f>
        <v>92.786885245901644</v>
      </c>
      <c r="AB112" s="10">
        <f>IF(A112&lt;&gt;"",RANK(AA112,All_Student_XC),"")</f>
        <v>303</v>
      </c>
      <c r="AC112" s="32" t="str">
        <f>IF(A112&lt;&gt;"",CHOOSE(10-MIN(9,TRUNC((AA112+0.5)/10)),"A","B","C","D","F","F","F","F","F","F"),"")</f>
        <v>A</v>
      </c>
      <c r="AD112" s="32" t="str">
        <f>IF(A112&lt;&gt;"",IF(OR(AA112+0.5&gt;=93,AA112+0.5&lt;60),"",IF(MOD(AA112+0.5,10)&gt;=7,"+",IF(MOD(AA112+0.5,10)&lt;3,"-",""))),"")</f>
        <v/>
      </c>
      <c r="AE112" s="32">
        <f>IF(A112&lt;&gt;"",SUM(W112:X112,$W$8:$X$8)/SUM($W$2:$X$2)*100,"")</f>
        <v>101</v>
      </c>
      <c r="AF112" s="32" t="str">
        <f>IF(A112&lt;&gt;"",CHOOSE(10-MIN(9,TRUNC((AE112+0.5)/10)),"A","B","C","D","F","F","F","F","F","F"),"")</f>
        <v>A</v>
      </c>
      <c r="AG112" s="32" t="str">
        <f>IF(A112&lt;&gt;"",IF(OR(AE112+0.5&gt;=93,AE112+0.5&lt;60),"",IF(MOD(AE112+0.5,10)&gt;=7,"+",IF(MOD(AE112+0.5,10)&lt;3,"-",""))),"")</f>
        <v/>
      </c>
      <c r="AH112" s="36">
        <f>IF(A112&lt;&gt;"",MIN(MAX(AA112,AE112),AA112+$AH$8,AE112+$AH$8),"")</f>
        <v>101</v>
      </c>
      <c r="AI112" s="32" t="str">
        <f>IF(A112&lt;&gt;"",CHOOSE(10-MIN(9,TRUNC((AH112+0.5)/10)),"A","B","C","D","F","F","F","F","F","F"),"")</f>
        <v>A</v>
      </c>
      <c r="AJ112" s="32" t="str">
        <f>IF(A112&lt;&gt;"",IF(OR(AH112+0.5&gt;=93,AH112+0.5&lt;60),"",IF(MOD(AH112+0.5,10)&gt;=7,"+",IF(MOD(AH112+0.5,10)&lt;3,"-",""))),"")</f>
        <v/>
      </c>
      <c r="AK112" s="32" t="b">
        <f>IF(A112&lt;&gt;"",OR(AI112&lt;&gt;AC112,AJ112&lt;&gt;AD112),"")</f>
        <v>0</v>
      </c>
      <c r="AL112" s="84">
        <f>IF(AND(A112&lt;&gt;"",U112&lt;&gt;""),SUM(U112,$AL$8)/$AL$2*100,"")</f>
        <v>70.666666666666671</v>
      </c>
      <c r="AM112" s="24">
        <f>IF(AND(A112&lt;&gt;"",V112&lt;&gt;""),SUM(V112,$AM$8)/$AM$2*100,"")</f>
        <v>98.461538461538467</v>
      </c>
      <c r="AN112" s="24">
        <f>IF(AND(A112&lt;&gt;"",ISNUMBER(P112),P112&gt;=0),SUM(P112,$AN$8)/$AN$2*100,"")</f>
        <v>101</v>
      </c>
      <c r="AO112" s="24" t="str">
        <f>IF(AND(A112&lt;&gt;"",ISNUMBER(Q112),Q112&gt;=0),SUM(Q112,$AO$8)/$AO$2*100,"")</f>
        <v/>
      </c>
      <c r="AP112" s="24" t="str">
        <f>IF(AND(A112&lt;&gt;"",R112&lt;&gt;""),SUM(R112,$AP$8)/$AP$2*100,"")</f>
        <v/>
      </c>
      <c r="AQ112" s="24">
        <f>IF(AND(A112&lt;&gt;"",ISNUMBER(W112),W112&gt;=0),SUM(W112,$AQ$8)/$AQ$2*100,"")</f>
        <v>101</v>
      </c>
      <c r="AR112" s="24" t="str">
        <f>IF(AND(A112&lt;&gt;"",T112&gt;0,ISNUMBER(T112)),SUM(T112,$AR$8)/$AR$2*100,"")</f>
        <v/>
      </c>
      <c r="AS112" s="24" t="str">
        <f>IF(AND(A112&lt;&gt;"",X112&lt;&gt;""),SUM(X112,$AS$8)/$AS$2*100,"")</f>
        <v/>
      </c>
      <c r="AT112" s="89">
        <f>IF(AND(A112&lt;&gt;"",OR(ISNUMBER(W112),ISNUMBER(X112))),SUM(W112:X112,$AT$8)/$AT$2*100,"")</f>
        <v>101</v>
      </c>
      <c r="AU112" s="24">
        <f>AA112</f>
        <v>92.786885245901644</v>
      </c>
      <c r="AV112" s="24"/>
      <c r="AW112" s="27">
        <f>IF(A112&lt;&gt;"",AE112-AA112,"")</f>
        <v>8.2131147540983562</v>
      </c>
      <c r="AY112" s="27" t="b">
        <f>S112&gt;R112</f>
        <v>0</v>
      </c>
      <c r="BA112" s="27" t="e">
        <f>AND(AA112&gt;$BA$3,(W112+$W$8)/$W$2&lt;$BB$3,(X112+$X$8)/$X$2&lt;$BB$3)</f>
        <v>#VALUE!</v>
      </c>
      <c r="BB112" s="27" t="e">
        <f>AND(AA112&lt;$BA$3,AND(W112/$W$2&gt;$BB$3,X112/$X$2&gt;$BB$3))</f>
        <v>#VALUE!</v>
      </c>
      <c r="BC112" s="27" t="e">
        <f>AND(AA112&lt;$BA$3,OR(W112/$W$2&gt;$BB$3,X112/$X$2&gt;$BB$3))</f>
        <v>#VALUE!</v>
      </c>
      <c r="BE112" s="32">
        <v>32</v>
      </c>
    </row>
    <row r="113" spans="1:57" s="27" customFormat="1" ht="12.75" customHeight="1" x14ac:dyDescent="0.2">
      <c r="A113" s="10">
        <v>187743</v>
      </c>
      <c r="B113" s="2">
        <v>12</v>
      </c>
      <c r="C113" s="10">
        <v>20</v>
      </c>
      <c r="D113" s="10">
        <v>22</v>
      </c>
      <c r="E113" s="10"/>
      <c r="F113" s="10"/>
      <c r="G113" s="10"/>
      <c r="H113" s="10"/>
      <c r="I113" s="10"/>
      <c r="J113" s="2">
        <v>31</v>
      </c>
      <c r="K113" s="10">
        <v>39</v>
      </c>
      <c r="L113" s="10">
        <v>36</v>
      </c>
      <c r="M113" s="10"/>
      <c r="N113" s="93"/>
      <c r="O113" s="13"/>
      <c r="P113" s="10">
        <v>100</v>
      </c>
      <c r="Q113" s="10"/>
      <c r="R113" s="2"/>
      <c r="S113" s="10"/>
      <c r="T113" s="13"/>
      <c r="U113" s="1">
        <f t="array" ref="U113">IF(AND(A113&lt;&gt;"",OR(ISNUMBER(B113:I113))),SUM(B113:I113),"")</f>
        <v>54</v>
      </c>
      <c r="V113" s="10">
        <f t="array" ref="V113">IF(AND(A113&lt;&gt;"",OR(ISNUMBER(J113:O113))),SUM(J113:O113),"")</f>
        <v>106</v>
      </c>
      <c r="W113" s="10">
        <f t="array" ref="W113">IF(AND(A113&lt;&gt;"",OR(ISNUMBER(P113),ISNUMBER(Q113))),SUM(MAX(P113:Q113),Q113),"")</f>
        <v>100</v>
      </c>
      <c r="X113" s="10" t="str">
        <f t="array" ref="X113">IF(AND(A113&lt;&gt;"",OR(ISNUMBER(S113),ISNUMBER(T113))),SUM(S113,T113),"")</f>
        <v/>
      </c>
      <c r="Y113" s="13">
        <v>1</v>
      </c>
      <c r="Z113" s="13">
        <f>IF(A113&lt;&gt;"",SUM(U113:Y113),"")</f>
        <v>261</v>
      </c>
      <c r="AA113" s="27">
        <f>IF(A113&lt;&gt;"",(Z113+Normalize_To_Add)/(Point_Total_So_Far)*100,"")</f>
        <v>85.573770491803288</v>
      </c>
      <c r="AB113" s="10">
        <f>IF(A113&lt;&gt;"",RANK(AA113,All_Student_XC),"")</f>
        <v>374</v>
      </c>
      <c r="AC113" s="32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/>
      </c>
      <c r="AE113" s="32">
        <f>IF(A113&lt;&gt;"",SUM(W113:X113,$W$8:$X$8)/SUM($W$2:$X$2)*100,"")</f>
        <v>100</v>
      </c>
      <c r="AF113" s="32" t="str">
        <f>IF(A113&lt;&gt;"",CHOOSE(10-MIN(9,TRUNC((AE113+0.5)/10)),"A","B","C","D","F","F","F","F","F","F"),"")</f>
        <v>A</v>
      </c>
      <c r="AG113" s="32" t="str">
        <f>IF(A113&lt;&gt;"",IF(OR(AE113+0.5&gt;=93,AE113+0.5&lt;60),"",IF(MOD(AE113+0.5,10)&gt;=7,"+",IF(MOD(AE113+0.5,10)&lt;3,"-",""))),"")</f>
        <v/>
      </c>
      <c r="AH113" s="36">
        <f>IF(A113&lt;&gt;"",MIN(MAX(AA113,AE113),AA113+$AH$8,AE113+$AH$8),"")</f>
        <v>100</v>
      </c>
      <c r="AI113" s="32" t="str">
        <f>IF(A113&lt;&gt;"",CHOOSE(10-MIN(9,TRUNC((AH113+0.5)/10)),"A","B","C","D","F","F","F","F","F","F"),"")</f>
        <v>A</v>
      </c>
      <c r="AJ113" s="32" t="str">
        <f>IF(A113&lt;&gt;"",IF(OR(AH113+0.5&gt;=93,AH113+0.5&lt;60),"",IF(MOD(AH113+0.5,10)&gt;=7,"+",IF(MOD(AH113+0.5,10)&lt;3,"-",""))),"")</f>
        <v/>
      </c>
      <c r="AK113" s="71" t="b">
        <f>IF(A113&lt;&gt;"",OR(AI113&lt;&gt;AC113,AJ113&lt;&gt;AD113),"")</f>
        <v>1</v>
      </c>
      <c r="AL113" s="86">
        <f>IF(AND(A113&lt;&gt;"",U113&lt;&gt;""),SUM(U113,$AL$8)/$AL$2*100,"")</f>
        <v>72</v>
      </c>
      <c r="AM113" s="71">
        <f>IF(AND(A113&lt;&gt;"",V113&lt;&gt;""),SUM(V113,$AM$8)/$AM$2*100,"")</f>
        <v>81.538461538461533</v>
      </c>
      <c r="AN113" s="71">
        <f>IF(AND(A113&lt;&gt;"",ISNUMBER(P113),P113&gt;=0),SUM(P113,$AN$8)/$AN$2*100,"")</f>
        <v>100</v>
      </c>
      <c r="AO113" s="71" t="str">
        <f>IF(AND(A113&lt;&gt;"",ISNUMBER(Q113),Q113&gt;=0),SUM(Q113,$AO$8)/$AO$2*100,"")</f>
        <v/>
      </c>
      <c r="AP113" s="24" t="str">
        <f>IF(AND(A113&lt;&gt;"",R113&lt;&gt;""),SUM(R113,$AP$8)/$AP$2*100,"")</f>
        <v/>
      </c>
      <c r="AQ113" s="24">
        <f>IF(AND(A113&lt;&gt;"",ISNUMBER(W113),W113&gt;=0),SUM(W113,$AQ$8)/$AQ$2*100,"")</f>
        <v>100</v>
      </c>
      <c r="AR113" s="24" t="str">
        <f>IF(AND(A113&lt;&gt;"",T113&gt;0,ISNUMBER(T113)),SUM(T113,$AR$8)/$AR$2*100,"")</f>
        <v/>
      </c>
      <c r="AS113" s="24" t="str">
        <f>IF(AND(A113&lt;&gt;"",X113&lt;&gt;""),SUM(X113,$AS$8)/$AS$2*100,"")</f>
        <v/>
      </c>
      <c r="AT113" s="89">
        <f>IF(AND(A113&lt;&gt;"",OR(ISNUMBER(W113),ISNUMBER(X113))),SUM(W113:X113,$AT$8)/$AT$2*100,"")</f>
        <v>100</v>
      </c>
      <c r="AU113" s="24">
        <f>AA113</f>
        <v>85.573770491803288</v>
      </c>
      <c r="AV113" s="71"/>
      <c r="AW113" s="27">
        <f>IF(A113&lt;&gt;"",AE113-AA113,"")</f>
        <v>14.426229508196712</v>
      </c>
      <c r="AY113" s="27" t="b">
        <f>S113&gt;R113</f>
        <v>0</v>
      </c>
      <c r="BA113" s="27" t="e">
        <f>AND(AA113&gt;$BA$3,(W113+$W$8)/$W$2&lt;$BB$3,(X113+$X$8)/$X$2&lt;$BB$3)</f>
        <v>#VALUE!</v>
      </c>
      <c r="BB113" s="27" t="e">
        <f>AND(AA113&lt;$BA$3,AND(W113/$W$2&gt;$BB$3,X113/$X$2&gt;$BB$3))</f>
        <v>#VALUE!</v>
      </c>
      <c r="BC113" s="27" t="e">
        <f>AND(AA113&lt;$BA$3,OR(W113/$W$2&gt;$BB$3,X113/$X$2&gt;$BB$3))</f>
        <v>#VALUE!</v>
      </c>
      <c r="BE113" s="32" t="s">
        <v>84</v>
      </c>
    </row>
    <row r="114" spans="1:57" s="27" customFormat="1" ht="12.75" customHeight="1" x14ac:dyDescent="0.2">
      <c r="A114" s="10">
        <v>191488</v>
      </c>
      <c r="B114" s="2">
        <v>10</v>
      </c>
      <c r="C114" s="10">
        <v>16</v>
      </c>
      <c r="D114" s="10">
        <v>16</v>
      </c>
      <c r="E114" s="10"/>
      <c r="F114" s="10"/>
      <c r="G114" s="3"/>
      <c r="H114" s="10"/>
      <c r="I114" s="10"/>
      <c r="J114" s="2">
        <v>28</v>
      </c>
      <c r="K114" s="10">
        <v>16</v>
      </c>
      <c r="L114" s="10">
        <v>35</v>
      </c>
      <c r="M114" s="10"/>
      <c r="N114" s="10"/>
      <c r="O114" s="12"/>
      <c r="P114" s="41">
        <v>101</v>
      </c>
      <c r="Q114" s="41"/>
      <c r="R114" s="2"/>
      <c r="S114" s="10"/>
      <c r="T114" s="13"/>
      <c r="U114" s="1">
        <f t="array" ref="U114">IF(AND(A114&lt;&gt;"",OR(ISNUMBER(B114:I114))),SUM(B114:I114),"")</f>
        <v>42</v>
      </c>
      <c r="V114" s="10">
        <f t="array" ref="V114">IF(AND(A114&lt;&gt;"",OR(ISNUMBER(J114:O114))),SUM(J114:O114),"")</f>
        <v>79</v>
      </c>
      <c r="W114" s="10">
        <f t="array" ref="W114">IF(AND(A114&lt;&gt;"",OR(ISNUMBER(P114),ISNUMBER(Q114))),SUM(MAX(P114:Q114),Q114),"")</f>
        <v>101</v>
      </c>
      <c r="X114" s="10" t="str">
        <f t="array" ref="X114">IF(AND(A114&lt;&gt;"",OR(ISNUMBER(S114),ISNUMBER(T114))),SUM(S114,T114),"")</f>
        <v/>
      </c>
      <c r="Y114" s="13">
        <v>1</v>
      </c>
      <c r="Z114" s="13">
        <f>IF(A114&lt;&gt;"",SUM(U114:Y114),"")</f>
        <v>223</v>
      </c>
      <c r="AA114" s="27">
        <f>IF(A114&lt;&gt;"",(Z114+Normalize_To_Add)/(Point_Total_So_Far)*100,"")</f>
        <v>73.114754098360663</v>
      </c>
      <c r="AB114" s="10">
        <f>IF(A114&lt;&gt;"",RANK(AA114,All_Student_XC),"")</f>
        <v>442</v>
      </c>
      <c r="AC114" s="32" t="str">
        <f>IF(A114&lt;&gt;"",CHOOSE(10-MIN(9,TRUNC((AA114+0.5)/10)),"A","B","C","D","F","F","F","F","F","F"),"")</f>
        <v>C</v>
      </c>
      <c r="AD114" s="32" t="str">
        <f>IF(A114&lt;&gt;"",IF(OR(AA114+0.5&gt;=93,AA114+0.5&lt;60),"",IF(MOD(AA114+0.5,10)&gt;=7,"+",IF(MOD(AA114+0.5,10)&lt;3,"-",""))),"")</f>
        <v/>
      </c>
      <c r="AE114" s="32">
        <f>IF(A114&lt;&gt;"",SUM(W114:X114,$W$8:$X$8)/SUM($W$2:$X$2)*100,"")</f>
        <v>101</v>
      </c>
      <c r="AF114" s="32" t="str">
        <f>IF(A114&lt;&gt;"",CHOOSE(10-MIN(9,TRUNC((AE114+0.5)/10)),"A","B","C","D","F","F","F","F","F","F"),"")</f>
        <v>A</v>
      </c>
      <c r="AG114" s="32" t="str">
        <f>IF(A114&lt;&gt;"",IF(OR(AE114+0.5&gt;=93,AE114+0.5&lt;60),"",IF(MOD(AE114+0.5,10)&gt;=7,"+",IF(MOD(AE114+0.5,10)&lt;3,"-",""))),"")</f>
        <v/>
      </c>
      <c r="AH114" s="36">
        <f>IF(A114&lt;&gt;"",MIN(MAX(AA114,AE114),AA114+$AH$8,AE114+$AH$8),"")</f>
        <v>101</v>
      </c>
      <c r="AI114" s="32" t="str">
        <f>IF(A114&lt;&gt;"",CHOOSE(10-MIN(9,TRUNC((AH114+0.5)/10)),"A","B","C","D","F","F","F","F","F","F"),"")</f>
        <v>A</v>
      </c>
      <c r="AJ114" s="32" t="str">
        <f>IF(A114&lt;&gt;"",IF(OR(AH114+0.5&gt;=93,AH114+0.5&lt;60),"",IF(MOD(AH114+0.5,10)&gt;=7,"+",IF(MOD(AH114+0.5,10)&lt;3,"-",""))),"")</f>
        <v/>
      </c>
      <c r="AK114" s="32" t="b">
        <f>IF(A114&lt;&gt;"",OR(AI114&lt;&gt;AC114,AJ114&lt;&gt;AD114),"")</f>
        <v>1</v>
      </c>
      <c r="AL114" s="84">
        <f>IF(AND(A114&lt;&gt;"",U114&lt;&gt;""),SUM(U114,$AL$8)/$AL$2*100,"")</f>
        <v>56.000000000000007</v>
      </c>
      <c r="AM114" s="24">
        <f>IF(AND(A114&lt;&gt;"",V114&lt;&gt;""),SUM(V114,$AM$8)/$AM$2*100,"")</f>
        <v>60.769230769230766</v>
      </c>
      <c r="AN114" s="24">
        <f>IF(AND(A114&lt;&gt;"",ISNUMBER(P114),P114&gt;=0),SUM(P114,$AN$8)/$AN$2*100,"")</f>
        <v>101</v>
      </c>
      <c r="AO114" s="24" t="str">
        <f>IF(AND(A114&lt;&gt;"",ISNUMBER(Q114),Q114&gt;=0),SUM(Q114,$AO$8)/$AO$2*100,"")</f>
        <v/>
      </c>
      <c r="AP114" s="24" t="str">
        <f>IF(AND(A114&lt;&gt;"",R114&lt;&gt;""),SUM(R114,$AP$8)/$AP$2*100,"")</f>
        <v/>
      </c>
      <c r="AQ114" s="24">
        <f>IF(AND(A114&lt;&gt;"",ISNUMBER(W114),W114&gt;=0),SUM(W114,$AQ$8)/$AQ$2*100,"")</f>
        <v>101</v>
      </c>
      <c r="AR114" s="24" t="str">
        <f>IF(AND(A114&lt;&gt;"",T114&gt;0,ISNUMBER(T114)),SUM(T114,$AR$8)/$AR$2*100,"")</f>
        <v/>
      </c>
      <c r="AS114" s="24" t="str">
        <f>IF(AND(A114&lt;&gt;"",X114&lt;&gt;""),SUM(X114,$AS$8)/$AS$2*100,"")</f>
        <v/>
      </c>
      <c r="AT114" s="89">
        <f>IF(AND(A114&lt;&gt;"",OR(ISNUMBER(W114),ISNUMBER(X114))),SUM(W114:X114,$AT$8)/$AT$2*100,"")</f>
        <v>101</v>
      </c>
      <c r="AU114" s="24">
        <f>AA114</f>
        <v>73.114754098360663</v>
      </c>
      <c r="AV114" s="24"/>
      <c r="AW114" s="27">
        <f>IF(A114&lt;&gt;"",AE114-AA114,"")</f>
        <v>27.885245901639337</v>
      </c>
      <c r="AY114" s="27" t="b">
        <f>S114&gt;R114</f>
        <v>0</v>
      </c>
      <c r="BA114" s="27" t="e">
        <f>AND(AA114&gt;$BA$3,(W114+$W$8)/$W$2&lt;$BB$3,(X114+$X$8)/$X$2&lt;$BB$3)</f>
        <v>#VALUE!</v>
      </c>
      <c r="BB114" s="27" t="e">
        <f>AND(AA114&lt;$BA$3,AND(W114/$W$2&gt;$BB$3,X114/$X$2&gt;$BB$3))</f>
        <v>#VALUE!</v>
      </c>
      <c r="BC114" s="27" t="e">
        <f>AND(AA114&lt;$BA$3,OR(W114/$W$2&gt;$BB$3,X114/$X$2&gt;$BB$3))</f>
        <v>#VALUE!</v>
      </c>
      <c r="BE114" s="32" t="s">
        <v>85</v>
      </c>
    </row>
    <row r="115" spans="1:57" s="27" customFormat="1" ht="12.75" customHeight="1" x14ac:dyDescent="0.2">
      <c r="A115" s="10">
        <v>192834</v>
      </c>
      <c r="B115" s="55">
        <v>23</v>
      </c>
      <c r="C115" s="10">
        <v>23</v>
      </c>
      <c r="D115" s="10">
        <v>19</v>
      </c>
      <c r="E115" s="10"/>
      <c r="F115" s="10"/>
      <c r="G115" s="3"/>
      <c r="H115" s="10"/>
      <c r="I115" s="10"/>
      <c r="J115" s="2">
        <v>31</v>
      </c>
      <c r="K115" s="10">
        <v>52</v>
      </c>
      <c r="L115" s="10">
        <v>52</v>
      </c>
      <c r="M115" s="10"/>
      <c r="N115" s="10"/>
      <c r="O115" s="12"/>
      <c r="P115" s="7">
        <v>100</v>
      </c>
      <c r="Q115" s="7"/>
      <c r="R115" s="2"/>
      <c r="S115" s="10"/>
      <c r="T115" s="13"/>
      <c r="U115" s="77">
        <f t="array" ref="U115">IF(AND(A115&lt;&gt;"",OR(ISNUMBER(B115:I115))),SUM(B115:I115),"")</f>
        <v>65</v>
      </c>
      <c r="V115" s="10">
        <f t="array" ref="V115">IF(AND(A115&lt;&gt;"",OR(ISNUMBER(J115:O115))),SUM(J115:O115),"")</f>
        <v>135</v>
      </c>
      <c r="W115" s="10">
        <f t="array" ref="W115">IF(AND(A115&lt;&gt;"",OR(ISNUMBER(P115),ISNUMBER(Q115))),SUM(MAX(P115:Q115),Q115),"")</f>
        <v>100</v>
      </c>
      <c r="X115" s="10" t="str">
        <f t="array" ref="X115">IF(AND(A115&lt;&gt;"",OR(ISNUMBER(S115),ISNUMBER(T115))),SUM(S115,T115),"")</f>
        <v/>
      </c>
      <c r="Y115" s="13">
        <v>1</v>
      </c>
      <c r="Z115" s="13">
        <f>IF(A115&lt;&gt;"",SUM(U115:Y115),"")</f>
        <v>301</v>
      </c>
      <c r="AA115" s="27">
        <f>IF(A115&lt;&gt;"",(Z115+Normalize_To_Add)/(Point_Total_So_Far)*100,"")</f>
        <v>98.688524590163937</v>
      </c>
      <c r="AB115" s="10">
        <f>IF(A115&lt;&gt;"",RANK(AA115,All_Student_XC),"")</f>
        <v>176</v>
      </c>
      <c r="AC115" s="32" t="str">
        <f>IF(A115&lt;&gt;"",CHOOSE(10-MIN(9,TRUNC((AA115+0.5)/10)),"A","B","C","D","F","F","F","F","F","F"),"")</f>
        <v>A</v>
      </c>
      <c r="AD115" s="32" t="str">
        <f>IF(A115&lt;&gt;"",IF(OR(AA115+0.5&gt;=93,AA115+0.5&lt;60),"",IF(MOD(AA115+0.5,10)&gt;=7,"+",IF(MOD(AA115+0.5,10)&lt;3,"-",""))),"")</f>
        <v/>
      </c>
      <c r="AE115" s="32">
        <f>IF(A115&lt;&gt;"",SUM(W115:X115,$W$8:$X$8)/SUM($W$2:$X$2)*100,"")</f>
        <v>100</v>
      </c>
      <c r="AF115" s="32" t="str">
        <f>IF(A115&lt;&gt;"",CHOOSE(10-MIN(9,TRUNC((AE115+0.5)/10)),"A","B","C","D","F","F","F","F","F","F"),"")</f>
        <v>A</v>
      </c>
      <c r="AG115" s="32" t="str">
        <f>IF(A115&lt;&gt;"",IF(OR(AE115+0.5&gt;=93,AE115+0.5&lt;60),"",IF(MOD(AE115+0.5,10)&gt;=7,"+",IF(MOD(AE115+0.5,10)&lt;3,"-",""))),"")</f>
        <v/>
      </c>
      <c r="AH115" s="36">
        <f>IF(A115&lt;&gt;"",MIN(MAX(AA115,AE115),AA115+$AH$8,AE115+$AH$8),"")</f>
        <v>100</v>
      </c>
      <c r="AI115" s="32" t="str">
        <f>IF(A115&lt;&gt;"",CHOOSE(10-MIN(9,TRUNC((AH115+0.5)/10)),"A","B","C","D","F","F","F","F","F","F"),"")</f>
        <v>A</v>
      </c>
      <c r="AJ115" s="32" t="str">
        <f>IF(A115&lt;&gt;"",IF(OR(AH115+0.5&gt;=93,AH115+0.5&lt;60),"",IF(MOD(AH115+0.5,10)&gt;=7,"+",IF(MOD(AH115+0.5,10)&lt;3,"-",""))),"")</f>
        <v/>
      </c>
      <c r="AK115" s="32" t="b">
        <f>IF(A115&lt;&gt;"",OR(AI115&lt;&gt;AC115,AJ115&lt;&gt;AD115),"")</f>
        <v>0</v>
      </c>
      <c r="AL115" s="84">
        <f>IF(AND(A115&lt;&gt;"",U115&lt;&gt;""),SUM(U115,$AL$8)/$AL$2*100,"")</f>
        <v>86.666666666666671</v>
      </c>
      <c r="AM115" s="24">
        <f>IF(AND(A115&lt;&gt;"",V115&lt;&gt;""),SUM(V115,$AM$8)/$AM$2*100,"")</f>
        <v>103.84615384615385</v>
      </c>
      <c r="AN115" s="24">
        <f>IF(AND(A115&lt;&gt;"",ISNUMBER(P115),P115&gt;=0),SUM(P115,$AN$8)/$AN$2*100,"")</f>
        <v>100</v>
      </c>
      <c r="AO115" s="24" t="str">
        <f>IF(AND(A115&lt;&gt;"",ISNUMBER(Q115),Q115&gt;=0),SUM(Q115,$AO$8)/$AO$2*100,"")</f>
        <v/>
      </c>
      <c r="AP115" s="24" t="str">
        <f>IF(AND(A115&lt;&gt;"",R115&lt;&gt;""),SUM(R115,$AP$8)/$AP$2*100,"")</f>
        <v/>
      </c>
      <c r="AQ115" s="24">
        <f>IF(AND(A115&lt;&gt;"",ISNUMBER(W115),W115&gt;=0),SUM(W115,$AQ$8)/$AQ$2*100,"")</f>
        <v>100</v>
      </c>
      <c r="AR115" s="24" t="str">
        <f>IF(AND(A115&lt;&gt;"",T115&gt;0,ISNUMBER(T115)),SUM(T115,$AR$8)/$AR$2*100,"")</f>
        <v/>
      </c>
      <c r="AS115" s="24" t="str">
        <f>IF(AND(A115&lt;&gt;"",X115&lt;&gt;""),SUM(X115,$AS$8)/$AS$2*100,"")</f>
        <v/>
      </c>
      <c r="AT115" s="89">
        <f>IF(AND(A115&lt;&gt;"",OR(ISNUMBER(W115),ISNUMBER(X115))),SUM(W115:X115,$AT$8)/$AT$2*100,"")</f>
        <v>100</v>
      </c>
      <c r="AU115" s="24">
        <f>AA115</f>
        <v>98.688524590163937</v>
      </c>
      <c r="AV115" s="24"/>
      <c r="AW115" s="27">
        <f>IF(A115&lt;&gt;"",AE115-AA115,"")</f>
        <v>1.3114754098360635</v>
      </c>
      <c r="AY115" s="27" t="b">
        <f>S115&gt;R115</f>
        <v>0</v>
      </c>
      <c r="BA115" s="27" t="e">
        <f>AND(AA115&gt;$BA$3,(W115+$W$8)/$W$2&lt;$BB$3,(X115+$X$8)/$X$2&lt;$BB$3)</f>
        <v>#VALUE!</v>
      </c>
      <c r="BB115" s="27" t="e">
        <f>AND(AA115&lt;$BA$3,AND(W115/$W$2&gt;$BB$3,X115/$X$2&gt;$BB$3))</f>
        <v>#VALUE!</v>
      </c>
      <c r="BC115" s="27" t="e">
        <f>AND(AA115&lt;$BA$3,OR(W115/$W$2&gt;$BB$3,X115/$X$2&gt;$BB$3))</f>
        <v>#VALUE!</v>
      </c>
      <c r="BE115" s="32" t="s">
        <v>85</v>
      </c>
    </row>
    <row r="116" spans="1:57" s="27" customFormat="1" ht="12.75" customHeight="1" x14ac:dyDescent="0.2">
      <c r="A116" s="10">
        <v>194434</v>
      </c>
      <c r="B116" s="2">
        <v>25</v>
      </c>
      <c r="C116" s="10">
        <v>25</v>
      </c>
      <c r="D116" s="10">
        <v>25</v>
      </c>
      <c r="E116" s="10"/>
      <c r="F116" s="10"/>
      <c r="G116" s="10"/>
      <c r="H116" s="10"/>
      <c r="I116" s="10"/>
      <c r="J116" s="2">
        <v>30</v>
      </c>
      <c r="K116" s="10">
        <v>50</v>
      </c>
      <c r="L116" s="10">
        <v>50</v>
      </c>
      <c r="M116" s="10"/>
      <c r="N116" s="93"/>
      <c r="O116" s="13"/>
      <c r="P116" s="10">
        <v>101</v>
      </c>
      <c r="Q116" s="10"/>
      <c r="R116" s="2"/>
      <c r="S116" s="10"/>
      <c r="T116" s="13"/>
      <c r="U116" s="1">
        <f t="array" ref="U116">IF(AND(A116&lt;&gt;"",OR(ISNUMBER(B116:I116))),SUM(B116:I116),"")</f>
        <v>75</v>
      </c>
      <c r="V116" s="10">
        <f t="array" ref="V116">IF(AND(A116&lt;&gt;"",OR(ISNUMBER(J116:O116))),SUM(J116:O116),"")</f>
        <v>130</v>
      </c>
      <c r="W116" s="10">
        <f t="array" ref="W116">IF(AND(A116&lt;&gt;"",OR(ISNUMBER(P116),ISNUMBER(Q116))),SUM(MAX(P116:Q116),Q116),"")</f>
        <v>101</v>
      </c>
      <c r="X116" s="10" t="str">
        <f t="array" ref="X116">IF(AND(A116&lt;&gt;"",OR(ISNUMBER(S116),ISNUMBER(T116))),SUM(S116,T116),"")</f>
        <v/>
      </c>
      <c r="Y116" s="13">
        <v>1</v>
      </c>
      <c r="Z116" s="13">
        <f>IF(A116&lt;&gt;"",SUM(U116:Y116),"")</f>
        <v>307</v>
      </c>
      <c r="AA116" s="27">
        <f>IF(A116&lt;&gt;"",(Z116+Normalize_To_Add)/(Point_Total_So_Far)*100,"")</f>
        <v>100.65573770491802</v>
      </c>
      <c r="AB116" s="10">
        <f>IF(A116&lt;&gt;"",RANK(AA116,All_Student_XC),"")</f>
        <v>72</v>
      </c>
      <c r="AC116" s="32" t="str">
        <f>IF(A116&lt;&gt;"",CHOOSE(10-MIN(9,TRUNC((AA116+0.5)/10)),"A","B","C","D","F","F","F","F","F","F"),"")</f>
        <v>A</v>
      </c>
      <c r="AD116" s="31" t="str">
        <f>IF(A116&lt;&gt;"",IF(OR(AA116+0.5&gt;=93,AA116+0.5&lt;60),"",IF(MOD(AA116+0.5,10)&gt;=7,"+",IF(MOD(AA116+0.5,10)&lt;3,"-",""))),"")</f>
        <v/>
      </c>
      <c r="AE116" s="32">
        <f>IF(A116&lt;&gt;"",SUM(W116:X116,$W$8:$X$8)/SUM($W$2:$X$2)*100,"")</f>
        <v>101</v>
      </c>
      <c r="AF116" s="32" t="str">
        <f>IF(A116&lt;&gt;"",CHOOSE(10-MIN(9,TRUNC((AE116+0.5)/10)),"A","B","C","D","F","F","F","F","F","F"),"")</f>
        <v>A</v>
      </c>
      <c r="AG116" s="32" t="str">
        <f>IF(A116&lt;&gt;"",IF(OR(AE116+0.5&gt;=93,AE116+0.5&lt;60),"",IF(MOD(AE116+0.5,10)&gt;=7,"+",IF(MOD(AE116+0.5,10)&lt;3,"-",""))),"")</f>
        <v/>
      </c>
      <c r="AH116" s="36">
        <f>IF(A116&lt;&gt;"",MIN(MAX(AA116,AE116),AA116+$AH$8,AE116+$AH$8),"")</f>
        <v>101</v>
      </c>
      <c r="AI116" s="32" t="str">
        <f>IF(A116&lt;&gt;"",CHOOSE(10-MIN(9,TRUNC((AH116+0.5)/10)),"A","B","C","D","F","F","F","F","F","F"),"")</f>
        <v>A</v>
      </c>
      <c r="AJ116" s="32" t="str">
        <f>IF(A116&lt;&gt;"",IF(OR(AH116+0.5&gt;=93,AH116+0.5&lt;60),"",IF(MOD(AH116+0.5,10)&gt;=7,"+",IF(MOD(AH116+0.5,10)&lt;3,"-",""))),"")</f>
        <v/>
      </c>
      <c r="AK116" s="71" t="b">
        <f>IF(A116&lt;&gt;"",OR(AI116&lt;&gt;AC116,AJ116&lt;&gt;AD116),"")</f>
        <v>0</v>
      </c>
      <c r="AL116" s="86">
        <f>IF(AND(A116&lt;&gt;"",U116&lt;&gt;""),SUM(U116,$AL$8)/$AL$2*100,"")</f>
        <v>100</v>
      </c>
      <c r="AM116" s="71">
        <f>IF(AND(A116&lt;&gt;"",V116&lt;&gt;""),SUM(V116,$AM$8)/$AM$2*100,"")</f>
        <v>100</v>
      </c>
      <c r="AN116" s="71">
        <f>IF(AND(A116&lt;&gt;"",ISNUMBER(P116),P116&gt;=0),SUM(P116,$AN$8)/$AN$2*100,"")</f>
        <v>101</v>
      </c>
      <c r="AO116" s="71" t="str">
        <f>IF(AND(A116&lt;&gt;"",ISNUMBER(Q116),Q116&gt;=0),SUM(Q116,$AO$8)/$AO$2*100,"")</f>
        <v/>
      </c>
      <c r="AP116" s="24" t="str">
        <f>IF(AND(A116&lt;&gt;"",R116&lt;&gt;""),SUM(R116,$AP$8)/$AP$2*100,"")</f>
        <v/>
      </c>
      <c r="AQ116" s="24">
        <f>IF(AND(A116&lt;&gt;"",ISNUMBER(W116),W116&gt;=0),SUM(W116,$AQ$8)/$AQ$2*100,"")</f>
        <v>101</v>
      </c>
      <c r="AR116" s="24" t="str">
        <f>IF(AND(A116&lt;&gt;"",T116&gt;0,ISNUMBER(T116)),SUM(T116,$AR$8)/$AR$2*100,"")</f>
        <v/>
      </c>
      <c r="AS116" s="24" t="str">
        <f>IF(AND(A116&lt;&gt;"",X116&lt;&gt;""),SUM(X116,$AS$8)/$AS$2*100,"")</f>
        <v/>
      </c>
      <c r="AT116" s="89">
        <f>IF(AND(A116&lt;&gt;"",OR(ISNUMBER(W116),ISNUMBER(X116))),SUM(W116:X116,$AT$8)/$AT$2*100,"")</f>
        <v>101</v>
      </c>
      <c r="AU116" s="24">
        <f>AA116</f>
        <v>100.65573770491802</v>
      </c>
      <c r="AV116" s="71"/>
      <c r="AW116" s="27">
        <f>IF(A116&lt;&gt;"",AE116-AA116,"")</f>
        <v>0.34426229508197537</v>
      </c>
      <c r="AY116" s="27" t="b">
        <f>S116&gt;R116</f>
        <v>0</v>
      </c>
      <c r="BA116" s="27" t="e">
        <f>AND(AA116&gt;$BA$3,(W116+$W$8)/$W$2&lt;$BB$3,(X116+$X$8)/$X$2&lt;$BB$3)</f>
        <v>#VALUE!</v>
      </c>
      <c r="BB116" s="27" t="e">
        <f>AND(AA116&lt;$BA$3,AND(W116/$W$2&gt;$BB$3,X116/$X$2&gt;$BB$3))</f>
        <v>#VALUE!</v>
      </c>
      <c r="BC116" s="27" t="e">
        <f>AND(AA116&lt;$BA$3,OR(W116/$W$2&gt;$BB$3,X116/$X$2&gt;$BB$3))</f>
        <v>#VALUE!</v>
      </c>
      <c r="BE116" s="32" t="s">
        <v>84</v>
      </c>
    </row>
    <row r="117" spans="1:57" s="27" customFormat="1" ht="12.75" customHeight="1" x14ac:dyDescent="0.2">
      <c r="A117" s="10">
        <v>194602</v>
      </c>
      <c r="B117" s="2">
        <v>20</v>
      </c>
      <c r="C117" s="10">
        <v>24</v>
      </c>
      <c r="D117" s="10" t="s">
        <v>67</v>
      </c>
      <c r="E117" s="10"/>
      <c r="F117" s="10"/>
      <c r="G117" s="10"/>
      <c r="H117" s="10"/>
      <c r="I117" s="10"/>
      <c r="J117" s="2">
        <v>22</v>
      </c>
      <c r="K117" s="10">
        <v>52</v>
      </c>
      <c r="L117" s="10">
        <v>51</v>
      </c>
      <c r="M117" s="10"/>
      <c r="N117" s="93"/>
      <c r="O117" s="13"/>
      <c r="P117" s="10">
        <v>100</v>
      </c>
      <c r="Q117" s="10"/>
      <c r="R117" s="2"/>
      <c r="S117" s="10"/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125</v>
      </c>
      <c r="W117" s="10">
        <f t="array" ref="W117">IF(AND(A117&lt;&gt;"",OR(ISNUMBER(P117),ISNUMBER(Q117))),SUM(MAX(P117:Q117),Q117),"")</f>
        <v>100</v>
      </c>
      <c r="X117" s="10" t="str">
        <f t="array" ref="X117">IF(AND(A117&lt;&gt;"",OR(ISNUMBER(S117),ISNUMBER(T117))),SUM(S117,T117),"")</f>
        <v/>
      </c>
      <c r="Y117" s="13">
        <v>1</v>
      </c>
      <c r="Z117" s="13">
        <f>IF(A117&lt;&gt;"",SUM(U117:Y117),"")</f>
        <v>270</v>
      </c>
      <c r="AA117" s="27">
        <f>IF(A117&lt;&gt;"",(Z117+Normalize_To_Add)/(Point_Total_So_Far)*100,"")</f>
        <v>88.52459016393442</v>
      </c>
      <c r="AB117" s="10">
        <f>IF(A117&lt;&gt;"",RANK(AA117,All_Student_XC),"")</f>
        <v>350</v>
      </c>
      <c r="AC117" s="32" t="str">
        <f>IF(A117&lt;&gt;"",CHOOSE(10-MIN(9,TRUNC((AA117+0.5)/10)),"A","B","C","D","F","F","F","F","F","F"),"")</f>
        <v>B</v>
      </c>
      <c r="AD117" s="31" t="str">
        <f>IF(A117&lt;&gt;"",IF(OR(AA117+0.5&gt;=93,AA117+0.5&lt;60),"",IF(MOD(AA117+0.5,10)&gt;=7,"+",IF(MOD(AA117+0.5,10)&lt;3,"-",""))),"")</f>
        <v>+</v>
      </c>
      <c r="AE117" s="32">
        <f>IF(A117&lt;&gt;"",SUM(W117:X117,$W$8:$X$8)/SUM($W$2:$X$2)*100,"")</f>
        <v>100</v>
      </c>
      <c r="AF117" s="32" t="str">
        <f>IF(A117&lt;&gt;"",CHOOSE(10-MIN(9,TRUNC((AE117+0.5)/10)),"A","B","C","D","F","F","F","F","F","F"),"")</f>
        <v>A</v>
      </c>
      <c r="AG117" s="32" t="str">
        <f>IF(A117&lt;&gt;"",IF(OR(AE117+0.5&gt;=93,AE117+0.5&lt;60),"",IF(MOD(AE117+0.5,10)&gt;=7,"+",IF(MOD(AE117+0.5,10)&lt;3,"-",""))),"")</f>
        <v/>
      </c>
      <c r="AH117" s="36">
        <f>IF(A117&lt;&gt;"",MIN(MAX(AA117,AE117),AA117+$AH$8,AE117+$AH$8),"")</f>
        <v>100</v>
      </c>
      <c r="AI117" s="32" t="str">
        <f>IF(A117&lt;&gt;"",CHOOSE(10-MIN(9,TRUNC((AH117+0.5)/10)),"A","B","C","D","F","F","F","F","F","F"),"")</f>
        <v>A</v>
      </c>
      <c r="AJ117" s="32" t="str">
        <f>IF(A117&lt;&gt;"",IF(OR(AH117+0.5&gt;=93,AH117+0.5&lt;60),"",IF(MOD(AH117+0.5,10)&gt;=7,"+",IF(MOD(AH117+0.5,10)&lt;3,"-",""))),"")</f>
        <v/>
      </c>
      <c r="AK117" s="71" t="b">
        <f>IF(A117&lt;&gt;"",OR(AI117&lt;&gt;AC117,AJ117&lt;&gt;AD117),"")</f>
        <v>1</v>
      </c>
      <c r="AL117" s="86">
        <f>IF(AND(A117&lt;&gt;"",U117&lt;&gt;""),SUM(U117,$AL$8)/$AL$2*100,"")</f>
        <v>58.666666666666664</v>
      </c>
      <c r="AM117" s="71">
        <f>IF(AND(A117&lt;&gt;"",V117&lt;&gt;""),SUM(V117,$AM$8)/$AM$2*100,"")</f>
        <v>96.15384615384616</v>
      </c>
      <c r="AN117" s="71">
        <f>IF(AND(A117&lt;&gt;"",ISNUMBER(P117),P117&gt;=0),SUM(P117,$AN$8)/$AN$2*100,"")</f>
        <v>100</v>
      </c>
      <c r="AO117" s="71" t="str">
        <f>IF(AND(A117&lt;&gt;"",ISNUMBER(Q117),Q117&gt;=0),SUM(Q117,$AO$8)/$AO$2*100,"")</f>
        <v/>
      </c>
      <c r="AP117" s="24" t="str">
        <f>IF(AND(A117&lt;&gt;"",R117&lt;&gt;""),SUM(R117,$AP$8)/$AP$2*100,"")</f>
        <v/>
      </c>
      <c r="AQ117" s="24">
        <f>IF(AND(A117&lt;&gt;"",ISNUMBER(W117),W117&gt;=0),SUM(W117,$AQ$8)/$AQ$2*100,"")</f>
        <v>100</v>
      </c>
      <c r="AR117" s="24" t="str">
        <f>IF(AND(A117&lt;&gt;"",T117&gt;0,ISNUMBER(T117)),SUM(T117,$AR$8)/$AR$2*100,"")</f>
        <v/>
      </c>
      <c r="AS117" s="24" t="str">
        <f>IF(AND(A117&lt;&gt;"",X117&lt;&gt;""),SUM(X117,$AS$8)/$AS$2*100,"")</f>
        <v/>
      </c>
      <c r="AT117" s="89">
        <f>IF(AND(A117&lt;&gt;"",OR(ISNUMBER(W117),ISNUMBER(X117))),SUM(W117:X117,$AT$8)/$AT$2*100,"")</f>
        <v>100</v>
      </c>
      <c r="AU117" s="24">
        <f>AA117</f>
        <v>88.52459016393442</v>
      </c>
      <c r="AV117" s="71"/>
      <c r="AW117" s="27">
        <f>IF(A117&lt;&gt;"",AE117-AA117,"")</f>
        <v>11.47540983606558</v>
      </c>
      <c r="AY117" s="27" t="b">
        <f>S117&gt;R117</f>
        <v>0</v>
      </c>
      <c r="BA117" s="27" t="e">
        <f>AND(AA117&gt;$BA$3,(W117+$W$8)/$W$2&lt;$BB$3,(X117+$X$8)/$X$2&lt;$BB$3)</f>
        <v>#VALUE!</v>
      </c>
      <c r="BB117" s="27" t="e">
        <f>AND(AA117&lt;$BA$3,AND(W117/$W$2&gt;$BB$3,X117/$X$2&gt;$BB$3))</f>
        <v>#VALUE!</v>
      </c>
      <c r="BC117" s="27" t="e">
        <f>AND(AA117&lt;$BA$3,OR(W117/$W$2&gt;$BB$3,X117/$X$2&gt;$BB$3))</f>
        <v>#VALUE!</v>
      </c>
      <c r="BE117" s="32" t="s">
        <v>85</v>
      </c>
    </row>
    <row r="118" spans="1:57" s="27" customFormat="1" ht="12.75" customHeight="1" x14ac:dyDescent="0.2">
      <c r="A118" s="10">
        <v>194859</v>
      </c>
      <c r="B118" s="2">
        <v>25</v>
      </c>
      <c r="C118" s="10" t="s">
        <v>67</v>
      </c>
      <c r="D118" s="10">
        <v>19</v>
      </c>
      <c r="E118" s="10"/>
      <c r="F118" s="10"/>
      <c r="G118" s="10"/>
      <c r="H118" s="10"/>
      <c r="I118" s="10"/>
      <c r="J118" s="2">
        <v>30</v>
      </c>
      <c r="K118" s="10">
        <v>38</v>
      </c>
      <c r="L118" s="10">
        <v>49</v>
      </c>
      <c r="M118" s="10"/>
      <c r="N118" s="10"/>
      <c r="O118" s="12"/>
      <c r="P118" s="41">
        <v>100</v>
      </c>
      <c r="Q118" s="41"/>
      <c r="R118" s="2"/>
      <c r="S118" s="10"/>
      <c r="T118" s="13"/>
      <c r="U118" s="77">
        <f t="array" ref="U118">IF(AND(A118&lt;&gt;"",OR(ISNUMBER(B118:I118))),SUM(B118:I118),"")</f>
        <v>44</v>
      </c>
      <c r="V118" s="10">
        <f t="array" ref="V118">IF(AND(A118&lt;&gt;"",OR(ISNUMBER(J118:O118))),SUM(J118:O118),"")</f>
        <v>117</v>
      </c>
      <c r="W118" s="10">
        <f t="array" ref="W118">IF(AND(A118&lt;&gt;"",OR(ISNUMBER(P118),ISNUMBER(Q118))),SUM(MAX(P118:Q118),Q118),"")</f>
        <v>100</v>
      </c>
      <c r="X118" s="10" t="str">
        <f t="array" ref="X118">IF(AND(A118&lt;&gt;"",OR(ISNUMBER(S118),ISNUMBER(T118))),SUM(S118,T118),"")</f>
        <v/>
      </c>
      <c r="Y118" s="13">
        <v>1</v>
      </c>
      <c r="Z118" s="13">
        <f>IF(A118&lt;&gt;"",SUM(U118:Y118),"")</f>
        <v>262</v>
      </c>
      <c r="AA118" s="27">
        <f>IF(A118&lt;&gt;"",(Z118+Normalize_To_Add)/(Point_Total_So_Far)*100,"")</f>
        <v>85.901639344262293</v>
      </c>
      <c r="AB118" s="10">
        <f>IF(A118&lt;&gt;"",RANK(AA118,All_Student_XC),"")</f>
        <v>370</v>
      </c>
      <c r="AC118" s="32" t="str">
        <f>IF(A118&lt;&gt;"",CHOOSE(10-MIN(9,TRUNC((AA118+0.5)/10)),"A","B","C","D","F","F","F","F","F","F"),"")</f>
        <v>B</v>
      </c>
      <c r="AD118" s="32" t="str">
        <f>IF(A118&lt;&gt;"",IF(OR(AA118+0.5&gt;=93,AA118+0.5&lt;60),"",IF(MOD(AA118+0.5,10)&gt;=7,"+",IF(MOD(AA118+0.5,10)&lt;3,"-",""))),"")</f>
        <v/>
      </c>
      <c r="AE118" s="32">
        <f>IF(A118&lt;&gt;"",SUM(W118:X118,$W$8:$X$8)/SUM($W$2:$X$2)*100,"")</f>
        <v>100</v>
      </c>
      <c r="AF118" s="32" t="str">
        <f>IF(A118&lt;&gt;"",CHOOSE(10-MIN(9,TRUNC((AE118+0.5)/10)),"A","B","C","D","F","F","F","F","F","F"),"")</f>
        <v>A</v>
      </c>
      <c r="AG118" s="32" t="str">
        <f>IF(A118&lt;&gt;"",IF(OR(AE118+0.5&gt;=93,AE118+0.5&lt;60),"",IF(MOD(AE118+0.5,10)&gt;=7,"+",IF(MOD(AE118+0.5,10)&lt;3,"-",""))),"")</f>
        <v/>
      </c>
      <c r="AH118" s="36">
        <f>IF(A118&lt;&gt;"",MIN(MAX(AA118,AE118),AA118+$AH$8,AE118+$AH$8),"")</f>
        <v>100</v>
      </c>
      <c r="AI118" s="32" t="str">
        <f>IF(A118&lt;&gt;"",CHOOSE(10-MIN(9,TRUNC((AH118+0.5)/10)),"A","B","C","D","F","F","F","F","F","F"),"")</f>
        <v>A</v>
      </c>
      <c r="AJ118" s="32" t="str">
        <f>IF(A118&lt;&gt;"",IF(OR(AH118+0.5&gt;=93,AH118+0.5&lt;60),"",IF(MOD(AH118+0.5,10)&gt;=7,"+",IF(MOD(AH118+0.5,10)&lt;3,"-",""))),"")</f>
        <v/>
      </c>
      <c r="AK118" s="32" t="b">
        <f>IF(A118&lt;&gt;"",OR(AI118&lt;&gt;AC118,AJ118&lt;&gt;AD118),"")</f>
        <v>1</v>
      </c>
      <c r="AL118" s="84">
        <f>IF(AND(A118&lt;&gt;"",U118&lt;&gt;""),SUM(U118,$AL$8)/$AL$2*100,"")</f>
        <v>58.666666666666664</v>
      </c>
      <c r="AM118" s="24">
        <f>IF(AND(A118&lt;&gt;"",V118&lt;&gt;""),SUM(V118,$AM$8)/$AM$2*100,"")</f>
        <v>90</v>
      </c>
      <c r="AN118" s="24">
        <f>IF(AND(A118&lt;&gt;"",ISNUMBER(P118),P118&gt;=0),SUM(P118,$AN$8)/$AN$2*100,"")</f>
        <v>100</v>
      </c>
      <c r="AO118" s="24" t="str">
        <f>IF(AND(A118&lt;&gt;"",ISNUMBER(Q118),Q118&gt;=0),SUM(Q118,$AO$8)/$AO$2*100,"")</f>
        <v/>
      </c>
      <c r="AP118" s="24" t="str">
        <f>IF(AND(A118&lt;&gt;"",R118&lt;&gt;""),SUM(R118,$AP$8)/$AP$2*100,"")</f>
        <v/>
      </c>
      <c r="AQ118" s="24">
        <f>IF(AND(A118&lt;&gt;"",ISNUMBER(W118),W118&gt;=0),SUM(W118,$AQ$8)/$AQ$2*100,"")</f>
        <v>100</v>
      </c>
      <c r="AR118" s="24" t="str">
        <f>IF(AND(A118&lt;&gt;"",T118&gt;0,ISNUMBER(T118)),SUM(T118,$AR$8)/$AR$2*100,"")</f>
        <v/>
      </c>
      <c r="AS118" s="24" t="str">
        <f>IF(AND(A118&lt;&gt;"",X118&lt;&gt;""),SUM(X118,$AS$8)/$AS$2*100,"")</f>
        <v/>
      </c>
      <c r="AT118" s="89">
        <f>IF(AND(A118&lt;&gt;"",OR(ISNUMBER(W118),ISNUMBER(X118))),SUM(W118:X118,$AT$8)/$AT$2*100,"")</f>
        <v>100</v>
      </c>
      <c r="AU118" s="24">
        <f>AA118</f>
        <v>85.901639344262293</v>
      </c>
      <c r="AV118" s="24"/>
      <c r="AW118" s="27">
        <f>IF(A118&lt;&gt;"",AE118-AA118,"")</f>
        <v>14.098360655737707</v>
      </c>
      <c r="AY118" s="27" t="b">
        <f>S118&gt;R118</f>
        <v>0</v>
      </c>
      <c r="BA118" s="27" t="e">
        <f>AND(AA118&gt;$BA$3,(W118+$W$8)/$W$2&lt;$BB$3,(X118+$X$8)/$X$2&lt;$BB$3)</f>
        <v>#VALUE!</v>
      </c>
      <c r="BB118" s="27" t="e">
        <f>AND(AA118&lt;$BA$3,AND(W118/$W$2&gt;$BB$3,X118/$X$2&gt;$BB$3))</f>
        <v>#VALUE!</v>
      </c>
      <c r="BC118" s="27" t="e">
        <f>AND(AA118&lt;$BA$3,OR(W118/$W$2&gt;$BB$3,X118/$X$2&gt;$BB$3))</f>
        <v>#VALUE!</v>
      </c>
      <c r="BE118" s="32" t="s">
        <v>85</v>
      </c>
    </row>
    <row r="119" spans="1:57" s="27" customFormat="1" ht="12.75" customHeight="1" x14ac:dyDescent="0.2">
      <c r="A119" s="10">
        <v>197703</v>
      </c>
      <c r="B119" s="2">
        <v>25</v>
      </c>
      <c r="C119" s="10">
        <v>24</v>
      </c>
      <c r="D119" s="10">
        <v>25</v>
      </c>
      <c r="E119" s="10"/>
      <c r="F119" s="10"/>
      <c r="G119" s="10"/>
      <c r="H119" s="10"/>
      <c r="I119" s="10"/>
      <c r="J119" s="2">
        <v>30</v>
      </c>
      <c r="K119" s="10">
        <v>52</v>
      </c>
      <c r="L119" s="10">
        <v>52</v>
      </c>
      <c r="M119" s="10"/>
      <c r="N119" s="10"/>
      <c r="O119" s="12"/>
      <c r="P119" s="41">
        <v>101</v>
      </c>
      <c r="Q119" s="41"/>
      <c r="R119" s="2"/>
      <c r="S119" s="10"/>
      <c r="T119" s="13"/>
      <c r="U119" s="1">
        <f t="array" ref="U119">IF(AND(A119&lt;&gt;"",OR(ISNUMBER(B119:I119))),SUM(B119:I119),"")</f>
        <v>74</v>
      </c>
      <c r="V119" s="10">
        <f t="array" ref="V119">IF(AND(A119&lt;&gt;"",OR(ISNUMBER(J119:O119))),SUM(J119:O119),"")</f>
        <v>134</v>
      </c>
      <c r="W119" s="10">
        <f t="array" ref="W119">IF(AND(A119&lt;&gt;"",OR(ISNUMBER(P119),ISNUMBER(Q119))),SUM(MAX(P119:Q119),Q119),"")</f>
        <v>101</v>
      </c>
      <c r="X119" s="10" t="str">
        <f t="array" ref="X119">IF(AND(A119&lt;&gt;"",OR(ISNUMBER(S119),ISNUMBER(T119))),SUM(S119,T119),"")</f>
        <v/>
      </c>
      <c r="Y119" s="13">
        <v>1</v>
      </c>
      <c r="Z119" s="13">
        <f>IF(A119&lt;&gt;"",SUM(U119:Y119),"")</f>
        <v>310</v>
      </c>
      <c r="AA119" s="27">
        <f>IF(A119&lt;&gt;"",(Z119+Normalize_To_Add)/(Point_Total_So_Far)*100,"")</f>
        <v>101.63934426229508</v>
      </c>
      <c r="AB119" s="10">
        <f>IF(A119&lt;&gt;"",RANK(AA119,All_Student_XC),"")</f>
        <v>19</v>
      </c>
      <c r="AC119" s="32" t="str">
        <f>IF(A119&lt;&gt;"",CHOOSE(10-MIN(9,TRUNC((AA119+0.5)/10)),"A","B","C","D","F","F","F","F","F","F"),"")</f>
        <v>A</v>
      </c>
      <c r="AD119" s="32" t="str">
        <f>IF(A119&lt;&gt;"",IF(OR(AA119+0.5&gt;=93,AA119+0.5&lt;60),"",IF(MOD(AA119+0.5,10)&gt;=7,"+",IF(MOD(AA119+0.5,10)&lt;3,"-",""))),"")</f>
        <v/>
      </c>
      <c r="AE119" s="32">
        <f>IF(A119&lt;&gt;"",SUM(W119:X119,$W$8:$X$8)/SUM($W$2:$X$2)*100,"")</f>
        <v>101</v>
      </c>
      <c r="AF119" s="32" t="str">
        <f>IF(A119&lt;&gt;"",CHOOSE(10-MIN(9,TRUNC((AE119+0.5)/10)),"A","B","C","D","F","F","F","F","F","F"),"")</f>
        <v>A</v>
      </c>
      <c r="AG119" s="32" t="str">
        <f>IF(A119&lt;&gt;"",IF(OR(AE119+0.5&gt;=93,AE119+0.5&lt;60),"",IF(MOD(AE119+0.5,10)&gt;=7,"+",IF(MOD(AE119+0.5,10)&lt;3,"-",""))),"")</f>
        <v/>
      </c>
      <c r="AH119" s="36">
        <f>IF(A119&lt;&gt;"",MIN(MAX(AA119,AE119),AA119+$AH$8,AE119+$AH$8),"")</f>
        <v>101.63934426229508</v>
      </c>
      <c r="AI119" s="32" t="str">
        <f>IF(A119&lt;&gt;"",CHOOSE(10-MIN(9,TRUNC((AH119+0.5)/10)),"A","B","C","D","F","F","F","F","F","F"),"")</f>
        <v>A</v>
      </c>
      <c r="AJ119" s="32" t="str">
        <f>IF(A119&lt;&gt;"",IF(OR(AH119+0.5&gt;=93,AH119+0.5&lt;60),"",IF(MOD(AH119+0.5,10)&gt;=7,"+",IF(MOD(AH119+0.5,10)&lt;3,"-",""))),"")</f>
        <v/>
      </c>
      <c r="AK119" s="32" t="b">
        <f>IF(A119&lt;&gt;"",OR(AI119&lt;&gt;AC119,AJ119&lt;&gt;AD119),"")</f>
        <v>0</v>
      </c>
      <c r="AL119" s="84">
        <f>IF(AND(A119&lt;&gt;"",U119&lt;&gt;""),SUM(U119,$AL$8)/$AL$2*100,"")</f>
        <v>98.666666666666671</v>
      </c>
      <c r="AM119" s="24">
        <f>IF(AND(A119&lt;&gt;"",V119&lt;&gt;""),SUM(V119,$AM$8)/$AM$2*100,"")</f>
        <v>103.07692307692307</v>
      </c>
      <c r="AN119" s="24">
        <f>IF(AND(A119&lt;&gt;"",ISNUMBER(P119),P119&gt;=0),SUM(P119,$AN$8)/$AN$2*100,"")</f>
        <v>101</v>
      </c>
      <c r="AO119" s="24" t="str">
        <f>IF(AND(A119&lt;&gt;"",ISNUMBER(Q119),Q119&gt;=0),SUM(Q119,$AO$8)/$AO$2*100,"")</f>
        <v/>
      </c>
      <c r="AP119" s="24" t="str">
        <f>IF(AND(A119&lt;&gt;"",R119&lt;&gt;""),SUM(R119,$AP$8)/$AP$2*100,"")</f>
        <v/>
      </c>
      <c r="AQ119" s="24">
        <f>IF(AND(A119&lt;&gt;"",ISNUMBER(W119),W119&gt;=0),SUM(W119,$AQ$8)/$AQ$2*100,"")</f>
        <v>101</v>
      </c>
      <c r="AR119" s="24" t="str">
        <f>IF(AND(A119&lt;&gt;"",T119&gt;0,ISNUMBER(T119)),SUM(T119,$AR$8)/$AR$2*100,"")</f>
        <v/>
      </c>
      <c r="AS119" s="24" t="str">
        <f>IF(AND(A119&lt;&gt;"",X119&lt;&gt;""),SUM(X119,$AS$8)/$AS$2*100,"")</f>
        <v/>
      </c>
      <c r="AT119" s="89">
        <f>IF(AND(A119&lt;&gt;"",OR(ISNUMBER(W119),ISNUMBER(X119))),SUM(W119:X119,$AT$8)/$AT$2*100,"")</f>
        <v>101</v>
      </c>
      <c r="AU119" s="24">
        <f>AA119</f>
        <v>101.63934426229508</v>
      </c>
      <c r="AV119" s="24"/>
      <c r="AW119" s="27">
        <f>IF(A119&lt;&gt;"",AE119-AA119,"")</f>
        <v>-0.6393442622950829</v>
      </c>
      <c r="AY119" s="27" t="b">
        <f>S119&gt;R119</f>
        <v>0</v>
      </c>
      <c r="BA119" s="27" t="e">
        <f>AND(AA119&gt;$BA$3,(W119+$W$8)/$W$2&lt;$BB$3,(X119+$X$8)/$X$2&lt;$BB$3)</f>
        <v>#VALUE!</v>
      </c>
      <c r="BB119" s="27" t="e">
        <f>AND(AA119&lt;$BA$3,AND(W119/$W$2&gt;$BB$3,X119/$X$2&gt;$BB$3))</f>
        <v>#VALUE!</v>
      </c>
      <c r="BC119" s="27" t="e">
        <f>AND(AA119&lt;$BA$3,OR(W119/$W$2&gt;$BB$3,X119/$X$2&gt;$BB$3))</f>
        <v>#VALUE!</v>
      </c>
      <c r="BE119" s="32" t="s">
        <v>84</v>
      </c>
    </row>
    <row r="120" spans="1:57" s="27" customFormat="1" ht="12.75" customHeight="1" x14ac:dyDescent="0.2">
      <c r="A120" s="10">
        <v>198051</v>
      </c>
      <c r="B120" s="2">
        <v>15</v>
      </c>
      <c r="C120" s="10">
        <v>23</v>
      </c>
      <c r="D120" s="10">
        <v>25</v>
      </c>
      <c r="E120" s="10"/>
      <c r="F120" s="10"/>
      <c r="G120" s="3"/>
      <c r="H120" s="10"/>
      <c r="I120" s="10"/>
      <c r="J120" s="2">
        <v>29</v>
      </c>
      <c r="K120" s="10">
        <v>47</v>
      </c>
      <c r="L120" s="10">
        <v>47</v>
      </c>
      <c r="M120" s="10"/>
      <c r="N120" s="10"/>
      <c r="O120" s="13"/>
      <c r="P120" s="10">
        <v>101</v>
      </c>
      <c r="Q120" s="10"/>
      <c r="R120" s="2"/>
      <c r="S120" s="10"/>
      <c r="T120" s="13"/>
      <c r="U120" s="1">
        <f t="array" ref="U120">IF(AND(A120&lt;&gt;"",OR(ISNUMBER(B120:I120))),SUM(B120:I120),"")</f>
        <v>63</v>
      </c>
      <c r="V120" s="10">
        <f t="array" ref="V120">IF(AND(A120&lt;&gt;"",OR(ISNUMBER(J120:O120))),SUM(J120:O120),"")</f>
        <v>123</v>
      </c>
      <c r="W120" s="10">
        <f t="array" ref="W120">IF(AND(A120&lt;&gt;"",OR(ISNUMBER(P120),ISNUMBER(Q120))),SUM(MAX(P120:Q120),Q120),"")</f>
        <v>101</v>
      </c>
      <c r="X120" s="10" t="str">
        <f t="array" ref="X120">IF(AND(A120&lt;&gt;"",OR(ISNUMBER(S120),ISNUMBER(T120))),SUM(S120,T120),"")</f>
        <v/>
      </c>
      <c r="Y120" s="13">
        <v>1</v>
      </c>
      <c r="Z120" s="13">
        <f>IF(A120&lt;&gt;"",SUM(U120:Y120),"")</f>
        <v>288</v>
      </c>
      <c r="AA120" s="27">
        <f>IF(A120&lt;&gt;"",(Z120+Normalize_To_Add)/(Point_Total_So_Far)*100,"")</f>
        <v>94.426229508196727</v>
      </c>
      <c r="AB120" s="10">
        <f>IF(A120&lt;&gt;"",RANK(AA120,All_Student_XC),"")</f>
        <v>279</v>
      </c>
      <c r="AC120" s="32" t="str">
        <f>IF(A120&lt;&gt;"",CHOOSE(10-MIN(9,TRUNC((AA120+0.5)/10)),"A","B","C","D","F","F","F","F","F","F"),"")</f>
        <v>A</v>
      </c>
      <c r="AD120" s="31" t="str">
        <f>IF(A120&lt;&gt;"",IF(OR(AA120+0.5&gt;=93,AA120+0.5&lt;60),"",IF(MOD(AA120+0.5,10)&gt;=7,"+",IF(MOD(AA120+0.5,10)&lt;3,"-",""))),"")</f>
        <v/>
      </c>
      <c r="AE120" s="32">
        <f>IF(A120&lt;&gt;"",SUM(W120:X120,$W$8:$X$8)/SUM($W$2:$X$2)*100,"")</f>
        <v>101</v>
      </c>
      <c r="AF120" s="32" t="str">
        <f>IF(A120&lt;&gt;"",CHOOSE(10-MIN(9,TRUNC((AE120+0.5)/10)),"A","B","C","D","F","F","F","F","F","F"),"")</f>
        <v>A</v>
      </c>
      <c r="AG120" s="32" t="str">
        <f>IF(A120&lt;&gt;"",IF(OR(AE120+0.5&gt;=93,AE120+0.5&lt;60),"",IF(MOD(AE120+0.5,10)&gt;=7,"+",IF(MOD(AE120+0.5,10)&lt;3,"-",""))),"")</f>
        <v/>
      </c>
      <c r="AH120" s="36">
        <f>IF(A120&lt;&gt;"",MIN(MAX(AA120,AE120),AA120+$AH$8,AE120+$AH$8),"")</f>
        <v>101</v>
      </c>
      <c r="AI120" s="32" t="str">
        <f>IF(A120&lt;&gt;"",CHOOSE(10-MIN(9,TRUNC((AH120+0.5)/10)),"A","B","C","D","F","F","F","F","F","F"),"")</f>
        <v>A</v>
      </c>
      <c r="AJ120" s="32" t="str">
        <f>IF(A120&lt;&gt;"",IF(OR(AH120+0.5&gt;=93,AH120+0.5&lt;60),"",IF(MOD(AH120+0.5,10)&gt;=7,"+",IF(MOD(AH120+0.5,10)&lt;3,"-",""))),"")</f>
        <v/>
      </c>
      <c r="AK120" s="71" t="b">
        <f>IF(A120&lt;&gt;"",OR(AI120&lt;&gt;AC120,AJ120&lt;&gt;AD120),"")</f>
        <v>0</v>
      </c>
      <c r="AL120" s="86">
        <f>IF(AND(A120&lt;&gt;"",U120&lt;&gt;""),SUM(U120,$AL$8)/$AL$2*100,"")</f>
        <v>84</v>
      </c>
      <c r="AM120" s="71">
        <f>IF(AND(A120&lt;&gt;"",V120&lt;&gt;""),SUM(V120,$AM$8)/$AM$2*100,"")</f>
        <v>94.615384615384613</v>
      </c>
      <c r="AN120" s="71">
        <f>IF(AND(A120&lt;&gt;"",ISNUMBER(P120),P120&gt;=0),SUM(P120,$AN$8)/$AN$2*100,"")</f>
        <v>101</v>
      </c>
      <c r="AO120" s="71" t="str">
        <f>IF(AND(A120&lt;&gt;"",ISNUMBER(Q120),Q120&gt;=0),SUM(Q120,$AO$8)/$AO$2*100,"")</f>
        <v/>
      </c>
      <c r="AP120" s="24" t="str">
        <f>IF(AND(A120&lt;&gt;"",R120&lt;&gt;""),SUM(R120,$AP$8)/$AP$2*100,"")</f>
        <v/>
      </c>
      <c r="AQ120" s="24">
        <f>IF(AND(A120&lt;&gt;"",ISNUMBER(W120),W120&gt;=0),SUM(W120,$AQ$8)/$AQ$2*100,"")</f>
        <v>101</v>
      </c>
      <c r="AR120" s="24" t="str">
        <f>IF(AND(A120&lt;&gt;"",T120&gt;0,ISNUMBER(T120)),SUM(T120,$AR$8)/$AR$2*100,"")</f>
        <v/>
      </c>
      <c r="AS120" s="24" t="str">
        <f>IF(AND(A120&lt;&gt;"",X120&lt;&gt;""),SUM(X120,$AS$8)/$AS$2*100,"")</f>
        <v/>
      </c>
      <c r="AT120" s="89">
        <f>IF(AND(A120&lt;&gt;"",OR(ISNUMBER(W120),ISNUMBER(X120))),SUM(W120:X120,$AT$8)/$AT$2*100,"")</f>
        <v>101</v>
      </c>
      <c r="AU120" s="24">
        <f>AA120</f>
        <v>94.426229508196727</v>
      </c>
      <c r="AV120" s="71"/>
      <c r="AW120" s="27">
        <f>IF(A120&lt;&gt;"",AE120-AA120,"")</f>
        <v>6.5737704918032733</v>
      </c>
      <c r="AY120" s="27" t="b">
        <f>S120&gt;R120</f>
        <v>0</v>
      </c>
      <c r="BA120" s="27" t="e">
        <f>AND(AA120&gt;$BA$3,(W120+$W$8)/$W$2&lt;$BB$3,(X120+$X$8)/$X$2&lt;$BB$3)</f>
        <v>#VALUE!</v>
      </c>
      <c r="BB120" s="27" t="e">
        <f>AND(AA120&lt;$BA$3,AND(W120/$W$2&gt;$BB$3,X120/$X$2&gt;$BB$3))</f>
        <v>#VALUE!</v>
      </c>
      <c r="BC120" s="27" t="e">
        <f>AND(AA120&lt;$BA$3,OR(W120/$W$2&gt;$BB$3,X120/$X$2&gt;$BB$3))</f>
        <v>#VALUE!</v>
      </c>
      <c r="BE120" s="32" t="s">
        <v>84</v>
      </c>
    </row>
    <row r="121" spans="1:57" s="27" customFormat="1" ht="12.75" customHeight="1" x14ac:dyDescent="0.2">
      <c r="A121" s="10">
        <v>199937</v>
      </c>
      <c r="B121" s="55">
        <v>7</v>
      </c>
      <c r="C121" s="10">
        <v>20</v>
      </c>
      <c r="D121" s="10">
        <v>22</v>
      </c>
      <c r="E121" s="10"/>
      <c r="F121" s="10"/>
      <c r="G121" s="10"/>
      <c r="H121" s="10"/>
      <c r="I121" s="10"/>
      <c r="J121" s="2">
        <v>27</v>
      </c>
      <c r="K121" s="10">
        <v>3</v>
      </c>
      <c r="L121" s="10">
        <v>26</v>
      </c>
      <c r="M121" s="10"/>
      <c r="N121" s="10"/>
      <c r="O121" s="12"/>
      <c r="P121" s="10">
        <v>70</v>
      </c>
      <c r="Q121" s="41"/>
      <c r="R121" s="2"/>
      <c r="S121" s="10"/>
      <c r="T121" s="13"/>
      <c r="U121" s="77">
        <f t="array" ref="U121">IF(AND(A121&lt;&gt;"",OR(ISNUMBER(B121:I121))),SUM(B121:I121),"")</f>
        <v>49</v>
      </c>
      <c r="V121" s="10">
        <f t="array" ref="V121">IF(AND(A121&lt;&gt;"",OR(ISNUMBER(J121:O121))),SUM(J121:O121),"")</f>
        <v>56</v>
      </c>
      <c r="W121" s="10">
        <f t="array" ref="W121">IF(AND(A121&lt;&gt;"",OR(ISNUMBER(P121),ISNUMBER(Q121))),SUM(MAX(P121:Q121),Q121),"")</f>
        <v>70</v>
      </c>
      <c r="X121" s="10" t="str">
        <f t="array" ref="X121">IF(AND(A121&lt;&gt;"",OR(ISNUMBER(S121),ISNUMBER(T121))),SUM(S121,T121),"")</f>
        <v/>
      </c>
      <c r="Y121" s="13">
        <v>1</v>
      </c>
      <c r="Z121" s="13">
        <f>IF(A121&lt;&gt;"",SUM(U121:Y121),"")</f>
        <v>176</v>
      </c>
      <c r="AA121" s="27">
        <f>IF(A121&lt;&gt;"",(Z121+Normalize_To_Add)/(Point_Total_So_Far)*100,"")</f>
        <v>57.704918032786892</v>
      </c>
      <c r="AB121" s="10">
        <f>IF(A121&lt;&gt;"",RANK(AA121,All_Student_XC),"")</f>
        <v>483</v>
      </c>
      <c r="AC121" s="32" t="str">
        <f>IF(A121&lt;&gt;"",CHOOSE(10-MIN(9,TRUNC((AA121+0.5)/10)),"A","B","C","D","F","F","F","F","F","F"),"")</f>
        <v>F</v>
      </c>
      <c r="AD121" s="32" t="str">
        <f>IF(A121&lt;&gt;"",IF(OR(AA121+0.5&gt;=93,AA121+0.5&lt;60),"",IF(MOD(AA121+0.5,10)&gt;=7,"+",IF(MOD(AA121+0.5,10)&lt;3,"-",""))),"")</f>
        <v/>
      </c>
      <c r="AE121" s="32">
        <f>IF(A121&lt;&gt;"",SUM(W121:X121,$W$8:$X$8)/SUM($W$2:$X$2)*100,"")</f>
        <v>70</v>
      </c>
      <c r="AF121" s="32" t="str">
        <f>IF(A121&lt;&gt;"",CHOOSE(10-MIN(9,TRUNC((AE121+0.5)/10)),"A","B","C","D","F","F","F","F","F","F"),"")</f>
        <v>C</v>
      </c>
      <c r="AG121" s="32" t="str">
        <f>IF(A121&lt;&gt;"",IF(OR(AE121+0.5&gt;=93,AE121+0.5&lt;60),"",IF(MOD(AE121+0.5,10)&gt;=7,"+",IF(MOD(AE121+0.5,10)&lt;3,"-",""))),"")</f>
        <v>-</v>
      </c>
      <c r="AH121" s="36">
        <f>IF(A121&lt;&gt;"",MIN(MAX(AA121,AE121),AA121+$AH$8,AE121+$AH$8),"")</f>
        <v>70</v>
      </c>
      <c r="AI121" s="32" t="str">
        <f>IF(A121&lt;&gt;"",CHOOSE(10-MIN(9,TRUNC((AH121+0.5)/10)),"A","B","C","D","F","F","F","F","F","F"),"")</f>
        <v>C</v>
      </c>
      <c r="AJ121" s="32" t="str">
        <f>IF(A121&lt;&gt;"",IF(OR(AH121+0.5&gt;=93,AH121+0.5&lt;60),"",IF(MOD(AH121+0.5,10)&gt;=7,"+",IF(MOD(AH121+0.5,10)&lt;3,"-",""))),"")</f>
        <v>-</v>
      </c>
      <c r="AK121" s="32" t="b">
        <f>IF(A121&lt;&gt;"",OR(AI121&lt;&gt;AC121,AJ121&lt;&gt;AD121),"")</f>
        <v>1</v>
      </c>
      <c r="AL121" s="84">
        <f>IF(AND(A121&lt;&gt;"",U121&lt;&gt;""),SUM(U121,$AL$8)/$AL$2*100,"")</f>
        <v>65.333333333333329</v>
      </c>
      <c r="AM121" s="24">
        <f>IF(AND(A121&lt;&gt;"",V121&lt;&gt;""),SUM(V121,$AM$8)/$AM$2*100,"")</f>
        <v>43.07692307692308</v>
      </c>
      <c r="AN121" s="24">
        <f>IF(AND(A121&lt;&gt;"",ISNUMBER(P121),P121&gt;=0),SUM(P121,$AN$8)/$AN$2*100,"")</f>
        <v>70</v>
      </c>
      <c r="AO121" s="24" t="str">
        <f>IF(AND(A121&lt;&gt;"",ISNUMBER(Q121),Q121&gt;=0),SUM(Q121,$AO$8)/$AO$2*100,"")</f>
        <v/>
      </c>
      <c r="AP121" s="24" t="str">
        <f>IF(AND(A121&lt;&gt;"",R121&lt;&gt;""),SUM(R121,$AP$8)/$AP$2*100,"")</f>
        <v/>
      </c>
      <c r="AQ121" s="24">
        <f>IF(AND(A121&lt;&gt;"",ISNUMBER(W121),W121&gt;=0),SUM(W121,$AQ$8)/$AQ$2*100,"")</f>
        <v>70</v>
      </c>
      <c r="AR121" s="24" t="str">
        <f>IF(AND(A121&lt;&gt;"",T121&gt;0,ISNUMBER(T121)),SUM(T121,$AR$8)/$AR$2*100,"")</f>
        <v/>
      </c>
      <c r="AS121" s="24" t="str">
        <f>IF(AND(A121&lt;&gt;"",X121&lt;&gt;""),SUM(X121,$AS$8)/$AS$2*100,"")</f>
        <v/>
      </c>
      <c r="AT121" s="89">
        <f>IF(AND(A121&lt;&gt;"",OR(ISNUMBER(W121),ISNUMBER(X121))),SUM(W121:X121,$AT$8)/$AT$2*100,"")</f>
        <v>70</v>
      </c>
      <c r="AU121" s="24">
        <f>AA121</f>
        <v>57.704918032786892</v>
      </c>
      <c r="AV121" s="24"/>
      <c r="AW121" s="27">
        <f>IF(A121&lt;&gt;"",AE121-AA121,"")</f>
        <v>12.295081967213108</v>
      </c>
      <c r="AY121" s="27" t="b">
        <f>S121&gt;R121</f>
        <v>0</v>
      </c>
      <c r="BA121" s="27" t="e">
        <f>AND(AA121&gt;$BA$3,(W121+$W$8)/$W$2&lt;$BB$3,(X121+$X$8)/$X$2&lt;$BB$3)</f>
        <v>#VALUE!</v>
      </c>
      <c r="BB121" s="27" t="e">
        <f>AND(AA121&lt;$BA$3,AND(W121/$W$2&gt;$BB$3,X121/$X$2&gt;$BB$3))</f>
        <v>#VALUE!</v>
      </c>
      <c r="BC121" s="27" t="e">
        <f>AND(AA121&lt;$BA$3,OR(W121/$W$2&gt;$BB$3,X121/$X$2&gt;$BB$3))</f>
        <v>#VALUE!</v>
      </c>
      <c r="BE121" s="32">
        <v>32</v>
      </c>
    </row>
    <row r="122" spans="1:57" s="27" customFormat="1" ht="12.75" customHeight="1" x14ac:dyDescent="0.2">
      <c r="A122" s="10">
        <v>202700</v>
      </c>
      <c r="B122" s="2">
        <v>21</v>
      </c>
      <c r="C122" s="10">
        <v>23</v>
      </c>
      <c r="D122" s="10">
        <v>25</v>
      </c>
      <c r="E122" s="10"/>
      <c r="F122" s="10"/>
      <c r="G122" s="10"/>
      <c r="H122" s="10"/>
      <c r="I122" s="10"/>
      <c r="J122" s="2">
        <v>31</v>
      </c>
      <c r="K122" s="10">
        <v>43</v>
      </c>
      <c r="L122" s="10">
        <v>51</v>
      </c>
      <c r="M122" s="10"/>
      <c r="N122" s="93"/>
      <c r="O122" s="13"/>
      <c r="P122" s="10">
        <v>100</v>
      </c>
      <c r="Q122" s="10"/>
      <c r="R122" s="2"/>
      <c r="S122" s="10"/>
      <c r="T122" s="13"/>
      <c r="U122" s="1">
        <f t="array" ref="U122">IF(AND(A122&lt;&gt;"",OR(ISNUMBER(B122:I122))),SUM(B122:I122),"")</f>
        <v>69</v>
      </c>
      <c r="V122" s="10">
        <f t="array" ref="V122">IF(AND(A122&lt;&gt;"",OR(ISNUMBER(J122:O122))),SUM(J122:O122),"")</f>
        <v>125</v>
      </c>
      <c r="W122" s="10">
        <f t="array" ref="W122">IF(AND(A122&lt;&gt;"",OR(ISNUMBER(P122),ISNUMBER(Q122))),SUM(MAX(P122:Q122),Q122),"")</f>
        <v>100</v>
      </c>
      <c r="X122" s="10" t="str">
        <f t="array" ref="X122">IF(AND(A122&lt;&gt;"",OR(ISNUMBER(S122),ISNUMBER(T122))),SUM(S122,T122),"")</f>
        <v/>
      </c>
      <c r="Y122" s="13">
        <v>1</v>
      </c>
      <c r="Z122" s="13">
        <f>IF(A122&lt;&gt;"",SUM(U122:Y122),"")</f>
        <v>295</v>
      </c>
      <c r="AA122" s="27">
        <f>IF(A122&lt;&gt;"",(Z122+Normalize_To_Add)/(Point_Total_So_Far)*100,"")</f>
        <v>96.721311475409834</v>
      </c>
      <c r="AB122" s="10">
        <f>IF(A122&lt;&gt;"",RANK(AA122,All_Student_XC),"")</f>
        <v>243</v>
      </c>
      <c r="AC122" s="32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/>
      </c>
      <c r="AE122" s="32">
        <f>IF(A122&lt;&gt;"",SUM(W122:X122,$W$8:$X$8)/SUM($W$2:$X$2)*100,"")</f>
        <v>100</v>
      </c>
      <c r="AF122" s="32" t="str">
        <f>IF(A122&lt;&gt;"",CHOOSE(10-MIN(9,TRUNC((AE122+0.5)/10)),"A","B","C","D","F","F","F","F","F","F"),"")</f>
        <v>A</v>
      </c>
      <c r="AG122" s="32" t="str">
        <f>IF(A122&lt;&gt;"",IF(OR(AE122+0.5&gt;=93,AE122+0.5&lt;60),"",IF(MOD(AE122+0.5,10)&gt;=7,"+",IF(MOD(AE122+0.5,10)&lt;3,"-",""))),"")</f>
        <v/>
      </c>
      <c r="AH122" s="36">
        <f>IF(A122&lt;&gt;"",MIN(MAX(AA122,AE122),AA122+$AH$8,AE122+$AH$8),"")</f>
        <v>100</v>
      </c>
      <c r="AI122" s="32" t="str">
        <f>IF(A122&lt;&gt;"",CHOOSE(10-MIN(9,TRUNC((AH122+0.5)/10)),"A","B","C","D","F","F","F","F","F","F"),"")</f>
        <v>A</v>
      </c>
      <c r="AJ122" s="32" t="str">
        <f>IF(A122&lt;&gt;"",IF(OR(AH122+0.5&gt;=93,AH122+0.5&lt;60),"",IF(MOD(AH122+0.5,10)&gt;=7,"+",IF(MOD(AH122+0.5,10)&lt;3,"-",""))),"")</f>
        <v/>
      </c>
      <c r="AK122" s="71" t="b">
        <f>IF(A122&lt;&gt;"",OR(AI122&lt;&gt;AC122,AJ122&lt;&gt;AD122),"")</f>
        <v>0</v>
      </c>
      <c r="AL122" s="86">
        <f>IF(AND(A122&lt;&gt;"",U122&lt;&gt;""),SUM(U122,$AL$8)/$AL$2*100,"")</f>
        <v>92</v>
      </c>
      <c r="AM122" s="71">
        <f>IF(AND(A122&lt;&gt;"",V122&lt;&gt;""),SUM(V122,$AM$8)/$AM$2*100,"")</f>
        <v>96.15384615384616</v>
      </c>
      <c r="AN122" s="71">
        <f>IF(AND(A122&lt;&gt;"",ISNUMBER(P122),P122&gt;=0),SUM(P122,$AN$8)/$AN$2*100,"")</f>
        <v>100</v>
      </c>
      <c r="AO122" s="71" t="str">
        <f>IF(AND(A122&lt;&gt;"",ISNUMBER(Q122),Q122&gt;=0),SUM(Q122,$AO$8)/$AO$2*100,"")</f>
        <v/>
      </c>
      <c r="AP122" s="24" t="str">
        <f>IF(AND(A122&lt;&gt;"",R122&lt;&gt;""),SUM(R122,$AP$8)/$AP$2*100,"")</f>
        <v/>
      </c>
      <c r="AQ122" s="24">
        <f>IF(AND(A122&lt;&gt;"",ISNUMBER(W122),W122&gt;=0),SUM(W122,$AQ$8)/$AQ$2*100,"")</f>
        <v>100</v>
      </c>
      <c r="AR122" s="24" t="str">
        <f>IF(AND(A122&lt;&gt;"",T122&gt;0,ISNUMBER(T122)),SUM(T122,$AR$8)/$AR$2*100,"")</f>
        <v/>
      </c>
      <c r="AS122" s="24" t="str">
        <f>IF(AND(A122&lt;&gt;"",X122&lt;&gt;""),SUM(X122,$AS$8)/$AS$2*100,"")</f>
        <v/>
      </c>
      <c r="AT122" s="89">
        <f>IF(AND(A122&lt;&gt;"",OR(ISNUMBER(W122),ISNUMBER(X122))),SUM(W122:X122,$AT$8)/$AT$2*100,"")</f>
        <v>100</v>
      </c>
      <c r="AU122" s="24">
        <f>AA122</f>
        <v>96.721311475409834</v>
      </c>
      <c r="AV122" s="71"/>
      <c r="AW122" s="27">
        <f>IF(A122&lt;&gt;"",AE122-AA122,"")</f>
        <v>3.2786885245901658</v>
      </c>
      <c r="AY122" s="27" t="b">
        <f>S122&gt;R122</f>
        <v>0</v>
      </c>
      <c r="BA122" s="27" t="e">
        <f>AND(AA122&gt;$BA$3,(W122+$W$8)/$W$2&lt;$BB$3,(X122+$X$8)/$X$2&lt;$BB$3)</f>
        <v>#VALUE!</v>
      </c>
      <c r="BB122" s="27" t="e">
        <f>AND(AA122&lt;$BA$3,AND(W122/$W$2&gt;$BB$3,X122/$X$2&gt;$BB$3))</f>
        <v>#VALUE!</v>
      </c>
      <c r="BC122" s="27" t="e">
        <f>AND(AA122&lt;$BA$3,OR(W122/$W$2&gt;$BB$3,X122/$X$2&gt;$BB$3))</f>
        <v>#VALUE!</v>
      </c>
      <c r="BE122" s="32" t="s">
        <v>85</v>
      </c>
    </row>
    <row r="123" spans="1:57" s="27" customFormat="1" ht="12.75" customHeight="1" x14ac:dyDescent="0.2">
      <c r="A123" s="10">
        <v>211719</v>
      </c>
      <c r="B123" s="2">
        <v>25</v>
      </c>
      <c r="C123" s="10">
        <v>22</v>
      </c>
      <c r="D123" s="10">
        <v>25</v>
      </c>
      <c r="E123" s="10"/>
      <c r="F123" s="10"/>
      <c r="G123" s="10"/>
      <c r="H123" s="10"/>
      <c r="I123" s="10"/>
      <c r="J123" s="2">
        <v>31</v>
      </c>
      <c r="K123" s="10">
        <v>51</v>
      </c>
      <c r="L123" s="10">
        <v>52</v>
      </c>
      <c r="M123" s="10"/>
      <c r="N123" s="93"/>
      <c r="O123" s="13"/>
      <c r="P123" s="10">
        <v>100</v>
      </c>
      <c r="Q123" s="10"/>
      <c r="R123" s="2"/>
      <c r="S123" s="10"/>
      <c r="T123" s="13"/>
      <c r="U123" s="1">
        <f t="array" ref="U123">IF(AND(A123&lt;&gt;"",OR(ISNUMBER(B123:I123))),SUM(B123:I123),"")</f>
        <v>72</v>
      </c>
      <c r="V123" s="10">
        <f t="array" ref="V123">IF(AND(A123&lt;&gt;"",OR(ISNUMBER(J123:O123))),SUM(J123:O123),"")</f>
        <v>134</v>
      </c>
      <c r="W123" s="10">
        <f t="array" ref="W123">IF(AND(A123&lt;&gt;"",OR(ISNUMBER(P123),ISNUMBER(Q123))),SUM(MAX(P123:Q123),Q123),"")</f>
        <v>100</v>
      </c>
      <c r="X123" s="10" t="str">
        <f t="array" ref="X123">IF(AND(A123&lt;&gt;"",OR(ISNUMBER(S123),ISNUMBER(T123))),SUM(S123,T123),"")</f>
        <v/>
      </c>
      <c r="Y123" s="13">
        <v>1</v>
      </c>
      <c r="Z123" s="13">
        <f>IF(A123&lt;&gt;"",SUM(U123:Y123),"")</f>
        <v>307</v>
      </c>
      <c r="AA123" s="27">
        <f>IF(A123&lt;&gt;"",(Z123+Normalize_To_Add)/(Point_Total_So_Far)*100,"")</f>
        <v>100.65573770491802</v>
      </c>
      <c r="AB123" s="10">
        <f>IF(A123&lt;&gt;"",RANK(AA123,All_Student_XC),"")</f>
        <v>72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/>
      </c>
      <c r="AE123" s="32">
        <f>IF(A123&lt;&gt;"",SUM(W123:X123,$W$8:$X$8)/SUM($W$2:$X$2)*100,"")</f>
        <v>100</v>
      </c>
      <c r="AF123" s="32" t="str">
        <f>IF(A123&lt;&gt;"",CHOOSE(10-MIN(9,TRUNC((AE123+0.5)/10)),"A","B","C","D","F","F","F","F","F","F"),"")</f>
        <v>A</v>
      </c>
      <c r="AG123" s="32" t="str">
        <f>IF(A123&lt;&gt;"",IF(OR(AE123+0.5&gt;=93,AE123+0.5&lt;60),"",IF(MOD(AE123+0.5,10)&gt;=7,"+",IF(MOD(AE123+0.5,10)&lt;3,"-",""))),"")</f>
        <v/>
      </c>
      <c r="AH123" s="36">
        <f>IF(A123&lt;&gt;"",MIN(MAX(AA123,AE123),AA123+$AH$8,AE123+$AH$8),"")</f>
        <v>100.65573770491802</v>
      </c>
      <c r="AI123" s="32" t="str">
        <f>IF(A123&lt;&gt;"",CHOOSE(10-MIN(9,TRUNC((AH123+0.5)/10)),"A","B","C","D","F","F","F","F","F","F"),"")</f>
        <v>A</v>
      </c>
      <c r="AJ123" s="32" t="str">
        <f>IF(A123&lt;&gt;"",IF(OR(AH123+0.5&gt;=93,AH123+0.5&lt;60),"",IF(MOD(AH123+0.5,10)&gt;=7,"+",IF(MOD(AH123+0.5,10)&lt;3,"-",""))),"")</f>
        <v/>
      </c>
      <c r="AK123" s="71" t="b">
        <f>IF(A123&lt;&gt;"",OR(AI123&lt;&gt;AC123,AJ123&lt;&gt;AD123),"")</f>
        <v>0</v>
      </c>
      <c r="AL123" s="86">
        <f>IF(AND(A123&lt;&gt;"",U123&lt;&gt;""),SUM(U123,$AL$8)/$AL$2*100,"")</f>
        <v>96</v>
      </c>
      <c r="AM123" s="71">
        <f>IF(AND(A123&lt;&gt;"",V123&lt;&gt;""),SUM(V123,$AM$8)/$AM$2*100,"")</f>
        <v>103.07692307692307</v>
      </c>
      <c r="AN123" s="71">
        <f>IF(AND(A123&lt;&gt;"",ISNUMBER(P123),P123&gt;=0),SUM(P123,$AN$8)/$AN$2*100,"")</f>
        <v>100</v>
      </c>
      <c r="AO123" s="71" t="str">
        <f>IF(AND(A123&lt;&gt;"",ISNUMBER(Q123),Q123&gt;=0),SUM(Q123,$AO$8)/$AO$2*100,"")</f>
        <v/>
      </c>
      <c r="AP123" s="24" t="str">
        <f>IF(AND(A123&lt;&gt;"",R123&lt;&gt;""),SUM(R123,$AP$8)/$AP$2*100,"")</f>
        <v/>
      </c>
      <c r="AQ123" s="24">
        <f>IF(AND(A123&lt;&gt;"",ISNUMBER(W123),W123&gt;=0),SUM(W123,$AQ$8)/$AQ$2*100,"")</f>
        <v>100</v>
      </c>
      <c r="AR123" s="24" t="str">
        <f>IF(AND(A123&lt;&gt;"",T123&gt;0,ISNUMBER(T123)),SUM(T123,$AR$8)/$AR$2*100,"")</f>
        <v/>
      </c>
      <c r="AS123" s="24" t="str">
        <f>IF(AND(A123&lt;&gt;"",X123&lt;&gt;""),SUM(X123,$AS$8)/$AS$2*100,"")</f>
        <v/>
      </c>
      <c r="AT123" s="89">
        <f>IF(AND(A123&lt;&gt;"",OR(ISNUMBER(W123),ISNUMBER(X123))),SUM(W123:X123,$AT$8)/$AT$2*100,"")</f>
        <v>100</v>
      </c>
      <c r="AU123" s="24">
        <f>AA123</f>
        <v>100.65573770491802</v>
      </c>
      <c r="AV123" s="71"/>
      <c r="AW123" s="27">
        <f>IF(A123&lt;&gt;"",AE123-AA123,"")</f>
        <v>-0.65573770491802463</v>
      </c>
      <c r="AY123" s="27" t="b">
        <f>S123&gt;R123</f>
        <v>0</v>
      </c>
      <c r="BA123" s="27" t="e">
        <f>AND(AA123&gt;$BA$3,(W123+$W$8)/$W$2&lt;$BB$3,(X123+$X$8)/$X$2&lt;$BB$3)</f>
        <v>#VALUE!</v>
      </c>
      <c r="BB123" s="27" t="e">
        <f>AND(AA123&lt;$BA$3,AND(W123/$W$2&gt;$BB$3,X123/$X$2&gt;$BB$3))</f>
        <v>#VALUE!</v>
      </c>
      <c r="BC123" s="27" t="e">
        <f>AND(AA123&lt;$BA$3,OR(W123/$W$2&gt;$BB$3,X123/$X$2&gt;$BB$3))</f>
        <v>#VALUE!</v>
      </c>
      <c r="BE123" s="32">
        <v>32</v>
      </c>
    </row>
    <row r="124" spans="1:57" s="27" customFormat="1" ht="12.75" customHeight="1" x14ac:dyDescent="0.2">
      <c r="A124" s="10">
        <v>212321</v>
      </c>
      <c r="B124" s="2">
        <v>21</v>
      </c>
      <c r="C124" s="10">
        <v>25</v>
      </c>
      <c r="D124" s="10">
        <v>25</v>
      </c>
      <c r="E124" s="10"/>
      <c r="F124" s="10"/>
      <c r="G124" s="3"/>
      <c r="H124" s="10"/>
      <c r="I124" s="10"/>
      <c r="J124" s="2">
        <v>27</v>
      </c>
      <c r="K124" s="10">
        <v>52</v>
      </c>
      <c r="L124" s="10">
        <v>52</v>
      </c>
      <c r="M124" s="10"/>
      <c r="N124" s="10"/>
      <c r="O124" s="12"/>
      <c r="P124" s="10">
        <v>101</v>
      </c>
      <c r="Q124" s="41"/>
      <c r="R124" s="2"/>
      <c r="S124" s="10"/>
      <c r="T124" s="13"/>
      <c r="U124" s="77">
        <f t="array" ref="U124">IF(AND(A124&lt;&gt;"",OR(ISNUMBER(B124:I124))),SUM(B124:I124),"")</f>
        <v>71</v>
      </c>
      <c r="V124" s="10">
        <f t="array" ref="V124">IF(AND(A124&lt;&gt;"",OR(ISNUMBER(J124:O124))),SUM(J124:O124),"")</f>
        <v>131</v>
      </c>
      <c r="W124" s="10">
        <f t="array" ref="W124">IF(AND(A124&lt;&gt;"",OR(ISNUMBER(P124),ISNUMBER(Q124))),SUM(MAX(P124:Q124),Q124),"")</f>
        <v>101</v>
      </c>
      <c r="X124" s="10" t="str">
        <f t="array" ref="X124">IF(AND(A124&lt;&gt;"",OR(ISNUMBER(S124),ISNUMBER(T124))),SUM(S124,T124),"")</f>
        <v/>
      </c>
      <c r="Y124" s="13">
        <v>1</v>
      </c>
      <c r="Z124" s="13">
        <f>IF(A124&lt;&gt;"",SUM(U124:Y124),"")</f>
        <v>304</v>
      </c>
      <c r="AA124" s="27">
        <f>IF(A124&lt;&gt;"",(Z124+Normalize_To_Add)/(Point_Total_So_Far)*100,"")</f>
        <v>99.672131147540995</v>
      </c>
      <c r="AB124" s="10">
        <f>IF(A124&lt;&gt;"",RANK(AA124,All_Student_XC),"")</f>
        <v>124</v>
      </c>
      <c r="AC124" s="32" t="str">
        <f>IF(A124&lt;&gt;"",CHOOSE(10-MIN(9,TRUNC((AA124+0.5)/10)),"A","B","C","D","F","F","F","F","F","F"),"")</f>
        <v>A</v>
      </c>
      <c r="AD124" s="32" t="str">
        <f>IF(A124&lt;&gt;"",IF(OR(AA124+0.5&gt;=93,AA124+0.5&lt;60),"",IF(MOD(AA124+0.5,10)&gt;=7,"+",IF(MOD(AA124+0.5,10)&lt;3,"-",""))),"")</f>
        <v/>
      </c>
      <c r="AE124" s="32">
        <f>IF(A124&lt;&gt;"",SUM(W124:X124,$W$8:$X$8)/SUM($W$2:$X$2)*100,"")</f>
        <v>101</v>
      </c>
      <c r="AF124" s="32" t="str">
        <f>IF(A124&lt;&gt;"",CHOOSE(10-MIN(9,TRUNC((AE124+0.5)/10)),"A","B","C","D","F","F","F","F","F","F"),"")</f>
        <v>A</v>
      </c>
      <c r="AG124" s="32" t="str">
        <f>IF(A124&lt;&gt;"",IF(OR(AE124+0.5&gt;=93,AE124+0.5&lt;60),"",IF(MOD(AE124+0.5,10)&gt;=7,"+",IF(MOD(AE124+0.5,10)&lt;3,"-",""))),"")</f>
        <v/>
      </c>
      <c r="AH124" s="36">
        <f>IF(A124&lt;&gt;"",MIN(MAX(AA124,AE124),AA124+$AH$8,AE124+$AH$8),"")</f>
        <v>101</v>
      </c>
      <c r="AI124" s="32" t="str">
        <f>IF(A124&lt;&gt;"",CHOOSE(10-MIN(9,TRUNC((AH124+0.5)/10)),"A","B","C","D","F","F","F","F","F","F"),"")</f>
        <v>A</v>
      </c>
      <c r="AJ124" s="32" t="str">
        <f>IF(A124&lt;&gt;"",IF(OR(AH124+0.5&gt;=93,AH124+0.5&lt;60),"",IF(MOD(AH124+0.5,10)&gt;=7,"+",IF(MOD(AH124+0.5,10)&lt;3,"-",""))),"")</f>
        <v/>
      </c>
      <c r="AK124" s="32" t="b">
        <f>IF(A124&lt;&gt;"",OR(AI124&lt;&gt;AC124,AJ124&lt;&gt;AD124),"")</f>
        <v>0</v>
      </c>
      <c r="AL124" s="84">
        <f>IF(AND(A124&lt;&gt;"",U124&lt;&gt;""),SUM(U124,$AL$8)/$AL$2*100,"")</f>
        <v>94.666666666666671</v>
      </c>
      <c r="AM124" s="24">
        <f>IF(AND(A124&lt;&gt;"",V124&lt;&gt;""),SUM(V124,$AM$8)/$AM$2*100,"")</f>
        <v>100.76923076923077</v>
      </c>
      <c r="AN124" s="24">
        <f>IF(AND(A124&lt;&gt;"",ISNUMBER(P124),P124&gt;=0),SUM(P124,$AN$8)/$AN$2*100,"")</f>
        <v>101</v>
      </c>
      <c r="AO124" s="24" t="str">
        <f>IF(AND(A124&lt;&gt;"",ISNUMBER(Q124),Q124&gt;=0),SUM(Q124,$AO$8)/$AO$2*100,"")</f>
        <v/>
      </c>
      <c r="AP124" s="24" t="str">
        <f>IF(AND(A124&lt;&gt;"",R124&lt;&gt;""),SUM(R124,$AP$8)/$AP$2*100,"")</f>
        <v/>
      </c>
      <c r="AQ124" s="24">
        <f>IF(AND(A124&lt;&gt;"",ISNUMBER(W124),W124&gt;=0),SUM(W124,$AQ$8)/$AQ$2*100,"")</f>
        <v>101</v>
      </c>
      <c r="AR124" s="24" t="str">
        <f>IF(AND(A124&lt;&gt;"",T124&gt;0,ISNUMBER(T124)),SUM(T124,$AR$8)/$AR$2*100,"")</f>
        <v/>
      </c>
      <c r="AS124" s="24" t="str">
        <f>IF(AND(A124&lt;&gt;"",X124&lt;&gt;""),SUM(X124,$AS$8)/$AS$2*100,"")</f>
        <v/>
      </c>
      <c r="AT124" s="89">
        <f>IF(AND(A124&lt;&gt;"",OR(ISNUMBER(W124),ISNUMBER(X124))),SUM(W124:X124,$AT$8)/$AT$2*100,"")</f>
        <v>101</v>
      </c>
      <c r="AU124" s="24">
        <f>AA124</f>
        <v>99.672131147540995</v>
      </c>
      <c r="AV124" s="24"/>
      <c r="AW124" s="27">
        <f>IF(A124&lt;&gt;"",AE124-AA124,"")</f>
        <v>1.3278688524590052</v>
      </c>
      <c r="AY124" s="27" t="b">
        <f>S124&gt;R124</f>
        <v>0</v>
      </c>
      <c r="BA124" s="27" t="e">
        <f>AND(AA124&gt;$BA$3,(W124+$W$8)/$W$2&lt;$BB$3,(X124+$X$8)/$X$2&lt;$BB$3)</f>
        <v>#VALUE!</v>
      </c>
      <c r="BB124" s="27" t="e">
        <f>AND(AA124&lt;$BA$3,AND(W124/$W$2&gt;$BB$3,X124/$X$2&gt;$BB$3))</f>
        <v>#VALUE!</v>
      </c>
      <c r="BC124" s="27" t="e">
        <f>AND(AA124&lt;$BA$3,OR(W124/$W$2&gt;$BB$3,X124/$X$2&gt;$BB$3))</f>
        <v>#VALUE!</v>
      </c>
      <c r="BE124" s="32" t="s">
        <v>84</v>
      </c>
    </row>
    <row r="125" spans="1:57" s="27" customFormat="1" ht="12.75" customHeight="1" x14ac:dyDescent="0.2">
      <c r="A125" s="10">
        <v>214907</v>
      </c>
      <c r="B125" s="2">
        <v>25</v>
      </c>
      <c r="C125" s="10">
        <v>25</v>
      </c>
      <c r="D125" s="10">
        <v>25</v>
      </c>
      <c r="E125" s="10"/>
      <c r="F125" s="10"/>
      <c r="G125" s="10"/>
      <c r="H125" s="10"/>
      <c r="I125" s="10"/>
      <c r="J125" s="2">
        <v>30</v>
      </c>
      <c r="K125" s="10">
        <v>52</v>
      </c>
      <c r="L125" s="10">
        <v>52</v>
      </c>
      <c r="M125" s="10"/>
      <c r="N125" s="93"/>
      <c r="O125" s="13"/>
      <c r="P125" s="10">
        <v>101</v>
      </c>
      <c r="Q125" s="10"/>
      <c r="R125" s="2"/>
      <c r="S125" s="10"/>
      <c r="T125" s="13"/>
      <c r="U125" s="1">
        <f t="array" ref="U125">IF(AND(A125&lt;&gt;"",OR(ISNUMBER(B125:I125))),SUM(B125:I125),"")</f>
        <v>75</v>
      </c>
      <c r="V125" s="10">
        <f t="array" ref="V125">IF(AND(A125&lt;&gt;"",OR(ISNUMBER(J125:O125))),SUM(J125:O125),"")</f>
        <v>134</v>
      </c>
      <c r="W125" s="10">
        <f t="array" ref="W125">IF(AND(A125&lt;&gt;"",OR(ISNUMBER(P125),ISNUMBER(Q125))),SUM(MAX(P125:Q125),Q125),"")</f>
        <v>101</v>
      </c>
      <c r="X125" s="10" t="str">
        <f t="array" ref="X125">IF(AND(A125&lt;&gt;"",OR(ISNUMBER(S125),ISNUMBER(T125))),SUM(S125,T125),"")</f>
        <v/>
      </c>
      <c r="Y125" s="13">
        <v>1</v>
      </c>
      <c r="Z125" s="13">
        <f>IF(A125&lt;&gt;"",SUM(U125:Y125),"")</f>
        <v>311</v>
      </c>
      <c r="AA125" s="27">
        <f>IF(A125&lt;&gt;"",(Z125+Normalize_To_Add)/(Point_Total_So_Far)*100,"")</f>
        <v>101.9672131147541</v>
      </c>
      <c r="AB125" s="10">
        <f>IF(A125&lt;&gt;"",RANK(AA125,All_Student_XC),"")</f>
        <v>7</v>
      </c>
      <c r="AC125" s="32" t="str">
        <f>IF(A125&lt;&gt;"",CHOOSE(10-MIN(9,TRUNC((AA125+0.5)/10)),"A","B","C","D","F","F","F","F","F","F"),"")</f>
        <v>A</v>
      </c>
      <c r="AD125" s="31" t="str">
        <f>IF(A125&lt;&gt;"",IF(OR(AA125+0.5&gt;=93,AA125+0.5&lt;60),"",IF(MOD(AA125+0.5,10)&gt;=7,"+",IF(MOD(AA125+0.5,10)&lt;3,"-",""))),"")</f>
        <v/>
      </c>
      <c r="AE125" s="32">
        <f>IF(A125&lt;&gt;"",SUM(W125:X125,$W$8:$X$8)/SUM($W$2:$X$2)*100,"")</f>
        <v>101</v>
      </c>
      <c r="AF125" s="32" t="str">
        <f>IF(A125&lt;&gt;"",CHOOSE(10-MIN(9,TRUNC((AE125+0.5)/10)),"A","B","C","D","F","F","F","F","F","F"),"")</f>
        <v>A</v>
      </c>
      <c r="AG125" s="32" t="str">
        <f>IF(A125&lt;&gt;"",IF(OR(AE125+0.5&gt;=93,AE125+0.5&lt;60),"",IF(MOD(AE125+0.5,10)&gt;=7,"+",IF(MOD(AE125+0.5,10)&lt;3,"-",""))),"")</f>
        <v/>
      </c>
      <c r="AH125" s="36">
        <f>IF(A125&lt;&gt;"",MIN(MAX(AA125,AE125),AA125+$AH$8,AE125+$AH$8),"")</f>
        <v>101.9672131147541</v>
      </c>
      <c r="AI125" s="32" t="str">
        <f>IF(A125&lt;&gt;"",CHOOSE(10-MIN(9,TRUNC((AH125+0.5)/10)),"A","B","C","D","F","F","F","F","F","F"),"")</f>
        <v>A</v>
      </c>
      <c r="AJ125" s="32" t="str">
        <f>IF(A125&lt;&gt;"",IF(OR(AH125+0.5&gt;=93,AH125+0.5&lt;60),"",IF(MOD(AH125+0.5,10)&gt;=7,"+",IF(MOD(AH125+0.5,10)&lt;3,"-",""))),"")</f>
        <v/>
      </c>
      <c r="AK125" s="71" t="b">
        <f>IF(A125&lt;&gt;"",OR(AI125&lt;&gt;AC125,AJ125&lt;&gt;AD125),"")</f>
        <v>0</v>
      </c>
      <c r="AL125" s="86">
        <f>IF(AND(A125&lt;&gt;"",U125&lt;&gt;""),SUM(U125,$AL$8)/$AL$2*100,"")</f>
        <v>100</v>
      </c>
      <c r="AM125" s="71">
        <f>IF(AND(A125&lt;&gt;"",V125&lt;&gt;""),SUM(V125,$AM$8)/$AM$2*100,"")</f>
        <v>103.07692307692307</v>
      </c>
      <c r="AN125" s="71">
        <f>IF(AND(A125&lt;&gt;"",ISNUMBER(P125),P125&gt;=0),SUM(P125,$AN$8)/$AN$2*100,"")</f>
        <v>101</v>
      </c>
      <c r="AO125" s="71" t="str">
        <f>IF(AND(A125&lt;&gt;"",ISNUMBER(Q125),Q125&gt;=0),SUM(Q125,$AO$8)/$AO$2*100,"")</f>
        <v/>
      </c>
      <c r="AP125" s="24" t="str">
        <f>IF(AND(A125&lt;&gt;"",R125&lt;&gt;""),SUM(R125,$AP$8)/$AP$2*100,"")</f>
        <v/>
      </c>
      <c r="AQ125" s="24">
        <f>IF(AND(A125&lt;&gt;"",ISNUMBER(W125),W125&gt;=0),SUM(W125,$AQ$8)/$AQ$2*100,"")</f>
        <v>101</v>
      </c>
      <c r="AR125" s="24" t="str">
        <f>IF(AND(A125&lt;&gt;"",T125&gt;0,ISNUMBER(T125)),SUM(T125,$AR$8)/$AR$2*100,"")</f>
        <v/>
      </c>
      <c r="AS125" s="24" t="str">
        <f>IF(AND(A125&lt;&gt;"",X125&lt;&gt;""),SUM(X125,$AS$8)/$AS$2*100,"")</f>
        <v/>
      </c>
      <c r="AT125" s="89">
        <f>IF(AND(A125&lt;&gt;"",OR(ISNUMBER(W125),ISNUMBER(X125))),SUM(W125:X125,$AT$8)/$AT$2*100,"")</f>
        <v>101</v>
      </c>
      <c r="AU125" s="24">
        <f>AA125</f>
        <v>101.9672131147541</v>
      </c>
      <c r="AV125" s="71"/>
      <c r="AW125" s="27">
        <f>IF(A125&lt;&gt;"",AE125-AA125,"")</f>
        <v>-0.96721311475410232</v>
      </c>
      <c r="AY125" s="27" t="b">
        <f>S125&gt;R125</f>
        <v>0</v>
      </c>
      <c r="BA125" s="27" t="e">
        <f>AND(AA125&gt;$BA$3,(W125+$W$8)/$W$2&lt;$BB$3,(X125+$X$8)/$X$2&lt;$BB$3)</f>
        <v>#VALUE!</v>
      </c>
      <c r="BB125" s="27" t="e">
        <f>AND(AA125&lt;$BA$3,AND(W125/$W$2&gt;$BB$3,X125/$X$2&gt;$BB$3))</f>
        <v>#VALUE!</v>
      </c>
      <c r="BC125" s="27" t="e">
        <f>AND(AA125&lt;$BA$3,OR(W125/$W$2&gt;$BB$3,X125/$X$2&gt;$BB$3))</f>
        <v>#VALUE!</v>
      </c>
      <c r="BE125" s="32" t="s">
        <v>84</v>
      </c>
    </row>
    <row r="126" spans="1:57" s="27" customFormat="1" ht="12.75" customHeight="1" x14ac:dyDescent="0.2">
      <c r="A126" s="10">
        <v>220642</v>
      </c>
      <c r="B126" s="2">
        <v>23</v>
      </c>
      <c r="C126" s="10">
        <v>20</v>
      </c>
      <c r="D126" s="10">
        <v>22</v>
      </c>
      <c r="E126" s="10"/>
      <c r="F126" s="10"/>
      <c r="G126" s="3"/>
      <c r="H126" s="10"/>
      <c r="I126" s="10"/>
      <c r="J126" s="2">
        <v>31</v>
      </c>
      <c r="K126" s="10">
        <v>46</v>
      </c>
      <c r="L126" s="10">
        <v>50</v>
      </c>
      <c r="M126" s="10"/>
      <c r="N126" s="93"/>
      <c r="O126" s="12"/>
      <c r="P126" s="10">
        <v>18</v>
      </c>
      <c r="Q126" s="41"/>
      <c r="R126" s="2"/>
      <c r="S126" s="10"/>
      <c r="T126" s="13"/>
      <c r="U126" s="1">
        <f t="array" ref="U126">IF(AND(A126&lt;&gt;"",OR(ISNUMBER(B126:I126))),SUM(B126:I126),"")</f>
        <v>65</v>
      </c>
      <c r="V126" s="10">
        <f t="array" ref="V126">IF(AND(A126&lt;&gt;"",OR(ISNUMBER(J126:O126))),SUM(J126:O126),"")</f>
        <v>127</v>
      </c>
      <c r="W126" s="10">
        <f t="array" ref="W126">IF(AND(A126&lt;&gt;"",OR(ISNUMBER(P126),ISNUMBER(Q126))),SUM(MAX(P126:Q126),Q126),"")</f>
        <v>18</v>
      </c>
      <c r="X126" s="10" t="str">
        <f t="array" ref="X126">IF(AND(A126&lt;&gt;"",OR(ISNUMBER(S126),ISNUMBER(T126))),SUM(S126,T126),"")</f>
        <v/>
      </c>
      <c r="Y126" s="13">
        <v>1</v>
      </c>
      <c r="Z126" s="13">
        <f>IF(A126&lt;&gt;"",SUM(U126:Y126),"")</f>
        <v>211</v>
      </c>
      <c r="AA126" s="27">
        <f>IF(A126&lt;&gt;"",(Z126+Normalize_To_Add)/(Point_Total_So_Far)*100,"")</f>
        <v>69.180327868852459</v>
      </c>
      <c r="AB126" s="10">
        <f>IF(A126&lt;&gt;"",RANK(AA126,All_Student_XC),"")</f>
        <v>460</v>
      </c>
      <c r="AC126" s="32" t="str">
        <f>IF(A126&lt;&gt;"",CHOOSE(10-MIN(9,TRUNC((AA126+0.5)/10)),"A","B","C","D","F","F","F","F","F","F"),"")</f>
        <v>D</v>
      </c>
      <c r="AD126" s="32" t="str">
        <f>IF(A126&lt;&gt;"",IF(OR(AA126+0.5&gt;=93,AA126+0.5&lt;60),"",IF(MOD(AA126+0.5,10)&gt;=7,"+",IF(MOD(AA126+0.5,10)&lt;3,"-",""))),"")</f>
        <v>+</v>
      </c>
      <c r="AE126" s="32">
        <f>IF(A126&lt;&gt;"",SUM(W126:X126,$W$8:$X$8)/SUM($W$2:$X$2)*100,"")</f>
        <v>18</v>
      </c>
      <c r="AF126" s="32" t="str">
        <f>IF(A126&lt;&gt;"",CHOOSE(10-MIN(9,TRUNC((AE126+0.5)/10)),"A","B","C","D","F","F","F","F","F","F"),"")</f>
        <v>F</v>
      </c>
      <c r="AG126" s="32" t="str">
        <f>IF(A126&lt;&gt;"",IF(OR(AE126+0.5&gt;=93,AE126+0.5&lt;60),"",IF(MOD(AE126+0.5,10)&gt;=7,"+",IF(MOD(AE126+0.5,10)&lt;3,"-",""))),"")</f>
        <v/>
      </c>
      <c r="AH126" s="36">
        <f>IF(A126&lt;&gt;"",MIN(MAX(AA126,AE126),AA126+$AH$8,AE126+$AH$8),"")</f>
        <v>69.180327868852459</v>
      </c>
      <c r="AI126" s="32" t="str">
        <f>IF(A126&lt;&gt;"",CHOOSE(10-MIN(9,TRUNC((AH126+0.5)/10)),"A","B","C","D","F","F","F","F","F","F"),"")</f>
        <v>D</v>
      </c>
      <c r="AJ126" s="32" t="str">
        <f>IF(A126&lt;&gt;"",IF(OR(AH126+0.5&gt;=93,AH126+0.5&lt;60),"",IF(MOD(AH126+0.5,10)&gt;=7,"+",IF(MOD(AH126+0.5,10)&lt;3,"-",""))),"")</f>
        <v>+</v>
      </c>
      <c r="AK126" s="32" t="b">
        <f>IF(A126&lt;&gt;"",OR(AI126&lt;&gt;AC126,AJ126&lt;&gt;AD126),"")</f>
        <v>0</v>
      </c>
      <c r="AL126" s="84">
        <f>IF(AND(A126&lt;&gt;"",U126&lt;&gt;""),SUM(U126,$AL$8)/$AL$2*100,"")</f>
        <v>86.666666666666671</v>
      </c>
      <c r="AM126" s="24">
        <f>IF(AND(A126&lt;&gt;"",V126&lt;&gt;""),SUM(V126,$AM$8)/$AM$2*100,"")</f>
        <v>97.692307692307693</v>
      </c>
      <c r="AN126" s="24">
        <f>IF(AND(A126&lt;&gt;"",ISNUMBER(P126),P126&gt;=0),SUM(P126,$AN$8)/$AN$2*100,"")</f>
        <v>18</v>
      </c>
      <c r="AO126" s="24" t="str">
        <f>IF(AND(A126&lt;&gt;"",ISNUMBER(Q126),Q126&gt;=0),SUM(Q126,$AO$8)/$AO$2*100,"")</f>
        <v/>
      </c>
      <c r="AP126" s="24" t="str">
        <f>IF(AND(A126&lt;&gt;"",R126&lt;&gt;""),SUM(R126,$AP$8)/$AP$2*100,"")</f>
        <v/>
      </c>
      <c r="AQ126" s="24">
        <f>IF(AND(A126&lt;&gt;"",ISNUMBER(W126),W126&gt;=0),SUM(W126,$AQ$8)/$AQ$2*100,"")</f>
        <v>18</v>
      </c>
      <c r="AR126" s="24" t="str">
        <f>IF(AND(A126&lt;&gt;"",T126&gt;0,ISNUMBER(T126)),SUM(T126,$AR$8)/$AR$2*100,"")</f>
        <v/>
      </c>
      <c r="AS126" s="24" t="str">
        <f>IF(AND(A126&lt;&gt;"",X126&lt;&gt;""),SUM(X126,$AS$8)/$AS$2*100,"")</f>
        <v/>
      </c>
      <c r="AT126" s="89">
        <f>IF(AND(A126&lt;&gt;"",OR(ISNUMBER(W126),ISNUMBER(X126))),SUM(W126:X126,$AT$8)/$AT$2*100,"")</f>
        <v>18</v>
      </c>
      <c r="AU126" s="24">
        <f>AA126</f>
        <v>69.180327868852459</v>
      </c>
      <c r="AV126" s="24"/>
      <c r="AW126" s="27">
        <f>IF(A126&lt;&gt;"",AE126-AA126,"")</f>
        <v>-51.180327868852459</v>
      </c>
      <c r="AY126" s="27" t="b">
        <f>S126&gt;R126</f>
        <v>0</v>
      </c>
      <c r="BA126" s="27" t="e">
        <f>AND(AA126&gt;$BA$3,(W126+$W$8)/$W$2&lt;$BB$3,(X126+$X$8)/$X$2&lt;$BB$3)</f>
        <v>#VALUE!</v>
      </c>
      <c r="BB126" s="27" t="e">
        <f>AND(AA126&lt;$BA$3,AND(W126/$W$2&gt;$BB$3,X126/$X$2&gt;$BB$3))</f>
        <v>#VALUE!</v>
      </c>
      <c r="BC126" s="27" t="e">
        <f>AND(AA126&lt;$BA$3,OR(W126/$W$2&gt;$BB$3,X126/$X$2&gt;$BB$3))</f>
        <v>#VALUE!</v>
      </c>
      <c r="BE126" s="32" t="s">
        <v>85</v>
      </c>
    </row>
    <row r="127" spans="1:57" s="27" customFormat="1" ht="12.75" customHeight="1" x14ac:dyDescent="0.2">
      <c r="A127" s="10">
        <v>230823</v>
      </c>
      <c r="B127" s="2">
        <v>25</v>
      </c>
      <c r="C127" s="10">
        <v>23</v>
      </c>
      <c r="D127" s="10">
        <v>25</v>
      </c>
      <c r="E127" s="10"/>
      <c r="F127" s="10"/>
      <c r="G127" s="3"/>
      <c r="H127" s="10"/>
      <c r="I127" s="10"/>
      <c r="J127" s="2">
        <v>28</v>
      </c>
      <c r="K127" s="10">
        <v>50</v>
      </c>
      <c r="L127" s="10">
        <v>51</v>
      </c>
      <c r="M127" s="10"/>
      <c r="N127" s="93"/>
      <c r="O127" s="12"/>
      <c r="P127" s="10">
        <v>101</v>
      </c>
      <c r="Q127" s="41"/>
      <c r="R127" s="2"/>
      <c r="S127" s="10"/>
      <c r="T127" s="13"/>
      <c r="U127" s="1">
        <f t="array" ref="U127">IF(AND(A127&lt;&gt;"",OR(ISNUMBER(B127:I127))),SUM(B127:I127),"")</f>
        <v>73</v>
      </c>
      <c r="V127" s="10">
        <f t="array" ref="V127">IF(AND(A127&lt;&gt;"",OR(ISNUMBER(J127:O127))),SUM(J127:O127),"")</f>
        <v>129</v>
      </c>
      <c r="W127" s="10">
        <f t="array" ref="W127">IF(AND(A127&lt;&gt;"",OR(ISNUMBER(P127),ISNUMBER(Q127))),SUM(MAX(P127:Q127),Q127),"")</f>
        <v>101</v>
      </c>
      <c r="X127" s="10" t="str">
        <f t="array" ref="X127">IF(AND(A127&lt;&gt;"",OR(ISNUMBER(S127),ISNUMBER(T127))),SUM(S127,T127),"")</f>
        <v/>
      </c>
      <c r="Y127" s="13">
        <v>1</v>
      </c>
      <c r="Z127" s="13">
        <f>IF(A127&lt;&gt;"",SUM(U127:Y127),"")</f>
        <v>304</v>
      </c>
      <c r="AA127" s="27">
        <f>IF(A127&lt;&gt;"",(Z127+Normalize_To_Add)/(Point_Total_So_Far)*100,"")</f>
        <v>99.672131147540995</v>
      </c>
      <c r="AB127" s="10">
        <f>IF(A127&lt;&gt;"",RANK(AA127,All_Student_XC),"")</f>
        <v>124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>
        <f>IF(A127&lt;&gt;"",SUM(W127:X127,$W$8:$X$8)/SUM($W$2:$X$2)*100,"")</f>
        <v>101</v>
      </c>
      <c r="AF127" s="44" t="str">
        <f>IF(A127&lt;&gt;"",CHOOSE(10-MIN(9,TRUNC((AE127+0.5)/10)),"A","B","C","D","F","F","F","F","F","F"),"")</f>
        <v>A</v>
      </c>
      <c r="AG127" s="44" t="str">
        <f>IF(A127&lt;&gt;"",IF(OR(AE127+0.5&gt;=93,AE127+0.5&lt;60),"",IF(MOD(AE127+0.5,10)&gt;=7,"+",IF(MOD(AE127+0.5,10)&lt;3,"-",""))),"")</f>
        <v/>
      </c>
      <c r="AH127" s="36">
        <f>IF(A127&lt;&gt;"",MIN(MAX(AA127,AE127),AA127+$AH$8,AE127+$AH$8),"")</f>
        <v>101</v>
      </c>
      <c r="AI127" s="32" t="str">
        <f>IF(A127&lt;&gt;"",CHOOSE(10-MIN(9,TRUNC((AH127+0.5)/10)),"A","B","C","D","F","F","F","F","F","F"),"")</f>
        <v>A</v>
      </c>
      <c r="AJ127" s="32" t="str">
        <f>IF(A127&lt;&gt;"",IF(OR(AH127+0.5&gt;=93,AH127+0.5&lt;60),"",IF(MOD(AH127+0.5,10)&gt;=7,"+",IF(MOD(AH127+0.5,10)&lt;3,"-",""))),"")</f>
        <v/>
      </c>
      <c r="AK127" s="32" t="b">
        <f>IF(A127&lt;&gt;"",OR(AI127&lt;&gt;AC127,AJ127&lt;&gt;AD127),"")</f>
        <v>0</v>
      </c>
      <c r="AL127" s="84">
        <f>IF(AND(A127&lt;&gt;"",U127&lt;&gt;""),SUM(U127,$AL$8)/$AL$2*100,"")</f>
        <v>97.333333333333343</v>
      </c>
      <c r="AM127" s="24">
        <f>IF(AND(A127&lt;&gt;"",V127&lt;&gt;""),SUM(V127,$AM$8)/$AM$2*100,"")</f>
        <v>99.230769230769226</v>
      </c>
      <c r="AN127" s="24">
        <f>IF(AND(A127&lt;&gt;"",ISNUMBER(P127),P127&gt;=0),SUM(P127,$AN$8)/$AN$2*100,"")</f>
        <v>101</v>
      </c>
      <c r="AO127" s="24" t="str">
        <f>IF(AND(A127&lt;&gt;"",ISNUMBER(Q127),Q127&gt;=0),SUM(Q127,$AO$8)/$AO$2*100,"")</f>
        <v/>
      </c>
      <c r="AP127" s="24" t="str">
        <f>IF(AND(A127&lt;&gt;"",R127&lt;&gt;""),SUM(R127,$AP$8)/$AP$2*100,"")</f>
        <v/>
      </c>
      <c r="AQ127" s="24">
        <f>IF(AND(A127&lt;&gt;"",ISNUMBER(W127),W127&gt;=0),SUM(W127,$AQ$8)/$AQ$2*100,"")</f>
        <v>101</v>
      </c>
      <c r="AR127" s="24" t="str">
        <f>IF(AND(A127&lt;&gt;"",T127&gt;0,ISNUMBER(T127)),SUM(T127,$AR$8)/$AR$2*100,"")</f>
        <v/>
      </c>
      <c r="AS127" s="24" t="str">
        <f>IF(AND(A127&lt;&gt;"",X127&lt;&gt;""),SUM(X127,$AS$8)/$AS$2*100,"")</f>
        <v/>
      </c>
      <c r="AT127" s="89">
        <f>IF(AND(A127&lt;&gt;"",OR(ISNUMBER(W127),ISNUMBER(X127))),SUM(W127:X127,$AT$8)/$AT$2*100,"")</f>
        <v>101</v>
      </c>
      <c r="AU127" s="24">
        <f>AA127</f>
        <v>99.672131147540995</v>
      </c>
      <c r="AV127" s="24"/>
      <c r="AW127" s="27">
        <f>IF(A127&lt;&gt;"",AE127-AA127,"")</f>
        <v>1.3278688524590052</v>
      </c>
      <c r="AY127" s="27" t="b">
        <f>S127&gt;R127</f>
        <v>0</v>
      </c>
      <c r="BA127" s="27" t="e">
        <f>AND(AA127&gt;$BA$3,(W127+$W$8)/$W$2&lt;$BB$3,(X127+$X$8)/$X$2&lt;$BB$3)</f>
        <v>#VALUE!</v>
      </c>
      <c r="BB127" s="27" t="e">
        <f>AND(AA127&lt;$BA$3,AND(W127/$W$2&gt;$BB$3,X127/$X$2&gt;$BB$3))</f>
        <v>#VALUE!</v>
      </c>
      <c r="BC127" s="27" t="e">
        <f>AND(AA127&lt;$BA$3,OR(W127/$W$2&gt;$BB$3,X127/$X$2&gt;$BB$3))</f>
        <v>#VALUE!</v>
      </c>
      <c r="BE127" s="32" t="s">
        <v>84</v>
      </c>
    </row>
    <row r="128" spans="1:57" s="27" customFormat="1" ht="12.75" customHeight="1" x14ac:dyDescent="0.2">
      <c r="A128" s="56">
        <v>233005</v>
      </c>
      <c r="B128" s="55">
        <v>22</v>
      </c>
      <c r="C128" s="10">
        <v>25</v>
      </c>
      <c r="D128" s="10">
        <v>25</v>
      </c>
      <c r="E128" s="10"/>
      <c r="F128" s="10"/>
      <c r="G128" s="10"/>
      <c r="H128" s="10"/>
      <c r="I128" s="10"/>
      <c r="J128" s="2">
        <v>30</v>
      </c>
      <c r="K128" s="10">
        <v>52</v>
      </c>
      <c r="L128" s="10">
        <v>51</v>
      </c>
      <c r="M128" s="10"/>
      <c r="N128" s="93"/>
      <c r="O128" s="12"/>
      <c r="P128" s="10">
        <v>101</v>
      </c>
      <c r="Q128" s="41"/>
      <c r="R128" s="2"/>
      <c r="S128" s="10"/>
      <c r="T128" s="13"/>
      <c r="U128" s="1">
        <f t="array" ref="U128">IF(AND(A128&lt;&gt;"",OR(ISNUMBER(B128:I128))),SUM(B128:I128),"")</f>
        <v>72</v>
      </c>
      <c r="V128" s="10">
        <f t="array" ref="V128">IF(AND(A128&lt;&gt;"",OR(ISNUMBER(J128:O128))),SUM(J128:O128),"")</f>
        <v>133</v>
      </c>
      <c r="W128" s="10">
        <f t="array" ref="W128">IF(AND(A128&lt;&gt;"",OR(ISNUMBER(P128),ISNUMBER(Q128))),SUM(MAX(P128:Q128),Q128),"")</f>
        <v>101</v>
      </c>
      <c r="X128" s="10" t="str">
        <f t="array" ref="X128">IF(AND(A128&lt;&gt;"",OR(ISNUMBER(S128),ISNUMBER(T128))),SUM(S128,T128),"")</f>
        <v/>
      </c>
      <c r="Y128" s="13">
        <v>1</v>
      </c>
      <c r="Z128" s="13">
        <f>IF(A128&lt;&gt;"",SUM(U128:Y128),"")</f>
        <v>307</v>
      </c>
      <c r="AA128" s="27">
        <f>IF(A128&lt;&gt;"",(Z128+Normalize_To_Add)/(Point_Total_So_Far)*100,"")</f>
        <v>100.65573770491802</v>
      </c>
      <c r="AB128" s="10">
        <f>IF(A128&lt;&gt;"",RANK(AA128,All_Student_XC),"")</f>
        <v>72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>
        <f>IF(A128&lt;&gt;"",SUM(W128:X128,$W$8:$X$8)/SUM($W$2:$X$2)*100,"")</f>
        <v>101</v>
      </c>
      <c r="AF128" s="32" t="str">
        <f>IF(A128&lt;&gt;"",CHOOSE(10-MIN(9,TRUNC((AE128+0.5)/10)),"A","B","C","D","F","F","F","F","F","F"),"")</f>
        <v>A</v>
      </c>
      <c r="AG128" s="32" t="str">
        <f>IF(A128&lt;&gt;"",IF(OR(AE128+0.5&gt;=93,AE128+0.5&lt;60),"",IF(MOD(AE128+0.5,10)&gt;=7,"+",IF(MOD(AE128+0.5,10)&lt;3,"-",""))),"")</f>
        <v/>
      </c>
      <c r="AH128" s="36">
        <f>IF(A128&lt;&gt;"",MIN(MAX(AA128,AE128),AA128+$AH$8,AE128+$AH$8),"")</f>
        <v>101</v>
      </c>
      <c r="AI128" s="32" t="str">
        <f>IF(A128&lt;&gt;"",CHOOSE(10-MIN(9,TRUNC((AH128+0.5)/10)),"A","B","C","D","F","F","F","F","F","F"),"")</f>
        <v>A</v>
      </c>
      <c r="AJ128" s="32" t="str">
        <f>IF(A128&lt;&gt;"",IF(OR(AH128+0.5&gt;=93,AH128+0.5&lt;60),"",IF(MOD(AH128+0.5,10)&gt;=7,"+",IF(MOD(AH128+0.5,10)&lt;3,"-",""))),"")</f>
        <v/>
      </c>
      <c r="AK128" s="32" t="b">
        <f>IF(A128&lt;&gt;"",OR(AI128&lt;&gt;AC128,AJ128&lt;&gt;AD128),"")</f>
        <v>0</v>
      </c>
      <c r="AL128" s="84">
        <f>IF(AND(A128&lt;&gt;"",U128&lt;&gt;""),SUM(U128,$AL$8)/$AL$2*100,"")</f>
        <v>96</v>
      </c>
      <c r="AM128" s="24">
        <f>IF(AND(A128&lt;&gt;"",V128&lt;&gt;""),SUM(V128,$AM$8)/$AM$2*100,"")</f>
        <v>102.30769230769229</v>
      </c>
      <c r="AN128" s="24">
        <f>IF(AND(A128&lt;&gt;"",ISNUMBER(P128),P128&gt;=0),SUM(P128,$AN$8)/$AN$2*100,"")</f>
        <v>101</v>
      </c>
      <c r="AO128" s="24" t="str">
        <f>IF(AND(A128&lt;&gt;"",ISNUMBER(Q128),Q128&gt;=0),SUM(Q128,$AO$8)/$AO$2*100,"")</f>
        <v/>
      </c>
      <c r="AP128" s="24" t="str">
        <f>IF(AND(A128&lt;&gt;"",R128&lt;&gt;""),SUM(R128,$AP$8)/$AP$2*100,"")</f>
        <v/>
      </c>
      <c r="AQ128" s="24">
        <f>IF(AND(A128&lt;&gt;"",ISNUMBER(W128),W128&gt;=0),SUM(W128,$AQ$8)/$AQ$2*100,"")</f>
        <v>101</v>
      </c>
      <c r="AR128" s="24" t="str">
        <f>IF(AND(A128&lt;&gt;"",T128&gt;0,ISNUMBER(T128)),SUM(T128,$AR$8)/$AR$2*100,"")</f>
        <v/>
      </c>
      <c r="AS128" s="24" t="str">
        <f>IF(AND(A128&lt;&gt;"",X128&lt;&gt;""),SUM(X128,$AS$8)/$AS$2*100,"")</f>
        <v/>
      </c>
      <c r="AT128" s="89">
        <f>IF(AND(A128&lt;&gt;"",OR(ISNUMBER(W128),ISNUMBER(X128))),SUM(W128:X128,$AT$8)/$AT$2*100,"")</f>
        <v>101</v>
      </c>
      <c r="AU128" s="24">
        <f>AA128</f>
        <v>100.65573770491802</v>
      </c>
      <c r="AV128" s="24"/>
      <c r="AW128" s="27">
        <f>IF(A128&lt;&gt;"",AE128-AA128,"")</f>
        <v>0.34426229508197537</v>
      </c>
      <c r="AY128" s="27" t="b">
        <f>S128&gt;R128</f>
        <v>0</v>
      </c>
      <c r="BA128" s="27" t="e">
        <f>AND(AA128&gt;$BA$3,(W128+$W$8)/$W$2&lt;$BB$3,(X128+$X$8)/$X$2&lt;$BB$3)</f>
        <v>#VALUE!</v>
      </c>
      <c r="BB128" s="27" t="e">
        <f>AND(AA128&lt;$BA$3,AND(W128/$W$2&gt;$BB$3,X128/$X$2&gt;$BB$3))</f>
        <v>#VALUE!</v>
      </c>
      <c r="BC128" s="27" t="e">
        <f>AND(AA128&lt;$BA$3,OR(W128/$W$2&gt;$BB$3,X128/$X$2&gt;$BB$3))</f>
        <v>#VALUE!</v>
      </c>
      <c r="BE128" s="32">
        <v>32</v>
      </c>
    </row>
    <row r="129" spans="1:58" s="27" customFormat="1" ht="12.75" customHeight="1" x14ac:dyDescent="0.2">
      <c r="A129" s="10">
        <v>236270</v>
      </c>
      <c r="B129" s="2">
        <v>22</v>
      </c>
      <c r="C129" s="10">
        <v>21</v>
      </c>
      <c r="D129" s="10">
        <v>25</v>
      </c>
      <c r="E129" s="10"/>
      <c r="F129" s="10"/>
      <c r="G129" s="10"/>
      <c r="H129" s="10"/>
      <c r="I129" s="10"/>
      <c r="J129" s="2">
        <v>27</v>
      </c>
      <c r="K129" s="10">
        <v>4</v>
      </c>
      <c r="L129" s="10">
        <v>50</v>
      </c>
      <c r="M129" s="10"/>
      <c r="N129" s="93"/>
      <c r="O129" s="13"/>
      <c r="P129" s="10">
        <v>100</v>
      </c>
      <c r="Q129" s="10"/>
      <c r="R129" s="2"/>
      <c r="S129" s="10"/>
      <c r="T129" s="13"/>
      <c r="U129" s="1">
        <f t="array" ref="U129">IF(AND(A129&lt;&gt;"",OR(ISNUMBER(B129:I129))),SUM(B129:I129),"")</f>
        <v>68</v>
      </c>
      <c r="V129" s="10">
        <f t="array" ref="V129">IF(AND(A129&lt;&gt;"",OR(ISNUMBER(J129:O129))),SUM(J129:O129),"")</f>
        <v>81</v>
      </c>
      <c r="W129" s="10">
        <f t="array" ref="W129">IF(AND(A129&lt;&gt;"",OR(ISNUMBER(P129),ISNUMBER(Q129))),SUM(MAX(P129:Q129),Q129),"")</f>
        <v>100</v>
      </c>
      <c r="X129" s="10" t="str">
        <f t="array" ref="X129">IF(AND(A129&lt;&gt;"",OR(ISNUMBER(S129),ISNUMBER(T129))),SUM(S129,T129),"")</f>
        <v/>
      </c>
      <c r="Y129" s="13">
        <v>1</v>
      </c>
      <c r="Z129" s="13">
        <f>IF(A129&lt;&gt;"",SUM(U129:Y129),"")</f>
        <v>250</v>
      </c>
      <c r="AA129" s="27">
        <f>IF(A129&lt;&gt;"",(Z129+Normalize_To_Add)/(Point_Total_So_Far)*100,"")</f>
        <v>81.967213114754102</v>
      </c>
      <c r="AB129" s="10">
        <f>IF(A129&lt;&gt;"",RANK(AA129,All_Student_XC),"")</f>
        <v>400</v>
      </c>
      <c r="AC129" s="32" t="str">
        <f>IF(A129&lt;&gt;"",CHOOSE(10-MIN(9,TRUNC((AA129+0.5)/10)),"A","B","C","D","F","F","F","F","F","F"),"")</f>
        <v>B</v>
      </c>
      <c r="AD129" s="31" t="str">
        <f>IF(A129&lt;&gt;"",IF(OR(AA129+0.5&gt;=93,AA129+0.5&lt;60),"",IF(MOD(AA129+0.5,10)&gt;=7,"+",IF(MOD(AA129+0.5,10)&lt;3,"-",""))),"")</f>
        <v>-</v>
      </c>
      <c r="AE129" s="32">
        <f>IF(A129&lt;&gt;"",SUM(W129:X129,$W$8:$X$8)/SUM($W$2:$X$2)*100,"")</f>
        <v>100</v>
      </c>
      <c r="AF129" s="32" t="str">
        <f>IF(A129&lt;&gt;"",CHOOSE(10-MIN(9,TRUNC((AE129+0.5)/10)),"A","B","C","D","F","F","F","F","F","F"),"")</f>
        <v>A</v>
      </c>
      <c r="AG129" s="32" t="str">
        <f>IF(A129&lt;&gt;"",IF(OR(AE129+0.5&gt;=93,AE129+0.5&lt;60),"",IF(MOD(AE129+0.5,10)&gt;=7,"+",IF(MOD(AE129+0.5,10)&lt;3,"-",""))),"")</f>
        <v/>
      </c>
      <c r="AH129" s="36">
        <f>IF(A129&lt;&gt;"",MIN(MAX(AA129,AE129),AA129+$AH$8,AE129+$AH$8),"")</f>
        <v>100</v>
      </c>
      <c r="AI129" s="32" t="str">
        <f>IF(A129&lt;&gt;"",CHOOSE(10-MIN(9,TRUNC((AH129+0.5)/10)),"A","B","C","D","F","F","F","F","F","F"),"")</f>
        <v>A</v>
      </c>
      <c r="AJ129" s="32" t="str">
        <f>IF(A129&lt;&gt;"",IF(OR(AH129+0.5&gt;=93,AH129+0.5&lt;60),"",IF(MOD(AH129+0.5,10)&gt;=7,"+",IF(MOD(AH129+0.5,10)&lt;3,"-",""))),"")</f>
        <v/>
      </c>
      <c r="AK129" s="71" t="b">
        <f>IF(A129&lt;&gt;"",OR(AI129&lt;&gt;AC129,AJ129&lt;&gt;AD129),"")</f>
        <v>1</v>
      </c>
      <c r="AL129" s="86">
        <f>IF(AND(A129&lt;&gt;"",U129&lt;&gt;""),SUM(U129,$AL$8)/$AL$2*100,"")</f>
        <v>90.666666666666657</v>
      </c>
      <c r="AM129" s="71">
        <f>IF(AND(A129&lt;&gt;"",V129&lt;&gt;""),SUM(V129,$AM$8)/$AM$2*100,"")</f>
        <v>62.307692307692307</v>
      </c>
      <c r="AN129" s="71">
        <f>IF(AND(A129&lt;&gt;"",ISNUMBER(P129),P129&gt;=0),SUM(P129,$AN$8)/$AN$2*100,"")</f>
        <v>100</v>
      </c>
      <c r="AO129" s="71" t="str">
        <f>IF(AND(A129&lt;&gt;"",ISNUMBER(Q129),Q129&gt;=0),SUM(Q129,$AO$8)/$AO$2*100,"")</f>
        <v/>
      </c>
      <c r="AP129" s="24" t="str">
        <f>IF(AND(A129&lt;&gt;"",R129&lt;&gt;""),SUM(R129,$AP$8)/$AP$2*100,"")</f>
        <v/>
      </c>
      <c r="AQ129" s="24">
        <f>IF(AND(A129&lt;&gt;"",ISNUMBER(W129),W129&gt;=0),SUM(W129,$AQ$8)/$AQ$2*100,"")</f>
        <v>100</v>
      </c>
      <c r="AR129" s="24" t="str">
        <f>IF(AND(A129&lt;&gt;"",T129&gt;0,ISNUMBER(T129)),SUM(T129,$AR$8)/$AR$2*100,"")</f>
        <v/>
      </c>
      <c r="AS129" s="24" t="str">
        <f>IF(AND(A129&lt;&gt;"",X129&lt;&gt;""),SUM(X129,$AS$8)/$AS$2*100,"")</f>
        <v/>
      </c>
      <c r="AT129" s="89">
        <f>IF(AND(A129&lt;&gt;"",OR(ISNUMBER(W129),ISNUMBER(X129))),SUM(W129:X129,$AT$8)/$AT$2*100,"")</f>
        <v>100</v>
      </c>
      <c r="AU129" s="24">
        <f>AA129</f>
        <v>81.967213114754102</v>
      </c>
      <c r="AV129" s="71"/>
      <c r="AW129" s="27">
        <f>IF(A129&lt;&gt;"",AE129-AA129,"")</f>
        <v>18.032786885245898</v>
      </c>
      <c r="AY129" s="27" t="b">
        <f>S129&gt;R129</f>
        <v>0</v>
      </c>
      <c r="BA129" s="27" t="e">
        <f>AND(AA129&gt;$BA$3,(W129+$W$8)/$W$2&lt;$BB$3,(X129+$X$8)/$X$2&lt;$BB$3)</f>
        <v>#VALUE!</v>
      </c>
      <c r="BB129" s="27" t="e">
        <f>AND(AA129&lt;$BA$3,AND(W129/$W$2&gt;$BB$3,X129/$X$2&gt;$BB$3))</f>
        <v>#VALUE!</v>
      </c>
      <c r="BC129" s="27" t="e">
        <f>AND(AA129&lt;$BA$3,OR(W129/$W$2&gt;$BB$3,X129/$X$2&gt;$BB$3))</f>
        <v>#VALUE!</v>
      </c>
      <c r="BE129" s="32">
        <v>32</v>
      </c>
    </row>
    <row r="130" spans="1:58" s="27" customFormat="1" ht="12.75" customHeight="1" x14ac:dyDescent="0.2">
      <c r="A130" s="10">
        <v>236646</v>
      </c>
      <c r="B130" s="2">
        <v>24</v>
      </c>
      <c r="C130" s="10">
        <v>22</v>
      </c>
      <c r="D130" s="10">
        <v>25</v>
      </c>
      <c r="E130" s="10"/>
      <c r="F130" s="10"/>
      <c r="G130" s="10"/>
      <c r="H130" s="10"/>
      <c r="I130" s="10"/>
      <c r="J130" s="2">
        <v>27</v>
      </c>
      <c r="K130" s="10">
        <v>52</v>
      </c>
      <c r="L130" s="10">
        <v>50</v>
      </c>
      <c r="M130" s="10"/>
      <c r="N130" s="93"/>
      <c r="O130" s="12"/>
      <c r="P130" s="10">
        <v>100</v>
      </c>
      <c r="Q130" s="41"/>
      <c r="R130" s="2"/>
      <c r="S130" s="10"/>
      <c r="T130" s="13"/>
      <c r="U130" s="1">
        <f t="array" ref="U130">IF(AND(A130&lt;&gt;"",OR(ISNUMBER(B130:I130))),SUM(B130:I130),"")</f>
        <v>71</v>
      </c>
      <c r="V130" s="10">
        <f t="array" ref="V130">IF(AND(A130&lt;&gt;"",OR(ISNUMBER(J130:O130))),SUM(J130:O130),"")</f>
        <v>129</v>
      </c>
      <c r="W130" s="10">
        <f t="array" ref="W130">IF(AND(A130&lt;&gt;"",OR(ISNUMBER(P130),ISNUMBER(Q130))),SUM(MAX(P130:Q130),Q130),"")</f>
        <v>100</v>
      </c>
      <c r="X130" s="10" t="str">
        <f t="array" ref="X130">IF(AND(A130&lt;&gt;"",OR(ISNUMBER(S130),ISNUMBER(T130))),SUM(S130,T130),"")</f>
        <v/>
      </c>
      <c r="Y130" s="13">
        <v>1</v>
      </c>
      <c r="Z130" s="13">
        <f>IF(A130&lt;&gt;"",SUM(U130:Y130),"")</f>
        <v>301</v>
      </c>
      <c r="AA130" s="27">
        <f>IF(A130&lt;&gt;"",(Z130+Normalize_To_Add)/(Point_Total_So_Far)*100,"")</f>
        <v>98.688524590163937</v>
      </c>
      <c r="AB130" s="10">
        <f>IF(A130&lt;&gt;"",RANK(AA130,All_Student_XC),"")</f>
        <v>176</v>
      </c>
      <c r="AC130" s="32" t="str">
        <f>IF(A130&lt;&gt;"",CHOOSE(10-MIN(9,TRUNC((AA130+0.5)/10)),"A","B","C","D","F","F","F","F","F","F"),"")</f>
        <v>A</v>
      </c>
      <c r="AD130" s="32" t="str">
        <f>IF(A130&lt;&gt;"",IF(OR(AA130+0.5&gt;=93,AA130+0.5&lt;60),"",IF(MOD(AA130+0.5,10)&gt;=7,"+",IF(MOD(AA130+0.5,10)&lt;3,"-",""))),"")</f>
        <v/>
      </c>
      <c r="AE130" s="32">
        <f>IF(A130&lt;&gt;"",SUM(W130:X130,$W$8:$X$8)/SUM($W$2:$X$2)*100,"")</f>
        <v>100</v>
      </c>
      <c r="AF130" s="44" t="str">
        <f>IF(A130&lt;&gt;"",CHOOSE(10-MIN(9,TRUNC((AE130+0.5)/10)),"A","B","C","D","F","F","F","F","F","F"),"")</f>
        <v>A</v>
      </c>
      <c r="AG130" s="44" t="str">
        <f>IF(A130&lt;&gt;"",IF(OR(AE130+0.5&gt;=93,AE130+0.5&lt;60),"",IF(MOD(AE130+0.5,10)&gt;=7,"+",IF(MOD(AE130+0.5,10)&lt;3,"-",""))),"")</f>
        <v/>
      </c>
      <c r="AH130" s="36">
        <f>IF(A130&lt;&gt;"",MIN(MAX(AA130,AE130),AA130+$AH$8,AE130+$AH$8),"")</f>
        <v>100</v>
      </c>
      <c r="AI130" s="32" t="str">
        <f>IF(A130&lt;&gt;"",CHOOSE(10-MIN(9,TRUNC((AH130+0.5)/10)),"A","B","C","D","F","F","F","F","F","F"),"")</f>
        <v>A</v>
      </c>
      <c r="AJ130" s="32" t="str">
        <f>IF(A130&lt;&gt;"",IF(OR(AH130+0.5&gt;=93,AH130+0.5&lt;60),"",IF(MOD(AH130+0.5,10)&gt;=7,"+",IF(MOD(AH130+0.5,10)&lt;3,"-",""))),"")</f>
        <v/>
      </c>
      <c r="AK130" s="32" t="b">
        <f>IF(A130&lt;&gt;"",OR(AI130&lt;&gt;AC130,AJ130&lt;&gt;AD130),"")</f>
        <v>0</v>
      </c>
      <c r="AL130" s="84">
        <f>IF(AND(A130&lt;&gt;"",U130&lt;&gt;""),SUM(U130,$AL$8)/$AL$2*100,"")</f>
        <v>94.666666666666671</v>
      </c>
      <c r="AM130" s="24">
        <f>IF(AND(A130&lt;&gt;"",V130&lt;&gt;""),SUM(V130,$AM$8)/$AM$2*100,"")</f>
        <v>99.230769230769226</v>
      </c>
      <c r="AN130" s="24">
        <f>IF(AND(A130&lt;&gt;"",ISNUMBER(P130),P130&gt;=0),SUM(P130,$AN$8)/$AN$2*100,"")</f>
        <v>100</v>
      </c>
      <c r="AO130" s="24" t="str">
        <f>IF(AND(A130&lt;&gt;"",ISNUMBER(Q130),Q130&gt;=0),SUM(Q130,$AO$8)/$AO$2*100,"")</f>
        <v/>
      </c>
      <c r="AP130" s="24" t="str">
        <f>IF(AND(A130&lt;&gt;"",R130&lt;&gt;""),SUM(R130,$AP$8)/$AP$2*100,"")</f>
        <v/>
      </c>
      <c r="AQ130" s="24">
        <f>IF(AND(A130&lt;&gt;"",ISNUMBER(W130),W130&gt;=0),SUM(W130,$AQ$8)/$AQ$2*100,"")</f>
        <v>100</v>
      </c>
      <c r="AR130" s="24" t="str">
        <f>IF(AND(A130&lt;&gt;"",T130&gt;0,ISNUMBER(T130)),SUM(T130,$AR$8)/$AR$2*100,"")</f>
        <v/>
      </c>
      <c r="AS130" s="24" t="str">
        <f>IF(AND(A130&lt;&gt;"",X130&lt;&gt;""),SUM(X130,$AS$8)/$AS$2*100,"")</f>
        <v/>
      </c>
      <c r="AT130" s="89">
        <f>IF(AND(A130&lt;&gt;"",OR(ISNUMBER(W130),ISNUMBER(X130))),SUM(W130:X130,$AT$8)/$AT$2*100,"")</f>
        <v>100</v>
      </c>
      <c r="AU130" s="24">
        <f>AA130</f>
        <v>98.688524590163937</v>
      </c>
      <c r="AV130" s="24"/>
      <c r="AW130" s="27">
        <f>IF(A130&lt;&gt;"",AE130-AA130,"")</f>
        <v>1.3114754098360635</v>
      </c>
      <c r="AY130" s="27" t="b">
        <f>S130&gt;R130</f>
        <v>0</v>
      </c>
      <c r="BA130" s="27" t="e">
        <f>AND(AA130&gt;$BA$3,(W130+$W$8)/$W$2&lt;$BB$3,(X130+$X$8)/$X$2&lt;$BB$3)</f>
        <v>#VALUE!</v>
      </c>
      <c r="BB130" s="27" t="e">
        <f>AND(AA130&lt;$BA$3,AND(W130/$W$2&gt;$BB$3,X130/$X$2&gt;$BB$3))</f>
        <v>#VALUE!</v>
      </c>
      <c r="BC130" s="27" t="e">
        <f>AND(AA130&lt;$BA$3,OR(W130/$W$2&gt;$BB$3,X130/$X$2&gt;$BB$3))</f>
        <v>#VALUE!</v>
      </c>
      <c r="BE130" s="32" t="s">
        <v>84</v>
      </c>
    </row>
    <row r="131" spans="1:58" s="99" customFormat="1" ht="12.75" customHeight="1" x14ac:dyDescent="0.2">
      <c r="A131" s="78">
        <v>239917</v>
      </c>
      <c r="B131" s="97">
        <v>23</v>
      </c>
      <c r="C131" s="78">
        <v>12</v>
      </c>
      <c r="D131" s="78">
        <v>25</v>
      </c>
      <c r="E131" s="78"/>
      <c r="F131" s="78"/>
      <c r="G131" s="78"/>
      <c r="H131" s="78"/>
      <c r="I131" s="78"/>
      <c r="J131" s="97">
        <v>31</v>
      </c>
      <c r="K131" s="78">
        <v>50</v>
      </c>
      <c r="L131" s="78">
        <v>50</v>
      </c>
      <c r="M131" s="78"/>
      <c r="N131" s="103"/>
      <c r="O131" s="108"/>
      <c r="P131" s="109">
        <v>100</v>
      </c>
      <c r="Q131" s="109"/>
      <c r="R131" s="97"/>
      <c r="S131" s="78"/>
      <c r="T131" s="98"/>
      <c r="U131" s="111">
        <f t="array" ref="U131">IF(AND(A131&lt;&gt;"",OR(ISNUMBER(B131:I131))),SUM(B131:I131),"")</f>
        <v>60</v>
      </c>
      <c r="V131" s="78">
        <f t="array" ref="V131">IF(AND(A131&lt;&gt;"",OR(ISNUMBER(J131:O131))),SUM(J131:O131),"")</f>
        <v>131</v>
      </c>
      <c r="W131" s="78">
        <f t="array" ref="W131">IF(AND(A131&lt;&gt;"",OR(ISNUMBER(P131),ISNUMBER(Q131))),SUM(MAX(P131:Q131),Q131),"")</f>
        <v>100</v>
      </c>
      <c r="X131" s="78" t="str">
        <f t="array" ref="X131">IF(AND(A131&lt;&gt;"",OR(ISNUMBER(S131),ISNUMBER(T131))),SUM(S131,T131),"")</f>
        <v/>
      </c>
      <c r="Y131" s="98">
        <v>1</v>
      </c>
      <c r="Z131" s="98">
        <f>IF(A131&lt;&gt;"",SUM(U131:Y131),"")</f>
        <v>292</v>
      </c>
      <c r="AA131" s="99">
        <f>IF(A131&lt;&gt;"",(Z131+Normalize_To_Add)/(Point_Total_So_Far)*100,"")</f>
        <v>95.73770491803279</v>
      </c>
      <c r="AB131" s="78">
        <f>IF(A131&lt;&gt;"",RANK(AA131,All_Student_XC),"")</f>
        <v>261</v>
      </c>
      <c r="AC131" s="100" t="str">
        <f>IF(A131&lt;&gt;"",CHOOSE(10-MIN(9,TRUNC((AA131+0.5)/10)),"A","B","C","D","F","F","F","F","F","F"),"")</f>
        <v>A</v>
      </c>
      <c r="AD131" s="100" t="str">
        <f>IF(A131&lt;&gt;"",IF(OR(AA131+0.5&gt;=93,AA131+0.5&lt;60),"",IF(MOD(AA131+0.5,10)&gt;=7,"+",IF(MOD(AA131+0.5,10)&lt;3,"-",""))),"")</f>
        <v/>
      </c>
      <c r="AE131" s="100">
        <f>IF(A131&lt;&gt;"",SUM(W131:X131,$W$8:$X$8)/SUM($W$2:$X$2)*100,"")</f>
        <v>100</v>
      </c>
      <c r="AF131" s="100" t="str">
        <f>IF(A131&lt;&gt;"",CHOOSE(10-MIN(9,TRUNC((AE131+0.5)/10)),"A","B","C","D","F","F","F","F","F","F"),"")</f>
        <v>A</v>
      </c>
      <c r="AG131" s="100" t="str">
        <f>IF(A131&lt;&gt;"",IF(OR(AE131+0.5&gt;=93,AE131+0.5&lt;60),"",IF(MOD(AE131+0.5,10)&gt;=7,"+",IF(MOD(AE131+0.5,10)&lt;3,"-",""))),"")</f>
        <v/>
      </c>
      <c r="AH131" s="101">
        <f>IF(A131&lt;&gt;"",MIN(MAX(AA131,AE131),AA131+$AH$8,AE131+$AH$8),"")</f>
        <v>100</v>
      </c>
      <c r="AI131" s="100" t="str">
        <f>IF(A131&lt;&gt;"",CHOOSE(10-MIN(9,TRUNC((AH131+0.5)/10)),"A","B","C","D","F","F","F","F","F","F"),"")</f>
        <v>A</v>
      </c>
      <c r="AJ131" s="100" t="str">
        <f>IF(A131&lt;&gt;"",IF(OR(AH131+0.5&gt;=93,AH131+0.5&lt;60),"",IF(MOD(AH131+0.5,10)&gt;=7,"+",IF(MOD(AH131+0.5,10)&lt;3,"-",""))),"")</f>
        <v/>
      </c>
      <c r="AK131" s="100" t="b">
        <f>IF(A131&lt;&gt;"",OR(AI131&lt;&gt;AC131,AJ131&lt;&gt;AD131),"")</f>
        <v>0</v>
      </c>
      <c r="AL131" s="110">
        <f>IF(AND(A131&lt;&gt;"",U131&lt;&gt;""),SUM(U131,$AL$8)/$AL$2*100,"")</f>
        <v>80</v>
      </c>
      <c r="AM131" s="94">
        <f>IF(AND(A131&lt;&gt;"",V131&lt;&gt;""),SUM(V131,$AM$8)/$AM$2*100,"")</f>
        <v>100.76923076923077</v>
      </c>
      <c r="AN131" s="94">
        <f>IF(AND(A131&lt;&gt;"",ISNUMBER(P131),P131&gt;=0),SUM(P131,$AN$8)/$AN$2*100,"")</f>
        <v>100</v>
      </c>
      <c r="AO131" s="94" t="str">
        <f>IF(AND(A131&lt;&gt;"",ISNUMBER(Q131),Q131&gt;=0),SUM(Q131,$AO$8)/$AO$2*100,"")</f>
        <v/>
      </c>
      <c r="AP131" s="94" t="str">
        <f>IF(AND(A131&lt;&gt;"",R131&lt;&gt;""),SUM(R131,$AP$8)/$AP$2*100,"")</f>
        <v/>
      </c>
      <c r="AQ131" s="94">
        <f>IF(AND(A131&lt;&gt;"",ISNUMBER(W131),W131&gt;=0),SUM(W131,$AQ$8)/$AQ$2*100,"")</f>
        <v>100</v>
      </c>
      <c r="AR131" s="94" t="str">
        <f>IF(AND(A131&lt;&gt;"",T131&gt;0,ISNUMBER(T131)),SUM(T131,$AR$8)/$AR$2*100,"")</f>
        <v/>
      </c>
      <c r="AS131" s="94" t="str">
        <f>IF(AND(A131&lt;&gt;"",X131&lt;&gt;""),SUM(X131,$AS$8)/$AS$2*100,"")</f>
        <v/>
      </c>
      <c r="AT131" s="102">
        <f>IF(AND(A131&lt;&gt;"",OR(ISNUMBER(W131),ISNUMBER(X131))),SUM(W131:X131,$AT$8)/$AT$2*100,"")</f>
        <v>100</v>
      </c>
      <c r="AU131" s="94">
        <f>AA131</f>
        <v>95.73770491803279</v>
      </c>
      <c r="AV131" s="94"/>
      <c r="AW131" s="99">
        <f>IF(A131&lt;&gt;"",AE131-AA131,"")</f>
        <v>4.2622950819672099</v>
      </c>
      <c r="AY131" s="99" t="b">
        <f>S131&gt;R131</f>
        <v>0</v>
      </c>
      <c r="BA131" s="99" t="e">
        <f>AND(AA131&gt;$BA$3,(W131+$W$8)/$W$2&lt;$BB$3,(X131+$X$8)/$X$2&lt;$BB$3)</f>
        <v>#VALUE!</v>
      </c>
      <c r="BB131" s="99" t="e">
        <f>AND(AA131&lt;$BA$3,AND(W131/$W$2&gt;$BB$3,X131/$X$2&gt;$BB$3))</f>
        <v>#VALUE!</v>
      </c>
      <c r="BC131" s="99" t="e">
        <f>AND(AA131&lt;$BA$3,OR(W131/$W$2&gt;$BB$3,X131/$X$2&gt;$BB$3))</f>
        <v>#VALUE!</v>
      </c>
      <c r="BE131" s="100" t="s">
        <v>84</v>
      </c>
    </row>
    <row r="132" spans="1:58" s="27" customFormat="1" ht="12.75" customHeight="1" x14ac:dyDescent="0.2">
      <c r="A132" s="56">
        <v>241389</v>
      </c>
      <c r="B132" s="2">
        <v>25</v>
      </c>
      <c r="C132" s="10">
        <v>25</v>
      </c>
      <c r="D132" s="10">
        <v>25</v>
      </c>
      <c r="E132" s="10"/>
      <c r="F132" s="10"/>
      <c r="G132" s="10"/>
      <c r="H132" s="10"/>
      <c r="I132" s="10"/>
      <c r="J132" s="2">
        <v>29</v>
      </c>
      <c r="K132" s="10">
        <v>51</v>
      </c>
      <c r="L132" s="10">
        <v>51</v>
      </c>
      <c r="M132" s="10"/>
      <c r="N132" s="93"/>
      <c r="O132" s="12"/>
      <c r="P132" s="10">
        <v>101</v>
      </c>
      <c r="Q132" s="41"/>
      <c r="R132" s="2"/>
      <c r="S132" s="10"/>
      <c r="T132" s="13"/>
      <c r="U132" s="1">
        <f t="array" ref="U132">IF(AND(A132&lt;&gt;"",OR(ISNUMBER(B132:I132))),SUM(B132:I132),"")</f>
        <v>75</v>
      </c>
      <c r="V132" s="10">
        <f t="array" ref="V132">IF(AND(A132&lt;&gt;"",OR(ISNUMBER(J132:O132))),SUM(J132:O132),"")</f>
        <v>131</v>
      </c>
      <c r="W132" s="10">
        <f t="array" ref="W132">IF(AND(A132&lt;&gt;"",OR(ISNUMBER(P132),ISNUMBER(Q132))),SUM(MAX(P132:Q132),Q132),"")</f>
        <v>101</v>
      </c>
      <c r="X132" s="10" t="str">
        <f t="array" ref="X132">IF(AND(A132&lt;&gt;"",OR(ISNUMBER(S132),ISNUMBER(T132))),SUM(S132,T132),"")</f>
        <v/>
      </c>
      <c r="Y132" s="13">
        <v>1</v>
      </c>
      <c r="Z132" s="13">
        <f>IF(A132&lt;&gt;"",SUM(U132:Y132),"")</f>
        <v>308</v>
      </c>
      <c r="AA132" s="27">
        <f>IF(A132&lt;&gt;"",(Z132+Normalize_To_Add)/(Point_Total_So_Far)*100,"")</f>
        <v>100.98360655737706</v>
      </c>
      <c r="AB132" s="10">
        <f>IF(A132&lt;&gt;"",RANK(AA132,All_Student_XC),"")</f>
        <v>57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/>
      </c>
      <c r="AE132" s="32">
        <f>IF(A132&lt;&gt;"",SUM(W132:X132,$W$8:$X$8)/SUM($W$2:$X$2)*100,"")</f>
        <v>101</v>
      </c>
      <c r="AF132" s="44" t="str">
        <f>IF(A132&lt;&gt;"",CHOOSE(10-MIN(9,TRUNC((AE132+0.5)/10)),"A","B","C","D","F","F","F","F","F","F"),"")</f>
        <v>A</v>
      </c>
      <c r="AG132" s="44" t="str">
        <f>IF(A132&lt;&gt;"",IF(OR(AE132+0.5&gt;=93,AE132+0.5&lt;60),"",IF(MOD(AE132+0.5,10)&gt;=7,"+",IF(MOD(AE132+0.5,10)&lt;3,"-",""))),"")</f>
        <v/>
      </c>
      <c r="AH132" s="36">
        <f>IF(A132&lt;&gt;"",MIN(MAX(AA132,AE132),AA132+$AH$8,AE132+$AH$8),"")</f>
        <v>101</v>
      </c>
      <c r="AI132" s="32" t="str">
        <f>IF(A132&lt;&gt;"",CHOOSE(10-MIN(9,TRUNC((AH132+0.5)/10)),"A","B","C","D","F","F","F","F","F","F"),"")</f>
        <v>A</v>
      </c>
      <c r="AJ132" s="32" t="str">
        <f>IF(A132&lt;&gt;"",IF(OR(AH132+0.5&gt;=93,AH132+0.5&lt;60),"",IF(MOD(AH132+0.5,10)&gt;=7,"+",IF(MOD(AH132+0.5,10)&lt;3,"-",""))),"")</f>
        <v/>
      </c>
      <c r="AK132" s="32" t="b">
        <f>IF(A132&lt;&gt;"",OR(AI132&lt;&gt;AC132,AJ132&lt;&gt;AD132),"")</f>
        <v>0</v>
      </c>
      <c r="AL132" s="84">
        <f>IF(AND(A132&lt;&gt;"",U132&lt;&gt;""),SUM(U132,$AL$8)/$AL$2*100,"")</f>
        <v>100</v>
      </c>
      <c r="AM132" s="24">
        <f>IF(AND(A132&lt;&gt;"",V132&lt;&gt;""),SUM(V132,$AM$8)/$AM$2*100,"")</f>
        <v>100.76923076923077</v>
      </c>
      <c r="AN132" s="24">
        <f>IF(AND(A132&lt;&gt;"",ISNUMBER(P132),P132&gt;=0),SUM(P132,$AN$8)/$AN$2*100,"")</f>
        <v>101</v>
      </c>
      <c r="AO132" s="24" t="str">
        <f>IF(AND(A132&lt;&gt;"",ISNUMBER(Q132),Q132&gt;=0),SUM(Q132,$AO$8)/$AO$2*100,"")</f>
        <v/>
      </c>
      <c r="AP132" s="24" t="str">
        <f>IF(AND(A132&lt;&gt;"",R132&lt;&gt;""),SUM(R132,$AP$8)/$AP$2*100,"")</f>
        <v/>
      </c>
      <c r="AQ132" s="24">
        <f>IF(AND(A132&lt;&gt;"",ISNUMBER(W132),W132&gt;=0),SUM(W132,$AQ$8)/$AQ$2*100,"")</f>
        <v>101</v>
      </c>
      <c r="AR132" s="24" t="str">
        <f>IF(AND(A132&lt;&gt;"",T132&gt;0,ISNUMBER(T132)),SUM(T132,$AR$8)/$AR$2*100,"")</f>
        <v/>
      </c>
      <c r="AS132" s="24" t="str">
        <f>IF(AND(A132&lt;&gt;"",X132&lt;&gt;""),SUM(X132,$AS$8)/$AS$2*100,"")</f>
        <v/>
      </c>
      <c r="AT132" s="89">
        <f>IF(AND(A132&lt;&gt;"",OR(ISNUMBER(W132),ISNUMBER(X132))),SUM(W132:X132,$AT$8)/$AT$2*100,"")</f>
        <v>101</v>
      </c>
      <c r="AU132" s="24">
        <f>AA132</f>
        <v>100.98360655737706</v>
      </c>
      <c r="AV132" s="24"/>
      <c r="AW132" s="27">
        <f>IF(A132&lt;&gt;"",AE132-AA132,"")</f>
        <v>1.6393442622941734E-2</v>
      </c>
      <c r="AY132" s="27" t="b">
        <f>S132&gt;R132</f>
        <v>0</v>
      </c>
      <c r="BA132" s="27" t="e">
        <f>AND(AA132&gt;$BA$3,(W132+$W$8)/$W$2&lt;$BB$3,(X132+$X$8)/$X$2&lt;$BB$3)</f>
        <v>#VALUE!</v>
      </c>
      <c r="BB132" s="27" t="e">
        <f>AND(AA132&lt;$BA$3,AND(W132/$W$2&gt;$BB$3,X132/$X$2&gt;$BB$3))</f>
        <v>#VALUE!</v>
      </c>
      <c r="BC132" s="27" t="e">
        <f>AND(AA132&lt;$BA$3,OR(W132/$W$2&gt;$BB$3,X132/$X$2&gt;$BB$3))</f>
        <v>#VALUE!</v>
      </c>
      <c r="BE132" s="32">
        <v>32</v>
      </c>
    </row>
    <row r="133" spans="1:58" s="27" customFormat="1" ht="12.75" customHeight="1" x14ac:dyDescent="0.2">
      <c r="A133" s="10">
        <v>243681</v>
      </c>
      <c r="B133" s="2">
        <v>21</v>
      </c>
      <c r="C133" s="10">
        <v>20</v>
      </c>
      <c r="D133" s="10">
        <v>24</v>
      </c>
      <c r="E133" s="10"/>
      <c r="F133" s="10"/>
      <c r="G133" s="3"/>
      <c r="H133" s="10"/>
      <c r="I133" s="10"/>
      <c r="J133" s="2">
        <v>26</v>
      </c>
      <c r="K133" s="10">
        <v>45</v>
      </c>
      <c r="L133" s="10">
        <v>48</v>
      </c>
      <c r="M133" s="10"/>
      <c r="N133" s="10"/>
      <c r="O133" s="12"/>
      <c r="P133" s="41">
        <v>101</v>
      </c>
      <c r="Q133" s="41"/>
      <c r="R133" s="2"/>
      <c r="S133" s="10"/>
      <c r="T133" s="13"/>
      <c r="U133" s="1">
        <f t="array" ref="U133">IF(AND(A133&lt;&gt;"",OR(ISNUMBER(B133:I133))),SUM(B133:I133),"")</f>
        <v>65</v>
      </c>
      <c r="V133" s="10">
        <f t="array" ref="V133">IF(AND(A133&lt;&gt;"",OR(ISNUMBER(J133:O133))),SUM(J133:O133),"")</f>
        <v>119</v>
      </c>
      <c r="W133" s="10">
        <f t="array" ref="W133">IF(AND(A133&lt;&gt;"",OR(ISNUMBER(P133),ISNUMBER(Q133))),SUM(MAX(P133:Q133),Q133),"")</f>
        <v>101</v>
      </c>
      <c r="X133" s="10" t="str">
        <f t="array" ref="X133">IF(AND(A133&lt;&gt;"",OR(ISNUMBER(S133),ISNUMBER(T133))),SUM(S133,T133),"")</f>
        <v/>
      </c>
      <c r="Y133" s="13">
        <v>1</v>
      </c>
      <c r="Z133" s="13">
        <f>IF(A133&lt;&gt;"",SUM(U133:Y133),"")</f>
        <v>286</v>
      </c>
      <c r="AA133" s="27">
        <f>IF(A133&lt;&gt;"",(Z133+Normalize_To_Add)/(Point_Total_So_Far)*100,"")</f>
        <v>93.770491803278688</v>
      </c>
      <c r="AB133" s="10">
        <f>IF(A133&lt;&gt;"",RANK(AA133,All_Student_XC),"")</f>
        <v>287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>
        <f>IF(A133&lt;&gt;"",SUM(W133:X133,$W$8:$X$8)/SUM($W$2:$X$2)*100,"")</f>
        <v>101</v>
      </c>
      <c r="AF133" s="32" t="str">
        <f>IF(A133&lt;&gt;"",CHOOSE(10-MIN(9,TRUNC((AE133+0.5)/10)),"A","B","C","D","F","F","F","F","F","F"),"")</f>
        <v>A</v>
      </c>
      <c r="AG133" s="32" t="str">
        <f>IF(A133&lt;&gt;"",IF(OR(AE133+0.5&gt;=93,AE133+0.5&lt;60),"",IF(MOD(AE133+0.5,10)&gt;=7,"+",IF(MOD(AE133+0.5,10)&lt;3,"-",""))),"")</f>
        <v/>
      </c>
      <c r="AH133" s="36">
        <f>IF(A133&lt;&gt;"",MIN(MAX(AA133,AE133),AA133+$AH$8,AE133+$AH$8),"")</f>
        <v>101</v>
      </c>
      <c r="AI133" s="32" t="str">
        <f>IF(A133&lt;&gt;"",CHOOSE(10-MIN(9,TRUNC((AH133+0.5)/10)),"A","B","C","D","F","F","F","F","F","F"),"")</f>
        <v>A</v>
      </c>
      <c r="AJ133" s="32" t="str">
        <f>IF(A133&lt;&gt;"",IF(OR(AH133+0.5&gt;=93,AH133+0.5&lt;60),"",IF(MOD(AH133+0.5,10)&gt;=7,"+",IF(MOD(AH133+0.5,10)&lt;3,"-",""))),"")</f>
        <v/>
      </c>
      <c r="AK133" s="32" t="b">
        <f>IF(A133&lt;&gt;"",OR(AI133&lt;&gt;AC133,AJ133&lt;&gt;AD133),"")</f>
        <v>0</v>
      </c>
      <c r="AL133" s="84">
        <f>IF(AND(A133&lt;&gt;"",U133&lt;&gt;""),SUM(U133,$AL$8)/$AL$2*100,"")</f>
        <v>86.666666666666671</v>
      </c>
      <c r="AM133" s="24">
        <f>IF(AND(A133&lt;&gt;"",V133&lt;&gt;""),SUM(V133,$AM$8)/$AM$2*100,"")</f>
        <v>91.538461538461533</v>
      </c>
      <c r="AN133" s="24">
        <f>IF(AND(A133&lt;&gt;"",ISNUMBER(P133),P133&gt;=0),SUM(P133,$AN$8)/$AN$2*100,"")</f>
        <v>101</v>
      </c>
      <c r="AO133" s="24" t="str">
        <f>IF(AND(A133&lt;&gt;"",ISNUMBER(Q133),Q133&gt;=0),SUM(Q133,$AO$8)/$AO$2*100,"")</f>
        <v/>
      </c>
      <c r="AP133" s="24" t="str">
        <f>IF(AND(A133&lt;&gt;"",R133&lt;&gt;""),SUM(R133,$AP$8)/$AP$2*100,"")</f>
        <v/>
      </c>
      <c r="AQ133" s="24">
        <f>IF(AND(A133&lt;&gt;"",ISNUMBER(W133),W133&gt;=0),SUM(W133,$AQ$8)/$AQ$2*100,"")</f>
        <v>101</v>
      </c>
      <c r="AR133" s="24" t="str">
        <f>IF(AND(A133&lt;&gt;"",T133&gt;0,ISNUMBER(T133)),SUM(T133,$AR$8)/$AR$2*100,"")</f>
        <v/>
      </c>
      <c r="AS133" s="24" t="str">
        <f>IF(AND(A133&lt;&gt;"",X133&lt;&gt;""),SUM(X133,$AS$8)/$AS$2*100,"")</f>
        <v/>
      </c>
      <c r="AT133" s="89">
        <f>IF(AND(A133&lt;&gt;"",OR(ISNUMBER(W133),ISNUMBER(X133))),SUM(W133:X133,$AT$8)/$AT$2*100,"")</f>
        <v>101</v>
      </c>
      <c r="AU133" s="24">
        <f>AA133</f>
        <v>93.770491803278688</v>
      </c>
      <c r="AV133" s="24"/>
      <c r="AW133" s="27">
        <f>IF(A133&lt;&gt;"",AE133-AA133,"")</f>
        <v>7.2295081967213122</v>
      </c>
      <c r="AY133" s="27" t="b">
        <f>S133&gt;R133</f>
        <v>0</v>
      </c>
      <c r="BA133" s="27" t="e">
        <f>AND(AA133&gt;$BA$3,(W133+$W$8)/$W$2&lt;$BB$3,(X133+$X$8)/$X$2&lt;$BB$3)</f>
        <v>#VALUE!</v>
      </c>
      <c r="BB133" s="27" t="e">
        <f>AND(AA133&lt;$BA$3,AND(W133/$W$2&gt;$BB$3,X133/$X$2&gt;$BB$3))</f>
        <v>#VALUE!</v>
      </c>
      <c r="BC133" s="27" t="e">
        <f>AND(AA133&lt;$BA$3,OR(W133/$W$2&gt;$BB$3,X133/$X$2&gt;$BB$3))</f>
        <v>#VALUE!</v>
      </c>
      <c r="BE133" s="32">
        <v>32</v>
      </c>
    </row>
    <row r="134" spans="1:58" s="27" customFormat="1" ht="12.75" customHeight="1" x14ac:dyDescent="0.2">
      <c r="A134" s="10">
        <v>243706</v>
      </c>
      <c r="B134" s="2">
        <v>11</v>
      </c>
      <c r="C134" s="10">
        <v>13</v>
      </c>
      <c r="D134" s="10">
        <v>25</v>
      </c>
      <c r="E134" s="10"/>
      <c r="F134" s="10"/>
      <c r="G134" s="10"/>
      <c r="H134" s="10"/>
      <c r="I134" s="10"/>
      <c r="J134" s="2">
        <v>28</v>
      </c>
      <c r="K134" s="10">
        <v>7</v>
      </c>
      <c r="L134" s="10">
        <v>47</v>
      </c>
      <c r="M134" s="10"/>
      <c r="N134" s="93"/>
      <c r="O134" s="13"/>
      <c r="P134" s="10">
        <v>100</v>
      </c>
      <c r="Q134" s="10"/>
      <c r="R134" s="2"/>
      <c r="S134" s="10"/>
      <c r="T134" s="13"/>
      <c r="U134" s="1">
        <f t="array" ref="U134">IF(AND(A134&lt;&gt;"",OR(ISNUMBER(B134:I134))),SUM(B134:I134),"")</f>
        <v>49</v>
      </c>
      <c r="V134" s="10">
        <f t="array" ref="V134">IF(AND(A134&lt;&gt;"",OR(ISNUMBER(J134:O134))),SUM(J134:O134),"")</f>
        <v>82</v>
      </c>
      <c r="W134" s="10">
        <f t="array" ref="W134">IF(AND(A134&lt;&gt;"",OR(ISNUMBER(P134),ISNUMBER(Q134))),SUM(MAX(P134:Q134),Q134),"")</f>
        <v>100</v>
      </c>
      <c r="X134" s="10" t="str">
        <f t="array" ref="X134">IF(AND(A134&lt;&gt;"",OR(ISNUMBER(S134),ISNUMBER(T134))),SUM(S134,T134),"")</f>
        <v/>
      </c>
      <c r="Y134" s="13">
        <v>1</v>
      </c>
      <c r="Z134" s="13">
        <f>IF(A134&lt;&gt;"",SUM(U134:Y134),"")</f>
        <v>232</v>
      </c>
      <c r="AA134" s="27">
        <f>IF(A134&lt;&gt;"",(Z134+Normalize_To_Add)/(Point_Total_So_Far)*100,"")</f>
        <v>76.065573770491795</v>
      </c>
      <c r="AB134" s="10">
        <f>IF(A134&lt;&gt;"",RANK(AA134,All_Student_XC),"")</f>
        <v>434</v>
      </c>
      <c r="AC134" s="32" t="str">
        <f>IF(A134&lt;&gt;"",CHOOSE(10-MIN(9,TRUNC((AA134+0.5)/10)),"A","B","C","D","F","F","F","F","F","F"),"")</f>
        <v>C</v>
      </c>
      <c r="AD134" s="31" t="str">
        <f>IF(A134&lt;&gt;"",IF(OR(AA134+0.5&gt;=93,AA134+0.5&lt;60),"",IF(MOD(AA134+0.5,10)&gt;=7,"+",IF(MOD(AA134+0.5,10)&lt;3,"-",""))),"")</f>
        <v/>
      </c>
      <c r="AE134" s="32">
        <f>IF(A134&lt;&gt;"",SUM(W134:X134,$W$8:$X$8)/SUM($W$2:$X$2)*100,"")</f>
        <v>100</v>
      </c>
      <c r="AF134" s="32" t="str">
        <f>IF(A134&lt;&gt;"",CHOOSE(10-MIN(9,TRUNC((AE134+0.5)/10)),"A","B","C","D","F","F","F","F","F","F"),"")</f>
        <v>A</v>
      </c>
      <c r="AG134" s="32" t="str">
        <f>IF(A134&lt;&gt;"",IF(OR(AE134+0.5&gt;=93,AE134+0.5&lt;60),"",IF(MOD(AE134+0.5,10)&gt;=7,"+",IF(MOD(AE134+0.5,10)&lt;3,"-",""))),"")</f>
        <v/>
      </c>
      <c r="AH134" s="36">
        <f>IF(A134&lt;&gt;"",MIN(MAX(AA134,AE134),AA134+$AH$8,AE134+$AH$8),"")</f>
        <v>100</v>
      </c>
      <c r="AI134" s="32" t="str">
        <f>IF(A134&lt;&gt;"",CHOOSE(10-MIN(9,TRUNC((AH134+0.5)/10)),"A","B","C","D","F","F","F","F","F","F"),"")</f>
        <v>A</v>
      </c>
      <c r="AJ134" s="32" t="str">
        <f>IF(A134&lt;&gt;"",IF(OR(AH134+0.5&gt;=93,AH134+0.5&lt;60),"",IF(MOD(AH134+0.5,10)&gt;=7,"+",IF(MOD(AH134+0.5,10)&lt;3,"-",""))),"")</f>
        <v/>
      </c>
      <c r="AK134" s="71" t="b">
        <f>IF(A134&lt;&gt;"",OR(AI134&lt;&gt;AC134,AJ134&lt;&gt;AD134),"")</f>
        <v>1</v>
      </c>
      <c r="AL134" s="86">
        <f>IF(AND(A134&lt;&gt;"",U134&lt;&gt;""),SUM(U134,$AL$8)/$AL$2*100,"")</f>
        <v>65.333333333333329</v>
      </c>
      <c r="AM134" s="71">
        <f>IF(AND(A134&lt;&gt;"",V134&lt;&gt;""),SUM(V134,$AM$8)/$AM$2*100,"")</f>
        <v>63.076923076923073</v>
      </c>
      <c r="AN134" s="71">
        <f>IF(AND(A134&lt;&gt;"",ISNUMBER(P134),P134&gt;=0),SUM(P134,$AN$8)/$AN$2*100,"")</f>
        <v>100</v>
      </c>
      <c r="AO134" s="71" t="str">
        <f>IF(AND(A134&lt;&gt;"",ISNUMBER(Q134),Q134&gt;=0),SUM(Q134,$AO$8)/$AO$2*100,"")</f>
        <v/>
      </c>
      <c r="AP134" s="24" t="str">
        <f>IF(AND(A134&lt;&gt;"",R134&lt;&gt;""),SUM(R134,$AP$8)/$AP$2*100,"")</f>
        <v/>
      </c>
      <c r="AQ134" s="24">
        <f>IF(AND(A134&lt;&gt;"",ISNUMBER(W134),W134&gt;=0),SUM(W134,$AQ$8)/$AQ$2*100,"")</f>
        <v>100</v>
      </c>
      <c r="AR134" s="24" t="str">
        <f>IF(AND(A134&lt;&gt;"",T134&gt;0,ISNUMBER(T134)),SUM(T134,$AR$8)/$AR$2*100,"")</f>
        <v/>
      </c>
      <c r="AS134" s="24" t="str">
        <f>IF(AND(A134&lt;&gt;"",X134&lt;&gt;""),SUM(X134,$AS$8)/$AS$2*100,"")</f>
        <v/>
      </c>
      <c r="AT134" s="89">
        <f>IF(AND(A134&lt;&gt;"",OR(ISNUMBER(W134),ISNUMBER(X134))),SUM(W134:X134,$AT$8)/$AT$2*100,"")</f>
        <v>100</v>
      </c>
      <c r="AU134" s="24">
        <f>AA134</f>
        <v>76.065573770491795</v>
      </c>
      <c r="AV134" s="71"/>
      <c r="AW134" s="27">
        <f>IF(A134&lt;&gt;"",AE134-AA134,"")</f>
        <v>23.934426229508205</v>
      </c>
      <c r="AY134" s="27" t="b">
        <f>S134&gt;R134</f>
        <v>0</v>
      </c>
      <c r="BA134" s="27" t="e">
        <f>AND(AA134&gt;$BA$3,(W134+$W$8)/$W$2&lt;$BB$3,(X134+$X$8)/$X$2&lt;$BB$3)</f>
        <v>#VALUE!</v>
      </c>
      <c r="BB134" s="27" t="e">
        <f>AND(AA134&lt;$BA$3,AND(W134/$W$2&gt;$BB$3,X134/$X$2&gt;$BB$3))</f>
        <v>#VALUE!</v>
      </c>
      <c r="BC134" s="27" t="e">
        <f>AND(AA134&lt;$BA$3,OR(W134/$W$2&gt;$BB$3,X134/$X$2&gt;$BB$3))</f>
        <v>#VALUE!</v>
      </c>
      <c r="BE134" s="32">
        <v>32</v>
      </c>
    </row>
    <row r="135" spans="1:58" s="27" customFormat="1" ht="12.75" customHeight="1" x14ac:dyDescent="0.2">
      <c r="A135" s="10">
        <v>248302</v>
      </c>
      <c r="B135" s="2">
        <v>23</v>
      </c>
      <c r="C135" s="10">
        <v>24</v>
      </c>
      <c r="D135" s="10">
        <v>25</v>
      </c>
      <c r="E135" s="10"/>
      <c r="F135" s="10"/>
      <c r="G135" s="10"/>
      <c r="H135" s="10"/>
      <c r="I135" s="10"/>
      <c r="J135" s="2">
        <v>31</v>
      </c>
      <c r="K135" s="10">
        <v>49</v>
      </c>
      <c r="L135" s="10">
        <v>51</v>
      </c>
      <c r="M135" s="10"/>
      <c r="N135" s="93"/>
      <c r="O135" s="13"/>
      <c r="P135" s="10">
        <v>100</v>
      </c>
      <c r="Q135" s="10"/>
      <c r="R135" s="2"/>
      <c r="S135" s="10"/>
      <c r="T135" s="13"/>
      <c r="U135" s="1">
        <f t="array" ref="U135">IF(AND(A135&lt;&gt;"",OR(ISNUMBER(B135:I135))),SUM(B135:I135),"")</f>
        <v>72</v>
      </c>
      <c r="V135" s="10">
        <f t="array" ref="V135">IF(AND(A135&lt;&gt;"",OR(ISNUMBER(J135:O135))),SUM(J135:O135),"")</f>
        <v>131</v>
      </c>
      <c r="W135" s="10">
        <f t="array" ref="W135">IF(AND(A135&lt;&gt;"",OR(ISNUMBER(P135),ISNUMBER(Q135))),SUM(MAX(P135:Q135),Q135),"")</f>
        <v>100</v>
      </c>
      <c r="X135" s="10" t="str">
        <f t="array" ref="X135">IF(AND(A135&lt;&gt;"",OR(ISNUMBER(S135),ISNUMBER(T135))),SUM(S135,T135),"")</f>
        <v/>
      </c>
      <c r="Y135" s="13">
        <v>1</v>
      </c>
      <c r="Z135" s="13">
        <f>IF(A135&lt;&gt;"",SUM(U135:Y135),"")</f>
        <v>304</v>
      </c>
      <c r="AA135" s="27">
        <f>IF(A135&lt;&gt;"",(Z135+Normalize_To_Add)/(Point_Total_So_Far)*100,"")</f>
        <v>99.672131147540995</v>
      </c>
      <c r="AB135" s="10">
        <f>IF(A135&lt;&gt;"",RANK(AA135,All_Student_XC),"")</f>
        <v>124</v>
      </c>
      <c r="AC135" s="32" t="str">
        <f>IF(A135&lt;&gt;"",CHOOSE(10-MIN(9,TRUNC((AA135+0.5)/10)),"A","B","C","D","F","F","F","F","F","F"),"")</f>
        <v>A</v>
      </c>
      <c r="AD135" s="31" t="str">
        <f>IF(A135&lt;&gt;"",IF(OR(AA135+0.5&gt;=93,AA135+0.5&lt;60),"",IF(MOD(AA135+0.5,10)&gt;=7,"+",IF(MOD(AA135+0.5,10)&lt;3,"-",""))),"")</f>
        <v/>
      </c>
      <c r="AE135" s="32">
        <f>IF(A135&lt;&gt;"",SUM(W135:X135,$W$8:$X$8)/SUM($W$2:$X$2)*100,"")</f>
        <v>100</v>
      </c>
      <c r="AF135" s="32" t="str">
        <f>IF(A135&lt;&gt;"",CHOOSE(10-MIN(9,TRUNC((AE135+0.5)/10)),"A","B","C","D","F","F","F","F","F","F"),"")</f>
        <v>A</v>
      </c>
      <c r="AG135" s="32" t="str">
        <f>IF(A135&lt;&gt;"",IF(OR(AE135+0.5&gt;=93,AE135+0.5&lt;60),"",IF(MOD(AE135+0.5,10)&gt;=7,"+",IF(MOD(AE135+0.5,10)&lt;3,"-",""))),"")</f>
        <v/>
      </c>
      <c r="AH135" s="36">
        <f>IF(A135&lt;&gt;"",MIN(MAX(AA135,AE135),AA135+$AH$8,AE135+$AH$8),"")</f>
        <v>100</v>
      </c>
      <c r="AI135" s="32" t="str">
        <f>IF(A135&lt;&gt;"",CHOOSE(10-MIN(9,TRUNC((AH135+0.5)/10)),"A","B","C","D","F","F","F","F","F","F"),"")</f>
        <v>A</v>
      </c>
      <c r="AJ135" s="32" t="str">
        <f>IF(A135&lt;&gt;"",IF(OR(AH135+0.5&gt;=93,AH135+0.5&lt;60),"",IF(MOD(AH135+0.5,10)&gt;=7,"+",IF(MOD(AH135+0.5,10)&lt;3,"-",""))),"")</f>
        <v/>
      </c>
      <c r="AK135" s="71" t="b">
        <f>IF(A135&lt;&gt;"",OR(AI135&lt;&gt;AC135,AJ135&lt;&gt;AD135),"")</f>
        <v>0</v>
      </c>
      <c r="AL135" s="86">
        <f>IF(AND(A135&lt;&gt;"",U135&lt;&gt;""),SUM(U135,$AL$8)/$AL$2*100,"")</f>
        <v>96</v>
      </c>
      <c r="AM135" s="71">
        <f>IF(AND(A135&lt;&gt;"",V135&lt;&gt;""),SUM(V135,$AM$8)/$AM$2*100,"")</f>
        <v>100.76923076923077</v>
      </c>
      <c r="AN135" s="71">
        <f>IF(AND(A135&lt;&gt;"",ISNUMBER(P135),P135&gt;=0),SUM(P135,$AN$8)/$AN$2*100,"")</f>
        <v>100</v>
      </c>
      <c r="AO135" s="71" t="str">
        <f>IF(AND(A135&lt;&gt;"",ISNUMBER(Q135),Q135&gt;=0),SUM(Q135,$AO$8)/$AO$2*100,"")</f>
        <v/>
      </c>
      <c r="AP135" s="24" t="str">
        <f>IF(AND(A135&lt;&gt;"",R135&lt;&gt;""),SUM(R135,$AP$8)/$AP$2*100,"")</f>
        <v/>
      </c>
      <c r="AQ135" s="24">
        <f>IF(AND(A135&lt;&gt;"",ISNUMBER(W135),W135&gt;=0),SUM(W135,$AQ$8)/$AQ$2*100,"")</f>
        <v>100</v>
      </c>
      <c r="AR135" s="24" t="str">
        <f>IF(AND(A135&lt;&gt;"",T135&gt;0,ISNUMBER(T135)),SUM(T135,$AR$8)/$AR$2*100,"")</f>
        <v/>
      </c>
      <c r="AS135" s="24" t="str">
        <f>IF(AND(A135&lt;&gt;"",X135&lt;&gt;""),SUM(X135,$AS$8)/$AS$2*100,"")</f>
        <v/>
      </c>
      <c r="AT135" s="89">
        <f>IF(AND(A135&lt;&gt;"",OR(ISNUMBER(W135),ISNUMBER(X135))),SUM(W135:X135,$AT$8)/$AT$2*100,"")</f>
        <v>100</v>
      </c>
      <c r="AU135" s="24">
        <f>AA135</f>
        <v>99.672131147540995</v>
      </c>
      <c r="AV135" s="71"/>
      <c r="AW135" s="27">
        <f>IF(A135&lt;&gt;"",AE135-AA135,"")</f>
        <v>0.32786885245900521</v>
      </c>
      <c r="AY135" s="27" t="b">
        <f>S135&gt;R135</f>
        <v>0</v>
      </c>
      <c r="BA135" s="27" t="e">
        <f>AND(AA135&gt;$BA$3,(W135+$W$8)/$W$2&lt;$BB$3,(X135+$X$8)/$X$2&lt;$BB$3)</f>
        <v>#VALUE!</v>
      </c>
      <c r="BB135" s="27" t="e">
        <f>AND(AA135&lt;$BA$3,AND(W135/$W$2&gt;$BB$3,X135/$X$2&gt;$BB$3))</f>
        <v>#VALUE!</v>
      </c>
      <c r="BC135" s="27" t="e">
        <f>AND(AA135&lt;$BA$3,OR(W135/$W$2&gt;$BB$3,X135/$X$2&gt;$BB$3))</f>
        <v>#VALUE!</v>
      </c>
      <c r="BE135" s="32" t="s">
        <v>84</v>
      </c>
    </row>
    <row r="136" spans="1:58" s="27" customFormat="1" ht="12.75" customHeight="1" x14ac:dyDescent="0.2">
      <c r="A136" s="10">
        <v>248403</v>
      </c>
      <c r="B136" s="2">
        <v>14</v>
      </c>
      <c r="C136" s="10">
        <v>14</v>
      </c>
      <c r="D136" s="10">
        <v>21</v>
      </c>
      <c r="E136" s="10"/>
      <c r="F136" s="10"/>
      <c r="G136" s="10"/>
      <c r="H136" s="10"/>
      <c r="I136" s="10"/>
      <c r="J136" s="2">
        <v>32</v>
      </c>
      <c r="K136" s="10">
        <v>34</v>
      </c>
      <c r="L136" s="10">
        <v>38</v>
      </c>
      <c r="M136" s="10"/>
      <c r="N136" s="10"/>
      <c r="O136" s="12"/>
      <c r="P136" s="7">
        <v>101</v>
      </c>
      <c r="Q136" s="12"/>
      <c r="R136" s="2"/>
      <c r="S136" s="10"/>
      <c r="T136" s="13"/>
      <c r="U136" s="77">
        <f t="array" ref="U136">IF(AND(A136&lt;&gt;"",OR(ISNUMBER(B136:I136))),SUM(B136:I136),"")</f>
        <v>49</v>
      </c>
      <c r="V136" s="10">
        <f t="array" ref="V136">IF(AND(A136&lt;&gt;"",OR(ISNUMBER(J136:O136))),SUM(J136:O136),"")</f>
        <v>104</v>
      </c>
      <c r="W136" s="10">
        <f t="array" ref="W136">IF(AND(A136&lt;&gt;"",OR(ISNUMBER(P136),ISNUMBER(Q136))),SUM(MAX(P136:Q136),Q136),"")</f>
        <v>101</v>
      </c>
      <c r="X136" s="10" t="str">
        <f t="array" ref="X136">IF(AND(A136&lt;&gt;"",OR(ISNUMBER(S136),ISNUMBER(T136))),SUM(S136,T136),"")</f>
        <v/>
      </c>
      <c r="Y136" s="13">
        <v>1</v>
      </c>
      <c r="Z136" s="13">
        <f>IF(A136&lt;&gt;"",SUM(U136:Y136),"")</f>
        <v>255</v>
      </c>
      <c r="AA136" s="27">
        <f>IF(A136&lt;&gt;"",(Z136+Normalize_To_Add)/(Point_Total_So_Far)*100,"")</f>
        <v>83.606557377049185</v>
      </c>
      <c r="AB136" s="10">
        <f>IF(A136&lt;&gt;"",RANK(AA136,All_Student_XC),"")</f>
        <v>384</v>
      </c>
      <c r="AC136" s="32" t="str">
        <f>IF(A136&lt;&gt;"",CHOOSE(10-MIN(9,TRUNC((AA136+0.5)/10)),"A","B","C","D","F","F","F","F","F","F"),"")</f>
        <v>B</v>
      </c>
      <c r="AD136" s="32" t="str">
        <f>IF(A136&lt;&gt;"",IF(OR(AA136+0.5&gt;=93,AA136+0.5&lt;60),"",IF(MOD(AA136+0.5,10)&gt;=7,"+",IF(MOD(AA136+0.5,10)&lt;3,"-",""))),"")</f>
        <v/>
      </c>
      <c r="AE136" s="32">
        <f>IF(A136&lt;&gt;"",SUM(W136:X136,$W$8:$X$8)/SUM($W$2:$X$2)*100,"")</f>
        <v>101</v>
      </c>
      <c r="AF136" s="32" t="str">
        <f>IF(A136&lt;&gt;"",CHOOSE(10-MIN(9,TRUNC((AE136+0.5)/10)),"A","B","C","D","F","F","F","F","F","F"),"")</f>
        <v>A</v>
      </c>
      <c r="AG136" s="32" t="str">
        <f>IF(A136&lt;&gt;"",IF(OR(AE136+0.5&gt;=93,AE136+0.5&lt;60),"",IF(MOD(AE136+0.5,10)&gt;=7,"+",IF(MOD(AE136+0.5,10)&lt;3,"-",""))),"")</f>
        <v/>
      </c>
      <c r="AH136" s="36">
        <f>IF(A136&lt;&gt;"",MIN(MAX(AA136,AE136),AA136+$AH$8,AE136+$AH$8),"")</f>
        <v>101</v>
      </c>
      <c r="AI136" s="32" t="str">
        <f>IF(A136&lt;&gt;"",CHOOSE(10-MIN(9,TRUNC((AH136+0.5)/10)),"A","B","C","D","F","F","F","F","F","F"),"")</f>
        <v>A</v>
      </c>
      <c r="AJ136" s="32" t="str">
        <f>IF(A136&lt;&gt;"",IF(OR(AH136+0.5&gt;=93,AH136+0.5&lt;60),"",IF(MOD(AH136+0.5,10)&gt;=7,"+",IF(MOD(AH136+0.5,10)&lt;3,"-",""))),"")</f>
        <v/>
      </c>
      <c r="AK136" s="32" t="b">
        <f>IF(A136&lt;&gt;"",OR(AI136&lt;&gt;AC136,AJ136&lt;&gt;AD136),"")</f>
        <v>1</v>
      </c>
      <c r="AL136" s="84">
        <f>IF(AND(A136&lt;&gt;"",U136&lt;&gt;""),SUM(U136,$AL$8)/$AL$2*100,"")</f>
        <v>65.333333333333329</v>
      </c>
      <c r="AM136" s="24">
        <f>IF(AND(A136&lt;&gt;"",V136&lt;&gt;""),SUM(V136,$AM$8)/$AM$2*100,"")</f>
        <v>80</v>
      </c>
      <c r="AN136" s="24">
        <f>IF(AND(A136&lt;&gt;"",ISNUMBER(P136),P136&gt;=0),SUM(P136,$AN$8)/$AN$2*100,"")</f>
        <v>101</v>
      </c>
      <c r="AO136" s="24" t="str">
        <f>IF(AND(A136&lt;&gt;"",ISNUMBER(Q136),Q136&gt;=0),SUM(Q136,$AO$8)/$AO$2*100,"")</f>
        <v/>
      </c>
      <c r="AP136" s="24" t="str">
        <f>IF(AND(A136&lt;&gt;"",R136&lt;&gt;""),SUM(R136,$AP$8)/$AP$2*100,"")</f>
        <v/>
      </c>
      <c r="AQ136" s="24">
        <f>IF(AND(A136&lt;&gt;"",ISNUMBER(W136),W136&gt;=0),SUM(W136,$AQ$8)/$AQ$2*100,"")</f>
        <v>101</v>
      </c>
      <c r="AR136" s="24" t="str">
        <f>IF(AND(A136&lt;&gt;"",T136&gt;0,ISNUMBER(T136)),SUM(T136,$AR$8)/$AR$2*100,"")</f>
        <v/>
      </c>
      <c r="AS136" s="24" t="str">
        <f>IF(AND(A136&lt;&gt;"",X136&lt;&gt;""),SUM(X136,$AS$8)/$AS$2*100,"")</f>
        <v/>
      </c>
      <c r="AT136" s="89">
        <f>IF(AND(A136&lt;&gt;"",OR(ISNUMBER(W136),ISNUMBER(X136))),SUM(W136:X136,$AT$8)/$AT$2*100,"")</f>
        <v>101</v>
      </c>
      <c r="AU136" s="24">
        <f>AA136</f>
        <v>83.606557377049185</v>
      </c>
      <c r="AV136" s="24"/>
      <c r="AW136" s="27">
        <f>IF(A136&lt;&gt;"",AE136-AA136,"")</f>
        <v>17.393442622950815</v>
      </c>
      <c r="AY136" s="27" t="b">
        <f>S136&gt;R136</f>
        <v>0</v>
      </c>
      <c r="BA136" s="27" t="e">
        <f>AND(AA136&gt;$BA$3,(W136+$W$8)/$W$2&lt;$BB$3,(X136+$X$8)/$X$2&lt;$BB$3)</f>
        <v>#VALUE!</v>
      </c>
      <c r="BB136" s="27" t="e">
        <f>AND(AA136&lt;$BA$3,AND(W136/$W$2&gt;$BB$3,X136/$X$2&gt;$BB$3))</f>
        <v>#VALUE!</v>
      </c>
      <c r="BC136" s="27" t="e">
        <f>AND(AA136&lt;$BA$3,OR(W136/$W$2&gt;$BB$3,X136/$X$2&gt;$BB$3))</f>
        <v>#VALUE!</v>
      </c>
      <c r="BE136" s="32" t="s">
        <v>84</v>
      </c>
    </row>
    <row r="137" spans="1:58" s="27" customFormat="1" ht="12.75" customHeight="1" x14ac:dyDescent="0.2">
      <c r="A137" s="56">
        <v>256857</v>
      </c>
      <c r="B137" s="2">
        <v>25</v>
      </c>
      <c r="C137" s="10">
        <v>22</v>
      </c>
      <c r="D137" s="10">
        <v>25</v>
      </c>
      <c r="E137" s="10"/>
      <c r="F137" s="10"/>
      <c r="G137" s="10"/>
      <c r="H137" s="10"/>
      <c r="I137" s="10"/>
      <c r="J137" s="2">
        <v>30</v>
      </c>
      <c r="K137" s="10">
        <v>44</v>
      </c>
      <c r="L137" s="10">
        <v>52</v>
      </c>
      <c r="M137" s="10"/>
      <c r="N137" s="93"/>
      <c r="O137" s="12"/>
      <c r="P137" s="10">
        <v>101</v>
      </c>
      <c r="Q137" s="41"/>
      <c r="R137" s="2"/>
      <c r="S137" s="10"/>
      <c r="T137" s="13"/>
      <c r="U137" s="1">
        <f t="array" ref="U137">IF(AND(A137&lt;&gt;"",OR(ISNUMBER(B137:I137))),SUM(B137:I137),"")</f>
        <v>72</v>
      </c>
      <c r="V137" s="10">
        <f t="array" ref="V137">IF(AND(A137&lt;&gt;"",OR(ISNUMBER(J137:O137))),SUM(J137:O137),"")</f>
        <v>126</v>
      </c>
      <c r="W137" s="10">
        <f t="array" ref="W137">IF(AND(A137&lt;&gt;"",OR(ISNUMBER(P137),ISNUMBER(Q137))),SUM(MAX(P137:Q137),Q137),"")</f>
        <v>101</v>
      </c>
      <c r="X137" s="10" t="str">
        <f t="array" ref="X137">IF(AND(A137&lt;&gt;"",OR(ISNUMBER(S137),ISNUMBER(T137))),SUM(S137,T137),"")</f>
        <v/>
      </c>
      <c r="Y137" s="13">
        <v>1</v>
      </c>
      <c r="Z137" s="13">
        <f>IF(A137&lt;&gt;"",SUM(U137:Y137),"")</f>
        <v>300</v>
      </c>
      <c r="AA137" s="27">
        <f>IF(A137&lt;&gt;"",(Z137+Normalize_To_Add)/(Point_Total_So_Far)*100,"")</f>
        <v>98.360655737704917</v>
      </c>
      <c r="AB137" s="10">
        <f>IF(A137&lt;&gt;"",RANK(AA137,All_Student_XC),"")</f>
        <v>186</v>
      </c>
      <c r="AC137" s="32" t="str">
        <f>IF(A137&lt;&gt;"",CHOOSE(10-MIN(9,TRUNC((AA137+0.5)/10)),"A","B","C","D","F","F","F","F","F","F"),"")</f>
        <v>A</v>
      </c>
      <c r="AD137" s="32" t="str">
        <f>IF(A137&lt;&gt;"",IF(OR(AA137+0.5&gt;=93,AA137+0.5&lt;60),"",IF(MOD(AA137+0.5,10)&gt;=7,"+",IF(MOD(AA137+0.5,10)&lt;3,"-",""))),"")</f>
        <v/>
      </c>
      <c r="AE137" s="32">
        <f>IF(A137&lt;&gt;"",SUM(W137:X137,$W$8:$X$8)/SUM($W$2:$X$2)*100,"")</f>
        <v>101</v>
      </c>
      <c r="AF137" s="32" t="str">
        <f>IF(A137&lt;&gt;"",CHOOSE(10-MIN(9,TRUNC((AE137+0.5)/10)),"A","B","C","D","F","F","F","F","F","F"),"")</f>
        <v>A</v>
      </c>
      <c r="AG137" s="32" t="str">
        <f>IF(A137&lt;&gt;"",IF(OR(AE137+0.5&gt;=93,AE137+0.5&lt;60),"",IF(MOD(AE137+0.5,10)&gt;=7,"+",IF(MOD(AE137+0.5,10)&lt;3,"-",""))),"")</f>
        <v/>
      </c>
      <c r="AH137" s="36">
        <f>IF(A137&lt;&gt;"",MIN(MAX(AA137,AE137),AA137+$AH$8,AE137+$AH$8),"")</f>
        <v>101</v>
      </c>
      <c r="AI137" s="32" t="str">
        <f>IF(A137&lt;&gt;"",CHOOSE(10-MIN(9,TRUNC((AH137+0.5)/10)),"A","B","C","D","F","F","F","F","F","F"),"")</f>
        <v>A</v>
      </c>
      <c r="AJ137" s="32" t="str">
        <f>IF(A137&lt;&gt;"",IF(OR(AH137+0.5&gt;=93,AH137+0.5&lt;60),"",IF(MOD(AH137+0.5,10)&gt;=7,"+",IF(MOD(AH137+0.5,10)&lt;3,"-",""))),"")</f>
        <v/>
      </c>
      <c r="AK137" s="32" t="b">
        <f>IF(A137&lt;&gt;"",OR(AI137&lt;&gt;AC137,AJ137&lt;&gt;AD137),"")</f>
        <v>0</v>
      </c>
      <c r="AL137" s="84">
        <f>IF(AND(A137&lt;&gt;"",U137&lt;&gt;""),SUM(U137,$AL$8)/$AL$2*100,"")</f>
        <v>96</v>
      </c>
      <c r="AM137" s="24">
        <f>IF(AND(A137&lt;&gt;"",V137&lt;&gt;""),SUM(V137,$AM$8)/$AM$2*100,"")</f>
        <v>96.92307692307692</v>
      </c>
      <c r="AN137" s="24">
        <f>IF(AND(A137&lt;&gt;"",ISNUMBER(P137),P137&gt;=0),SUM(P137,$AN$8)/$AN$2*100,"")</f>
        <v>101</v>
      </c>
      <c r="AO137" s="24" t="str">
        <f>IF(AND(A137&lt;&gt;"",ISNUMBER(Q137),Q137&gt;=0),SUM(Q137,$AO$8)/$AO$2*100,"")</f>
        <v/>
      </c>
      <c r="AP137" s="24" t="str">
        <f>IF(AND(A137&lt;&gt;"",R137&lt;&gt;""),SUM(R137,$AP$8)/$AP$2*100,"")</f>
        <v/>
      </c>
      <c r="AQ137" s="24">
        <f>IF(AND(A137&lt;&gt;"",ISNUMBER(W137),W137&gt;=0),SUM(W137,$AQ$8)/$AQ$2*100,"")</f>
        <v>101</v>
      </c>
      <c r="AR137" s="24" t="str">
        <f>IF(AND(A137&lt;&gt;"",T137&gt;0,ISNUMBER(T137)),SUM(T137,$AR$8)/$AR$2*100,"")</f>
        <v/>
      </c>
      <c r="AS137" s="24" t="str">
        <f>IF(AND(A137&lt;&gt;"",X137&lt;&gt;""),SUM(X137,$AS$8)/$AS$2*100,"")</f>
        <v/>
      </c>
      <c r="AT137" s="89">
        <f>IF(AND(A137&lt;&gt;"",OR(ISNUMBER(W137),ISNUMBER(X137))),SUM(W137:X137,$AT$8)/$AT$2*100,"")</f>
        <v>101</v>
      </c>
      <c r="AU137" s="24">
        <f>AA137</f>
        <v>98.360655737704917</v>
      </c>
      <c r="AV137" s="24"/>
      <c r="AW137" s="27">
        <f>IF(A137&lt;&gt;"",AE137-AA137,"")</f>
        <v>2.6393442622950829</v>
      </c>
      <c r="AY137" s="27" t="b">
        <f>S137&gt;R137</f>
        <v>0</v>
      </c>
      <c r="BA137" s="27" t="e">
        <f>AND(AA137&gt;$BA$3,(W137+$W$8)/$W$2&lt;$BB$3,(X137+$X$8)/$X$2&lt;$BB$3)</f>
        <v>#VALUE!</v>
      </c>
      <c r="BB137" s="27" t="e">
        <f>AND(AA137&lt;$BA$3,AND(W137/$W$2&gt;$BB$3,X137/$X$2&gt;$BB$3))</f>
        <v>#VALUE!</v>
      </c>
      <c r="BC137" s="27" t="e">
        <f>AND(AA137&lt;$BA$3,OR(W137/$W$2&gt;$BB$3,X137/$X$2&gt;$BB$3))</f>
        <v>#VALUE!</v>
      </c>
      <c r="BE137" s="32">
        <v>32</v>
      </c>
      <c r="BF137" s="58"/>
    </row>
    <row r="138" spans="1:58" s="27" customFormat="1" ht="12.75" customHeight="1" x14ac:dyDescent="0.2">
      <c r="A138" s="10">
        <v>260063</v>
      </c>
      <c r="B138" s="2" t="s">
        <v>67</v>
      </c>
      <c r="C138" s="10">
        <v>0</v>
      </c>
      <c r="D138" s="10" t="s">
        <v>67</v>
      </c>
      <c r="E138" s="10"/>
      <c r="F138" s="10"/>
      <c r="G138" s="3"/>
      <c r="H138" s="10"/>
      <c r="I138" s="10"/>
      <c r="J138" s="2">
        <v>26</v>
      </c>
      <c r="K138" s="10" t="s">
        <v>67</v>
      </c>
      <c r="L138" s="10">
        <v>39</v>
      </c>
      <c r="M138" s="10"/>
      <c r="N138" s="10"/>
      <c r="O138" s="12"/>
      <c r="P138" s="41">
        <v>40</v>
      </c>
      <c r="Q138" s="41"/>
      <c r="R138" s="2"/>
      <c r="S138" s="10"/>
      <c r="T138" s="13"/>
      <c r="U138" s="1">
        <f t="array" ref="U138">IF(AND(A138&lt;&gt;"",OR(ISNUMBER(B138:I138))),SUM(B138:I138),"")</f>
        <v>0</v>
      </c>
      <c r="V138" s="10">
        <f t="array" ref="V138">IF(AND(A138&lt;&gt;"",OR(ISNUMBER(J138:O138))),SUM(J138:O138),"")</f>
        <v>65</v>
      </c>
      <c r="W138" s="10">
        <f t="array" ref="W138">IF(AND(A138&lt;&gt;"",OR(ISNUMBER(P138),ISNUMBER(Q138))),SUM(MAX(P138:Q138),Q138),"")</f>
        <v>40</v>
      </c>
      <c r="X138" s="10" t="str">
        <f t="array" ref="X138">IF(AND(A138&lt;&gt;"",OR(ISNUMBER(S138),ISNUMBER(T138))),SUM(S138,T138),"")</f>
        <v/>
      </c>
      <c r="Y138" s="13">
        <v>1</v>
      </c>
      <c r="Z138" s="13">
        <f>IF(A138&lt;&gt;"",SUM(U138:Y138),"")</f>
        <v>106</v>
      </c>
      <c r="AA138" s="27">
        <f>IF(A138&lt;&gt;"",(Z138+Normalize_To_Add)/(Point_Total_So_Far)*100,"")</f>
        <v>34.754098360655739</v>
      </c>
      <c r="AB138" s="10">
        <f>IF(A138&lt;&gt;"",RANK(AA138,All_Student_XC),"")</f>
        <v>501</v>
      </c>
      <c r="AC138" s="32" t="str">
        <f>IF(A138&lt;&gt;"",CHOOSE(10-MIN(9,TRUNC((AA138+0.5)/10)),"A","B","C","D","F","F","F","F","F","F"),"")</f>
        <v>F</v>
      </c>
      <c r="AD138" s="32" t="str">
        <f>IF(A138&lt;&gt;"",IF(OR(AA138+0.5&gt;=93,AA138+0.5&lt;60),"",IF(MOD(AA138+0.5,10)&gt;=7,"+",IF(MOD(AA138+0.5,10)&lt;3,"-",""))),"")</f>
        <v/>
      </c>
      <c r="AE138" s="32">
        <f>IF(A138&lt;&gt;"",SUM(W138:X138,$W$8:$X$8)/SUM($W$2:$X$2)*100,"")</f>
        <v>40</v>
      </c>
      <c r="AF138" s="32" t="str">
        <f>IF(A138&lt;&gt;"",CHOOSE(10-MIN(9,TRUNC((AE138+0.5)/10)),"A","B","C","D","F","F","F","F","F","F"),"")</f>
        <v>F</v>
      </c>
      <c r="AG138" s="32" t="str">
        <f>IF(A138&lt;&gt;"",IF(OR(AE138+0.5&gt;=93,AE138+0.5&lt;60),"",IF(MOD(AE138+0.5,10)&gt;=7,"+",IF(MOD(AE138+0.5,10)&lt;3,"-",""))),"")</f>
        <v/>
      </c>
      <c r="AH138" s="36">
        <f>IF(A138&lt;&gt;"",MIN(MAX(AA138,AE138),AA138+$AH$8,AE138+$AH$8),"")</f>
        <v>40</v>
      </c>
      <c r="AI138" s="32" t="str">
        <f>IF(A138&lt;&gt;"",CHOOSE(10-MIN(9,TRUNC((AH138+0.5)/10)),"A","B","C","D","F","F","F","F","F","F"),"")</f>
        <v>F</v>
      </c>
      <c r="AJ138" s="32" t="str">
        <f>IF(A138&lt;&gt;"",IF(OR(AH138+0.5&gt;=93,AH138+0.5&lt;60),"",IF(MOD(AH138+0.5,10)&gt;=7,"+",IF(MOD(AH138+0.5,10)&lt;3,"-",""))),"")</f>
        <v/>
      </c>
      <c r="AK138" s="32" t="b">
        <f>IF(A138&lt;&gt;"",OR(AI138&lt;&gt;AC138,AJ138&lt;&gt;AD138),"")</f>
        <v>0</v>
      </c>
      <c r="AL138" s="84">
        <f>IF(AND(A138&lt;&gt;"",U138&lt;&gt;""),SUM(U138,$AL$8)/$AL$2*100,"")</f>
        <v>0</v>
      </c>
      <c r="AM138" s="24">
        <f>IF(AND(A138&lt;&gt;"",V138&lt;&gt;""),SUM(V138,$AM$8)/$AM$2*100,"")</f>
        <v>50</v>
      </c>
      <c r="AN138" s="24">
        <f>IF(AND(A138&lt;&gt;"",ISNUMBER(P138),P138&gt;=0),SUM(P138,$AN$8)/$AN$2*100,"")</f>
        <v>40</v>
      </c>
      <c r="AO138" s="24" t="str">
        <f>IF(AND(A138&lt;&gt;"",ISNUMBER(Q138),Q138&gt;=0),SUM(Q138,$AO$8)/$AO$2*100,"")</f>
        <v/>
      </c>
      <c r="AP138" s="24" t="str">
        <f>IF(AND(A138&lt;&gt;"",R138&lt;&gt;""),SUM(R138,$AP$8)/$AP$2*100,"")</f>
        <v/>
      </c>
      <c r="AQ138" s="24">
        <f>IF(AND(A138&lt;&gt;"",ISNUMBER(W138),W138&gt;=0),SUM(W138,$AQ$8)/$AQ$2*100,"")</f>
        <v>40</v>
      </c>
      <c r="AR138" s="24" t="str">
        <f>IF(AND(A138&lt;&gt;"",T138&gt;0,ISNUMBER(T138)),SUM(T138,$AR$8)/$AR$2*100,"")</f>
        <v/>
      </c>
      <c r="AS138" s="24" t="str">
        <f>IF(AND(A138&lt;&gt;"",X138&lt;&gt;""),SUM(X138,$AS$8)/$AS$2*100,"")</f>
        <v/>
      </c>
      <c r="AT138" s="89">
        <f>IF(AND(A138&lt;&gt;"",OR(ISNUMBER(W138),ISNUMBER(X138))),SUM(W138:X138,$AT$8)/$AT$2*100,"")</f>
        <v>40</v>
      </c>
      <c r="AU138" s="24">
        <f>AA138</f>
        <v>34.754098360655739</v>
      </c>
      <c r="AV138" s="24"/>
      <c r="AW138" s="27">
        <f>IF(A138&lt;&gt;"",AE138-AA138,"")</f>
        <v>5.245901639344261</v>
      </c>
      <c r="AY138" s="27" t="b">
        <f>S138&gt;R138</f>
        <v>0</v>
      </c>
      <c r="BA138" s="27" t="e">
        <f>AND(AA138&gt;$BA$3,(W138+$W$8)/$W$2&lt;$BB$3,(X138+$X$8)/$X$2&lt;$BB$3)</f>
        <v>#VALUE!</v>
      </c>
      <c r="BB138" s="27" t="e">
        <f>AND(AA138&lt;$BA$3,AND(W138/$W$2&gt;$BB$3,X138/$X$2&gt;$BB$3))</f>
        <v>#VALUE!</v>
      </c>
      <c r="BC138" s="27" t="e">
        <f>AND(AA138&lt;$BA$3,OR(W138/$W$2&gt;$BB$3,X138/$X$2&gt;$BB$3))</f>
        <v>#VALUE!</v>
      </c>
      <c r="BE138" s="32" t="s">
        <v>84</v>
      </c>
    </row>
    <row r="139" spans="1:58" s="27" customFormat="1" ht="12.75" customHeight="1" x14ac:dyDescent="0.2">
      <c r="A139" s="10">
        <v>262653</v>
      </c>
      <c r="B139" s="2">
        <v>6</v>
      </c>
      <c r="C139" s="10">
        <v>25</v>
      </c>
      <c r="D139" s="10">
        <v>24</v>
      </c>
      <c r="E139" s="10"/>
      <c r="F139" s="10"/>
      <c r="G139" s="3"/>
      <c r="H139" s="10"/>
      <c r="I139" s="10"/>
      <c r="J139" s="2">
        <v>27</v>
      </c>
      <c r="K139" s="10">
        <v>43</v>
      </c>
      <c r="L139" s="10">
        <v>50</v>
      </c>
      <c r="M139" s="10"/>
      <c r="N139" s="10"/>
      <c r="O139" s="12"/>
      <c r="P139" s="7">
        <v>101</v>
      </c>
      <c r="Q139" s="7"/>
      <c r="R139" s="2"/>
      <c r="S139" s="10"/>
      <c r="T139" s="13"/>
      <c r="U139" s="77">
        <f t="array" ref="U139">IF(AND(A139&lt;&gt;"",OR(ISNUMBER(B139:I139))),SUM(B139:I139),"")</f>
        <v>55</v>
      </c>
      <c r="V139" s="10">
        <f t="array" ref="V139">IF(AND(A139&lt;&gt;"",OR(ISNUMBER(J139:O139))),SUM(J139:O139),"")</f>
        <v>120</v>
      </c>
      <c r="W139" s="10">
        <f t="array" ref="W139">IF(AND(A139&lt;&gt;"",OR(ISNUMBER(P139),ISNUMBER(Q139))),SUM(MAX(P139:Q139),Q139),"")</f>
        <v>101</v>
      </c>
      <c r="X139" s="10" t="str">
        <f t="array" ref="X139">IF(AND(A139&lt;&gt;"",OR(ISNUMBER(S139),ISNUMBER(T139))),SUM(S139,T139),"")</f>
        <v/>
      </c>
      <c r="Y139" s="13">
        <v>1</v>
      </c>
      <c r="Z139" s="13">
        <f>IF(A139&lt;&gt;"",SUM(U139:Y139),"")</f>
        <v>277</v>
      </c>
      <c r="AA139" s="27">
        <f>IF(A139&lt;&gt;"",(Z139+Normalize_To_Add)/(Point_Total_So_Far)*100,"")</f>
        <v>90.819672131147541</v>
      </c>
      <c r="AB139" s="10">
        <f>IF(A139&lt;&gt;"",RANK(AA139,All_Student_XC),"")</f>
        <v>324</v>
      </c>
      <c r="AC139" s="32" t="str">
        <f>IF(A139&lt;&gt;"",CHOOSE(10-MIN(9,TRUNC((AA139+0.5)/10)),"A","B","C","D","F","F","F","F","F","F"),"")</f>
        <v>A</v>
      </c>
      <c r="AD139" s="32" t="str">
        <f>IF(A139&lt;&gt;"",IF(OR(AA139+0.5&gt;=93,AA139+0.5&lt;60),"",IF(MOD(AA139+0.5,10)&gt;=7,"+",IF(MOD(AA139+0.5,10)&lt;3,"-",""))),"")</f>
        <v>-</v>
      </c>
      <c r="AE139" s="32">
        <f>IF(A139&lt;&gt;"",SUM(W139:X139,$W$8:$X$8)/SUM($W$2:$X$2)*100,"")</f>
        <v>101</v>
      </c>
      <c r="AF139" s="32" t="str">
        <f>IF(A139&lt;&gt;"",CHOOSE(10-MIN(9,TRUNC((AE139+0.5)/10)),"A","B","C","D","F","F","F","F","F","F"),"")</f>
        <v>A</v>
      </c>
      <c r="AG139" s="32" t="str">
        <f>IF(A139&lt;&gt;"",IF(OR(AE139+0.5&gt;=93,AE139+0.5&lt;60),"",IF(MOD(AE139+0.5,10)&gt;=7,"+",IF(MOD(AE139+0.5,10)&lt;3,"-",""))),"")</f>
        <v/>
      </c>
      <c r="AH139" s="36">
        <f>IF(A139&lt;&gt;"",MIN(MAX(AA139,AE139),AA139+$AH$8,AE139+$AH$8),"")</f>
        <v>101</v>
      </c>
      <c r="AI139" s="32" t="str">
        <f>IF(A139&lt;&gt;"",CHOOSE(10-MIN(9,TRUNC((AH139+0.5)/10)),"A","B","C","D","F","F","F","F","F","F"),"")</f>
        <v>A</v>
      </c>
      <c r="AJ139" s="32" t="str">
        <f>IF(A139&lt;&gt;"",IF(OR(AH139+0.5&gt;=93,AH139+0.5&lt;60),"",IF(MOD(AH139+0.5,10)&gt;=7,"+",IF(MOD(AH139+0.5,10)&lt;3,"-",""))),"")</f>
        <v/>
      </c>
      <c r="AK139" s="32" t="b">
        <f>IF(A139&lt;&gt;"",OR(AI139&lt;&gt;AC139,AJ139&lt;&gt;AD139),"")</f>
        <v>1</v>
      </c>
      <c r="AL139" s="84">
        <f>IF(AND(A139&lt;&gt;"",U139&lt;&gt;""),SUM(U139,$AL$8)/$AL$2*100,"")</f>
        <v>73.333333333333329</v>
      </c>
      <c r="AM139" s="24">
        <f>IF(AND(A139&lt;&gt;"",V139&lt;&gt;""),SUM(V139,$AM$8)/$AM$2*100,"")</f>
        <v>92.307692307692307</v>
      </c>
      <c r="AN139" s="24">
        <f>IF(AND(A139&lt;&gt;"",ISNUMBER(P139),P139&gt;=0),SUM(P139,$AN$8)/$AN$2*100,"")</f>
        <v>101</v>
      </c>
      <c r="AO139" s="24" t="str">
        <f>IF(AND(A139&lt;&gt;"",ISNUMBER(Q139),Q139&gt;=0),SUM(Q139,$AO$8)/$AO$2*100,"")</f>
        <v/>
      </c>
      <c r="AP139" s="24" t="str">
        <f>IF(AND(A139&lt;&gt;"",R139&lt;&gt;""),SUM(R139,$AP$8)/$AP$2*100,"")</f>
        <v/>
      </c>
      <c r="AQ139" s="24">
        <f>IF(AND(A139&lt;&gt;"",ISNUMBER(W139),W139&gt;=0),SUM(W139,$AQ$8)/$AQ$2*100,"")</f>
        <v>101</v>
      </c>
      <c r="AR139" s="24" t="str">
        <f>IF(AND(A139&lt;&gt;"",T139&gt;0,ISNUMBER(T139)),SUM(T139,$AR$8)/$AR$2*100,"")</f>
        <v/>
      </c>
      <c r="AS139" s="24" t="str">
        <f>IF(AND(A139&lt;&gt;"",X139&lt;&gt;""),SUM(X139,$AS$8)/$AS$2*100,"")</f>
        <v/>
      </c>
      <c r="AT139" s="89">
        <f>IF(AND(A139&lt;&gt;"",OR(ISNUMBER(W139),ISNUMBER(X139))),SUM(W139:X139,$AT$8)/$AT$2*100,"")</f>
        <v>101</v>
      </c>
      <c r="AU139" s="24">
        <f>AA139</f>
        <v>90.819672131147541</v>
      </c>
      <c r="AV139" s="24"/>
      <c r="AW139" s="27">
        <f>IF(A139&lt;&gt;"",AE139-AA139,"")</f>
        <v>10.180327868852459</v>
      </c>
      <c r="AY139" s="27" t="b">
        <f>S139&gt;R139</f>
        <v>0</v>
      </c>
      <c r="BA139" s="27" t="e">
        <f>AND(AA139&gt;$BA$3,(W139+$W$8)/$W$2&lt;$BB$3,(X139+$X$8)/$X$2&lt;$BB$3)</f>
        <v>#VALUE!</v>
      </c>
      <c r="BB139" s="27" t="e">
        <f>AND(AA139&lt;$BA$3,AND(W139/$W$2&gt;$BB$3,X139/$X$2&gt;$BB$3))</f>
        <v>#VALUE!</v>
      </c>
      <c r="BC139" s="27" t="e">
        <f>AND(AA139&lt;$BA$3,OR(W139/$W$2&gt;$BB$3,X139/$X$2&gt;$BB$3))</f>
        <v>#VALUE!</v>
      </c>
      <c r="BE139" s="32" t="s">
        <v>84</v>
      </c>
    </row>
    <row r="140" spans="1:58" s="27" customFormat="1" ht="12.75" customHeight="1" x14ac:dyDescent="0.2">
      <c r="A140" s="56">
        <v>263660</v>
      </c>
      <c r="B140" s="2">
        <v>24</v>
      </c>
      <c r="C140" s="10">
        <v>18</v>
      </c>
      <c r="D140" s="10">
        <v>25</v>
      </c>
      <c r="E140" s="10"/>
      <c r="F140" s="10"/>
      <c r="G140" s="10"/>
      <c r="H140" s="10"/>
      <c r="I140" s="10"/>
      <c r="J140" s="2">
        <v>29</v>
      </c>
      <c r="K140" s="10">
        <v>50</v>
      </c>
      <c r="L140" s="10">
        <v>50</v>
      </c>
      <c r="M140" s="10"/>
      <c r="N140" s="10"/>
      <c r="O140" s="12"/>
      <c r="P140" s="10">
        <v>101</v>
      </c>
      <c r="Q140" s="41"/>
      <c r="R140" s="2"/>
      <c r="S140" s="10"/>
      <c r="T140" s="13"/>
      <c r="U140" s="1">
        <f t="array" ref="U140">IF(AND(A140&lt;&gt;"",OR(ISNUMBER(B140:I140))),SUM(B140:I140),"")</f>
        <v>67</v>
      </c>
      <c r="V140" s="10">
        <f t="array" ref="V140">IF(AND(A140&lt;&gt;"",OR(ISNUMBER(J140:O140))),SUM(J140:O140),"")</f>
        <v>129</v>
      </c>
      <c r="W140" s="10">
        <f t="array" ref="W140">IF(AND(A140&lt;&gt;"",OR(ISNUMBER(P140),ISNUMBER(Q140))),SUM(MAX(P140:Q140),Q140),"")</f>
        <v>101</v>
      </c>
      <c r="X140" s="10" t="str">
        <f t="array" ref="X140">IF(AND(A140&lt;&gt;"",OR(ISNUMBER(S140),ISNUMBER(T140))),SUM(S140,T140),"")</f>
        <v/>
      </c>
      <c r="Y140" s="13">
        <v>1</v>
      </c>
      <c r="Z140" s="13">
        <f>IF(A140&lt;&gt;"",SUM(U140:Y140),"")</f>
        <v>298</v>
      </c>
      <c r="AA140" s="27">
        <f>IF(A140&lt;&gt;"",(Z140+Normalize_To_Add)/(Point_Total_So_Far)*100,"")</f>
        <v>97.704918032786878</v>
      </c>
      <c r="AB140" s="10">
        <f>IF(A140&lt;&gt;"",RANK(AA140,All_Student_XC),"")</f>
        <v>210</v>
      </c>
      <c r="AC140" s="32" t="str">
        <f>IF(A140&lt;&gt;"",CHOOSE(10-MIN(9,TRUNC((AA140+0.5)/10)),"A","B","C","D","F","F","F","F","F","F"),"")</f>
        <v>A</v>
      </c>
      <c r="AD140" s="32" t="str">
        <f>IF(A140&lt;&gt;"",IF(OR(AA140+0.5&gt;=93,AA140+0.5&lt;60),"",IF(MOD(AA140+0.5,10)&gt;=7,"+",IF(MOD(AA140+0.5,10)&lt;3,"-",""))),"")</f>
        <v/>
      </c>
      <c r="AE140" s="32">
        <f>IF(A140&lt;&gt;"",SUM(W140:X140,$W$8:$X$8)/SUM($W$2:$X$2)*100,"")</f>
        <v>101</v>
      </c>
      <c r="AF140" s="32" t="str">
        <f>IF(A140&lt;&gt;"",CHOOSE(10-MIN(9,TRUNC((AE140+0.5)/10)),"A","B","C","D","F","F","F","F","F","F"),"")</f>
        <v>A</v>
      </c>
      <c r="AG140" s="32" t="str">
        <f>IF(A140&lt;&gt;"",IF(OR(AE140+0.5&gt;=93,AE140+0.5&lt;60),"",IF(MOD(AE140+0.5,10)&gt;=7,"+",IF(MOD(AE140+0.5,10)&lt;3,"-",""))),"")</f>
        <v/>
      </c>
      <c r="AH140" s="36">
        <f>IF(A140&lt;&gt;"",MIN(MAX(AA140,AE140),AA140+$AH$8,AE140+$AH$8),"")</f>
        <v>101</v>
      </c>
      <c r="AI140" s="32" t="str">
        <f>IF(A140&lt;&gt;"",CHOOSE(10-MIN(9,TRUNC((AH140+0.5)/10)),"A","B","C","D","F","F","F","F","F","F"),"")</f>
        <v>A</v>
      </c>
      <c r="AJ140" s="32" t="str">
        <f>IF(A140&lt;&gt;"",IF(OR(AH140+0.5&gt;=93,AH140+0.5&lt;60),"",IF(MOD(AH140+0.5,10)&gt;=7,"+",IF(MOD(AH140+0.5,10)&lt;3,"-",""))),"")</f>
        <v/>
      </c>
      <c r="AK140" s="32" t="b">
        <f>IF(A140&lt;&gt;"",OR(AI140&lt;&gt;AC140,AJ140&lt;&gt;AD140),"")</f>
        <v>0</v>
      </c>
      <c r="AL140" s="84">
        <f>IF(AND(A140&lt;&gt;"",U140&lt;&gt;""),SUM(U140,$AL$8)/$AL$2*100,"")</f>
        <v>89.333333333333329</v>
      </c>
      <c r="AM140" s="24">
        <f>IF(AND(A140&lt;&gt;"",V140&lt;&gt;""),SUM(V140,$AM$8)/$AM$2*100,"")</f>
        <v>99.230769230769226</v>
      </c>
      <c r="AN140" s="24">
        <f>IF(AND(A140&lt;&gt;"",ISNUMBER(P140),P140&gt;=0),SUM(P140,$AN$8)/$AN$2*100,"")</f>
        <v>101</v>
      </c>
      <c r="AO140" s="24" t="str">
        <f>IF(AND(A140&lt;&gt;"",ISNUMBER(Q140),Q140&gt;=0),SUM(Q140,$AO$8)/$AO$2*100,"")</f>
        <v/>
      </c>
      <c r="AP140" s="24" t="str">
        <f>IF(AND(A140&lt;&gt;"",R140&lt;&gt;""),SUM(R140,$AP$8)/$AP$2*100,"")</f>
        <v/>
      </c>
      <c r="AQ140" s="24">
        <f>IF(AND(A140&lt;&gt;"",ISNUMBER(W140),W140&gt;=0),SUM(W140,$AQ$8)/$AQ$2*100,"")</f>
        <v>101</v>
      </c>
      <c r="AR140" s="24" t="str">
        <f>IF(AND(A140&lt;&gt;"",T140&gt;0,ISNUMBER(T140)),SUM(T140,$AR$8)/$AR$2*100,"")</f>
        <v/>
      </c>
      <c r="AS140" s="24" t="str">
        <f>IF(AND(A140&lt;&gt;"",X140&lt;&gt;""),SUM(X140,$AS$8)/$AS$2*100,"")</f>
        <v/>
      </c>
      <c r="AT140" s="89">
        <f>IF(AND(A140&lt;&gt;"",OR(ISNUMBER(W140),ISNUMBER(X140))),SUM(W140:X140,$AT$8)/$AT$2*100,"")</f>
        <v>101</v>
      </c>
      <c r="AU140" s="24">
        <f>AA140</f>
        <v>97.704918032786878</v>
      </c>
      <c r="AV140" s="24"/>
      <c r="AW140" s="27">
        <f>IF(A140&lt;&gt;"",AE140-AA140,"")</f>
        <v>3.2950819672131217</v>
      </c>
      <c r="AY140" s="27" t="b">
        <f>S140&gt;R140</f>
        <v>0</v>
      </c>
      <c r="BA140" s="27" t="e">
        <f>AND(AA140&gt;$BA$3,(W140+$W$8)/$W$2&lt;$BB$3,(X140+$X$8)/$X$2&lt;$BB$3)</f>
        <v>#VALUE!</v>
      </c>
      <c r="BB140" s="27" t="e">
        <f>AND(AA140&lt;$BA$3,AND(W140/$W$2&gt;$BB$3,X140/$X$2&gt;$BB$3))</f>
        <v>#VALUE!</v>
      </c>
      <c r="BC140" s="27" t="e">
        <f>AND(AA140&lt;$BA$3,OR(W140/$W$2&gt;$BB$3,X140/$X$2&gt;$BB$3))</f>
        <v>#VALUE!</v>
      </c>
      <c r="BE140" s="32" t="s">
        <v>84</v>
      </c>
    </row>
    <row r="141" spans="1:58" s="27" customFormat="1" ht="12.75" customHeight="1" x14ac:dyDescent="0.2">
      <c r="A141" s="56">
        <v>263981</v>
      </c>
      <c r="B141" s="2">
        <v>24</v>
      </c>
      <c r="C141" s="10">
        <v>25</v>
      </c>
      <c r="D141" s="10">
        <v>25</v>
      </c>
      <c r="E141" s="10"/>
      <c r="F141" s="10"/>
      <c r="G141" s="10"/>
      <c r="H141" s="10"/>
      <c r="I141" s="10"/>
      <c r="J141" s="2">
        <v>32</v>
      </c>
      <c r="K141" s="10">
        <v>52</v>
      </c>
      <c r="L141" s="10">
        <v>52</v>
      </c>
      <c r="M141" s="10"/>
      <c r="N141" s="93"/>
      <c r="O141" s="13"/>
      <c r="P141" s="10">
        <v>101</v>
      </c>
      <c r="Q141" s="10"/>
      <c r="R141" s="2"/>
      <c r="S141" s="10"/>
      <c r="T141" s="13"/>
      <c r="U141" s="1">
        <f t="array" ref="U141">IF(AND(A141&lt;&gt;"",OR(ISNUMBER(B141:I141))),SUM(B141:I141),"")</f>
        <v>74</v>
      </c>
      <c r="V141" s="10">
        <f t="array" ref="V141">IF(AND(A141&lt;&gt;"",OR(ISNUMBER(J141:O141))),SUM(J141:O141),"")</f>
        <v>136</v>
      </c>
      <c r="W141" s="10">
        <f t="array" ref="W141">IF(AND(A141&lt;&gt;"",OR(ISNUMBER(P141),ISNUMBER(Q141))),SUM(MAX(P141:Q141),Q141),"")</f>
        <v>101</v>
      </c>
      <c r="X141" s="10" t="str">
        <f t="array" ref="X141">IF(AND(A141&lt;&gt;"",OR(ISNUMBER(S141),ISNUMBER(T141))),SUM(S141,T141),"")</f>
        <v/>
      </c>
      <c r="Y141" s="13">
        <v>1</v>
      </c>
      <c r="Z141" s="13">
        <f>IF(A141&lt;&gt;"",SUM(U141:Y141),"")</f>
        <v>312</v>
      </c>
      <c r="AA141" s="27">
        <f>IF(A141&lt;&gt;"",(Z141+Normalize_To_Add)/(Point_Total_So_Far)*100,"")</f>
        <v>102.29508196721311</v>
      </c>
      <c r="AB141" s="10">
        <f>IF(A141&lt;&gt;"",RANK(AA141,All_Student_XC),"")</f>
        <v>2</v>
      </c>
      <c r="AC141" s="32" t="str">
        <f>IF(A141&lt;&gt;"",CHOOSE(10-MIN(9,TRUNC((AA141+0.5)/10)),"A","B","C","D","F","F","F","F","F","F"),"")</f>
        <v>A</v>
      </c>
      <c r="AD141" s="31" t="str">
        <f>IF(A141&lt;&gt;"",IF(OR(AA141+0.5&gt;=93,AA141+0.5&lt;60),"",IF(MOD(AA141+0.5,10)&gt;=7,"+",IF(MOD(AA141+0.5,10)&lt;3,"-",""))),"")</f>
        <v/>
      </c>
      <c r="AE141" s="32">
        <f>IF(A141&lt;&gt;"",SUM(W141:X141,$W$8:$X$8)/SUM($W$2:$X$2)*100,"")</f>
        <v>101</v>
      </c>
      <c r="AF141" s="32" t="str">
        <f>IF(A141&lt;&gt;"",CHOOSE(10-MIN(9,TRUNC((AE141+0.5)/10)),"A","B","C","D","F","F","F","F","F","F"),"")</f>
        <v>A</v>
      </c>
      <c r="AG141" s="32" t="str">
        <f>IF(A141&lt;&gt;"",IF(OR(AE141+0.5&gt;=93,AE141+0.5&lt;60),"",IF(MOD(AE141+0.5,10)&gt;=7,"+",IF(MOD(AE141+0.5,10)&lt;3,"-",""))),"")</f>
        <v/>
      </c>
      <c r="AH141" s="36">
        <f>IF(A141&lt;&gt;"",MIN(MAX(AA141,AE141),AA141+$AH$8,AE141+$AH$8),"")</f>
        <v>102.29508196721311</v>
      </c>
      <c r="AI141" s="32" t="str">
        <f>IF(A141&lt;&gt;"",CHOOSE(10-MIN(9,TRUNC((AH141+0.5)/10)),"A","B","C","D","F","F","F","F","F","F"),"")</f>
        <v>A</v>
      </c>
      <c r="AJ141" s="32" t="str">
        <f>IF(A141&lt;&gt;"",IF(OR(AH141+0.5&gt;=93,AH141+0.5&lt;60),"",IF(MOD(AH141+0.5,10)&gt;=7,"+",IF(MOD(AH141+0.5,10)&lt;3,"-",""))),"")</f>
        <v/>
      </c>
      <c r="AK141" s="71" t="b">
        <f>IF(A141&lt;&gt;"",OR(AI141&lt;&gt;AC141,AJ141&lt;&gt;AD141),"")</f>
        <v>0</v>
      </c>
      <c r="AL141" s="86">
        <f>IF(AND(A141&lt;&gt;"",U141&lt;&gt;""),SUM(U141,$AL$8)/$AL$2*100,"")</f>
        <v>98.666666666666671</v>
      </c>
      <c r="AM141" s="71">
        <f>IF(AND(A141&lt;&gt;"",V141&lt;&gt;""),SUM(V141,$AM$8)/$AM$2*100,"")</f>
        <v>104.61538461538463</v>
      </c>
      <c r="AN141" s="71">
        <f>IF(AND(A141&lt;&gt;"",ISNUMBER(P141),P141&gt;=0),SUM(P141,$AN$8)/$AN$2*100,"")</f>
        <v>101</v>
      </c>
      <c r="AO141" s="71" t="str">
        <f>IF(AND(A141&lt;&gt;"",ISNUMBER(Q141),Q141&gt;=0),SUM(Q141,$AO$8)/$AO$2*100,"")</f>
        <v/>
      </c>
      <c r="AP141" s="24" t="str">
        <f>IF(AND(A141&lt;&gt;"",R141&lt;&gt;""),SUM(R141,$AP$8)/$AP$2*100,"")</f>
        <v/>
      </c>
      <c r="AQ141" s="24">
        <f>IF(AND(A141&lt;&gt;"",ISNUMBER(W141),W141&gt;=0),SUM(W141,$AQ$8)/$AQ$2*100,"")</f>
        <v>101</v>
      </c>
      <c r="AR141" s="24" t="str">
        <f>IF(AND(A141&lt;&gt;"",T141&gt;0,ISNUMBER(T141)),SUM(T141,$AR$8)/$AR$2*100,"")</f>
        <v/>
      </c>
      <c r="AS141" s="24" t="str">
        <f>IF(AND(A141&lt;&gt;"",X141&lt;&gt;""),SUM(X141,$AS$8)/$AS$2*100,"")</f>
        <v/>
      </c>
      <c r="AT141" s="89">
        <f>IF(AND(A141&lt;&gt;"",OR(ISNUMBER(W141),ISNUMBER(X141))),SUM(W141:X141,$AT$8)/$AT$2*100,"")</f>
        <v>101</v>
      </c>
      <c r="AU141" s="24">
        <f>AA141</f>
        <v>102.29508196721311</v>
      </c>
      <c r="AV141" s="71"/>
      <c r="AW141" s="27">
        <f>IF(A141&lt;&gt;"",AE141-AA141,"")</f>
        <v>-1.2950819672131075</v>
      </c>
      <c r="AY141" s="27" t="b">
        <f>S141&gt;R141</f>
        <v>0</v>
      </c>
      <c r="BA141" s="27" t="e">
        <f>AND(AA141&gt;$BA$3,(W141+$W$8)/$W$2&lt;$BB$3,(X141+$X$8)/$X$2&lt;$BB$3)</f>
        <v>#VALUE!</v>
      </c>
      <c r="BB141" s="27" t="e">
        <f>AND(AA141&lt;$BA$3,AND(W141/$W$2&gt;$BB$3,X141/$X$2&gt;$BB$3))</f>
        <v>#VALUE!</v>
      </c>
      <c r="BC141" s="27" t="e">
        <f>AND(AA141&lt;$BA$3,OR(W141/$W$2&gt;$BB$3,X141/$X$2&gt;$BB$3))</f>
        <v>#VALUE!</v>
      </c>
      <c r="BE141" s="32" t="s">
        <v>84</v>
      </c>
    </row>
    <row r="142" spans="1:58" s="27" customFormat="1" ht="12.75" customHeight="1" x14ac:dyDescent="0.2">
      <c r="A142" s="10">
        <v>264198</v>
      </c>
      <c r="B142" s="2"/>
      <c r="C142" s="10">
        <v>9</v>
      </c>
      <c r="D142" s="10" t="s">
        <v>67</v>
      </c>
      <c r="E142" s="10"/>
      <c r="F142" s="10"/>
      <c r="G142" s="3"/>
      <c r="H142" s="10"/>
      <c r="I142" s="10"/>
      <c r="J142" s="2">
        <v>28</v>
      </c>
      <c r="K142" s="10" t="s">
        <v>67</v>
      </c>
      <c r="L142" s="10">
        <v>14</v>
      </c>
      <c r="M142" s="10"/>
      <c r="N142" s="10"/>
      <c r="O142" s="12"/>
      <c r="P142" s="41">
        <v>30</v>
      </c>
      <c r="Q142" s="41"/>
      <c r="R142" s="2"/>
      <c r="S142" s="10"/>
      <c r="T142" s="13"/>
      <c r="U142" s="77">
        <f t="array" ref="U142">IF(AND(A142&lt;&gt;"",OR(ISNUMBER(B142:I142))),SUM(B142:I142),"")</f>
        <v>9</v>
      </c>
      <c r="V142" s="10">
        <f t="array" ref="V142">IF(AND(A142&lt;&gt;"",OR(ISNUMBER(J142:O142))),SUM(J142:O142),"")</f>
        <v>42</v>
      </c>
      <c r="W142" s="10">
        <f t="array" ref="W142">IF(AND(A142&lt;&gt;"",OR(ISNUMBER(P142),ISNUMBER(Q142))),SUM(MAX(P142:Q142),Q142),"")</f>
        <v>30</v>
      </c>
      <c r="X142" s="10" t="str">
        <f t="array" ref="X142">IF(AND(A142&lt;&gt;"",OR(ISNUMBER(S142),ISNUMBER(T142))),SUM(S142,T142),"")</f>
        <v/>
      </c>
      <c r="Y142" s="13">
        <v>1</v>
      </c>
      <c r="Z142" s="13">
        <f>IF(A142&lt;&gt;"",SUM(U142:Y142),"")</f>
        <v>82</v>
      </c>
      <c r="AA142" s="27">
        <f>IF(A142&lt;&gt;"",(Z142+Normalize_To_Add)/(Point_Total_So_Far)*100,"")</f>
        <v>26.885245901639344</v>
      </c>
      <c r="AB142" s="10">
        <f>IF(A142&lt;&gt;"",RANK(AA142,All_Student_XC),"")</f>
        <v>506</v>
      </c>
      <c r="AC142" s="32" t="str">
        <f>IF(A142&lt;&gt;"",CHOOSE(10-MIN(9,TRUNC((AA142+0.5)/10)),"A","B","C","D","F","F","F","F","F","F"),"")</f>
        <v>F</v>
      </c>
      <c r="AD142" s="32" t="str">
        <f>IF(A142&lt;&gt;"",IF(OR(AA142+0.5&gt;=93,AA142+0.5&lt;60),"",IF(MOD(AA142+0.5,10)&gt;=7,"+",IF(MOD(AA142+0.5,10)&lt;3,"-",""))),"")</f>
        <v/>
      </c>
      <c r="AE142" s="32">
        <f>IF(A142&lt;&gt;"",SUM(W142:X142,$W$8:$X$8)/SUM($W$2:$X$2)*100,"")</f>
        <v>30</v>
      </c>
      <c r="AF142" s="32" t="str">
        <f>IF(A142&lt;&gt;"",CHOOSE(10-MIN(9,TRUNC((AE142+0.5)/10)),"A","B","C","D","F","F","F","F","F","F"),"")</f>
        <v>F</v>
      </c>
      <c r="AG142" s="32" t="str">
        <f>IF(A142&lt;&gt;"",IF(OR(AE142+0.5&gt;=93,AE142+0.5&lt;60),"",IF(MOD(AE142+0.5,10)&gt;=7,"+",IF(MOD(AE142+0.5,10)&lt;3,"-",""))),"")</f>
        <v/>
      </c>
      <c r="AH142" s="36">
        <f>IF(A142&lt;&gt;"",MIN(MAX(AA142,AE142),AA142+$AH$8,AE142+$AH$8),"")</f>
        <v>30</v>
      </c>
      <c r="AI142" s="32" t="str">
        <f>IF(A142&lt;&gt;"",CHOOSE(10-MIN(9,TRUNC((AH142+0.5)/10)),"A","B","C","D","F","F","F","F","F","F"),"")</f>
        <v>F</v>
      </c>
      <c r="AJ142" s="32" t="str">
        <f>IF(A142&lt;&gt;"",IF(OR(AH142+0.5&gt;=93,AH142+0.5&lt;60),"",IF(MOD(AH142+0.5,10)&gt;=7,"+",IF(MOD(AH142+0.5,10)&lt;3,"-",""))),"")</f>
        <v/>
      </c>
      <c r="AK142" s="32" t="b">
        <f>IF(A142&lt;&gt;"",OR(AI142&lt;&gt;AC142,AJ142&lt;&gt;AD142),"")</f>
        <v>0</v>
      </c>
      <c r="AL142" s="84">
        <f>IF(AND(A142&lt;&gt;"",U142&lt;&gt;""),SUM(U142,$AL$8)/$AL$2*100,"")</f>
        <v>12</v>
      </c>
      <c r="AM142" s="24">
        <f>IF(AND(A142&lt;&gt;"",V142&lt;&gt;""),SUM(V142,$AM$8)/$AM$2*100,"")</f>
        <v>32.307692307692307</v>
      </c>
      <c r="AN142" s="24">
        <f>IF(AND(A142&lt;&gt;"",ISNUMBER(P142),P142&gt;=0),SUM(P142,$AN$8)/$AN$2*100,"")</f>
        <v>30</v>
      </c>
      <c r="AO142" s="24" t="str">
        <f>IF(AND(A142&lt;&gt;"",ISNUMBER(Q142),Q142&gt;=0),SUM(Q142,$AO$8)/$AO$2*100,"")</f>
        <v/>
      </c>
      <c r="AP142" s="24" t="str">
        <f>IF(AND(A142&lt;&gt;"",R142&lt;&gt;""),SUM(R142,$AP$8)/$AP$2*100,"")</f>
        <v/>
      </c>
      <c r="AQ142" s="24">
        <f>IF(AND(A142&lt;&gt;"",ISNUMBER(W142),W142&gt;=0),SUM(W142,$AQ$8)/$AQ$2*100,"")</f>
        <v>30</v>
      </c>
      <c r="AR142" s="24" t="str">
        <f>IF(AND(A142&lt;&gt;"",T142&gt;0,ISNUMBER(T142)),SUM(T142,$AR$8)/$AR$2*100,"")</f>
        <v/>
      </c>
      <c r="AS142" s="24" t="str">
        <f>IF(AND(A142&lt;&gt;"",X142&lt;&gt;""),SUM(X142,$AS$8)/$AS$2*100,"")</f>
        <v/>
      </c>
      <c r="AT142" s="89">
        <f>IF(AND(A142&lt;&gt;"",OR(ISNUMBER(W142),ISNUMBER(X142))),SUM(W142:X142,$AT$8)/$AT$2*100,"")</f>
        <v>30</v>
      </c>
      <c r="AU142" s="24">
        <f>AA142</f>
        <v>26.885245901639344</v>
      </c>
      <c r="AV142" s="24"/>
      <c r="AW142" s="27">
        <f>IF(A142&lt;&gt;"",AE142-AA142,"")</f>
        <v>3.1147540983606561</v>
      </c>
      <c r="AY142" s="27" t="b">
        <f>S142&gt;R142</f>
        <v>0</v>
      </c>
      <c r="BA142" s="27" t="e">
        <f>AND(AA142&gt;$BA$3,(W142+$W$8)/$W$2&lt;$BB$3,(X142+$X$8)/$X$2&lt;$BB$3)</f>
        <v>#VALUE!</v>
      </c>
      <c r="BB142" s="27" t="e">
        <f>AND(AA142&lt;$BA$3,AND(W142/$W$2&gt;$BB$3,X142/$X$2&gt;$BB$3))</f>
        <v>#VALUE!</v>
      </c>
      <c r="BC142" s="27" t="e">
        <f>AND(AA142&lt;$BA$3,OR(W142/$W$2&gt;$BB$3,X142/$X$2&gt;$BB$3))</f>
        <v>#VALUE!</v>
      </c>
      <c r="BE142" s="59" t="s">
        <v>85</v>
      </c>
    </row>
    <row r="143" spans="1:58" s="27" customFormat="1" ht="12.75" customHeight="1" x14ac:dyDescent="0.2">
      <c r="A143" s="10">
        <v>265731</v>
      </c>
      <c r="B143" s="2">
        <v>22</v>
      </c>
      <c r="C143" s="10">
        <v>18</v>
      </c>
      <c r="D143" s="10">
        <v>25</v>
      </c>
      <c r="E143" s="10"/>
      <c r="F143" s="10"/>
      <c r="G143" s="10"/>
      <c r="H143" s="10"/>
      <c r="I143" s="10"/>
      <c r="J143" s="2">
        <v>20</v>
      </c>
      <c r="K143" s="10">
        <v>50</v>
      </c>
      <c r="L143" s="10">
        <v>49</v>
      </c>
      <c r="M143" s="10"/>
      <c r="N143" s="93"/>
      <c r="O143" s="13"/>
      <c r="P143" s="10">
        <v>60</v>
      </c>
      <c r="Q143" s="10"/>
      <c r="R143" s="2"/>
      <c r="S143" s="10"/>
      <c r="T143" s="13"/>
      <c r="U143" s="1">
        <f t="array" ref="U143">IF(AND(A143&lt;&gt;"",OR(ISNUMBER(B143:I143))),SUM(B143:I143),"")</f>
        <v>65</v>
      </c>
      <c r="V143" s="10">
        <f t="array" ref="V143">IF(AND(A143&lt;&gt;"",OR(ISNUMBER(J143:O143))),SUM(J143:O143),"")</f>
        <v>119</v>
      </c>
      <c r="W143" s="10">
        <f t="array" ref="W143">IF(AND(A143&lt;&gt;"",OR(ISNUMBER(P143),ISNUMBER(Q143))),SUM(MAX(P143:Q143),Q143),"")</f>
        <v>60</v>
      </c>
      <c r="X143" s="10" t="str">
        <f t="array" ref="X143">IF(AND(A143&lt;&gt;"",OR(ISNUMBER(S143),ISNUMBER(T143))),SUM(S143,T143),"")</f>
        <v/>
      </c>
      <c r="Y143" s="13">
        <v>1</v>
      </c>
      <c r="Z143" s="13">
        <f>IF(A143&lt;&gt;"",SUM(U143:Y143),"")</f>
        <v>245</v>
      </c>
      <c r="AA143" s="27">
        <f>IF(A143&lt;&gt;"",(Z143+Normalize_To_Add)/(Point_Total_So_Far)*100,"")</f>
        <v>80.327868852459019</v>
      </c>
      <c r="AB143" s="10">
        <f>IF(A143&lt;&gt;"",RANK(AA143,All_Student_XC),"")</f>
        <v>409</v>
      </c>
      <c r="AC143" s="32" t="str">
        <f>IF(A143&lt;&gt;"",CHOOSE(10-MIN(9,TRUNC((AA143+0.5)/10)),"A","B","C","D","F","F","F","F","F","F"),"")</f>
        <v>B</v>
      </c>
      <c r="AD143" s="31" t="str">
        <f>IF(A143&lt;&gt;"",IF(OR(AA143+0.5&gt;=93,AA143+0.5&lt;60),"",IF(MOD(AA143+0.5,10)&gt;=7,"+",IF(MOD(AA143+0.5,10)&lt;3,"-",""))),"")</f>
        <v>-</v>
      </c>
      <c r="AE143" s="32">
        <f>IF(A143&lt;&gt;"",SUM(W143:X143,$W$8:$X$8)/SUM($W$2:$X$2)*100,"")</f>
        <v>60</v>
      </c>
      <c r="AF143" s="32" t="str">
        <f>IF(A143&lt;&gt;"",CHOOSE(10-MIN(9,TRUNC((AE143+0.5)/10)),"A","B","C","D","F","F","F","F","F","F"),"")</f>
        <v>D</v>
      </c>
      <c r="AG143" s="32" t="str">
        <f>IF(A143&lt;&gt;"",IF(OR(AE143+0.5&gt;=93,AE143+0.5&lt;60),"",IF(MOD(AE143+0.5,10)&gt;=7,"+",IF(MOD(AE143+0.5,10)&lt;3,"-",""))),"")</f>
        <v>-</v>
      </c>
      <c r="AH143" s="36">
        <f>IF(A143&lt;&gt;"",MIN(MAX(AA143,AE143),AA143+$AH$8,AE143+$AH$8),"")</f>
        <v>80.327868852459019</v>
      </c>
      <c r="AI143" s="32" t="str">
        <f>IF(A143&lt;&gt;"",CHOOSE(10-MIN(9,TRUNC((AH143+0.5)/10)),"A","B","C","D","F","F","F","F","F","F"),"")</f>
        <v>B</v>
      </c>
      <c r="AJ143" s="32" t="str">
        <f>IF(A143&lt;&gt;"",IF(OR(AH143+0.5&gt;=93,AH143+0.5&lt;60),"",IF(MOD(AH143+0.5,10)&gt;=7,"+",IF(MOD(AH143+0.5,10)&lt;3,"-",""))),"")</f>
        <v>-</v>
      </c>
      <c r="AK143" s="71" t="b">
        <f>IF(A143&lt;&gt;"",OR(AI143&lt;&gt;AC143,AJ143&lt;&gt;AD143),"")</f>
        <v>0</v>
      </c>
      <c r="AL143" s="86">
        <f>IF(AND(A143&lt;&gt;"",U143&lt;&gt;""),SUM(U143,$AL$8)/$AL$2*100,"")</f>
        <v>86.666666666666671</v>
      </c>
      <c r="AM143" s="71">
        <f>IF(AND(A143&lt;&gt;"",V143&lt;&gt;""),SUM(V143,$AM$8)/$AM$2*100,"")</f>
        <v>91.538461538461533</v>
      </c>
      <c r="AN143" s="71">
        <f>IF(AND(A143&lt;&gt;"",ISNUMBER(P143),P143&gt;=0),SUM(P143,$AN$8)/$AN$2*100,"")</f>
        <v>60</v>
      </c>
      <c r="AO143" s="71" t="str">
        <f>IF(AND(A143&lt;&gt;"",ISNUMBER(Q143),Q143&gt;=0),SUM(Q143,$AO$8)/$AO$2*100,"")</f>
        <v/>
      </c>
      <c r="AP143" s="24" t="str">
        <f>IF(AND(A143&lt;&gt;"",R143&lt;&gt;""),SUM(R143,$AP$8)/$AP$2*100,"")</f>
        <v/>
      </c>
      <c r="AQ143" s="24">
        <f>IF(AND(A143&lt;&gt;"",ISNUMBER(W143),W143&gt;=0),SUM(W143,$AQ$8)/$AQ$2*100,"")</f>
        <v>60</v>
      </c>
      <c r="AR143" s="24" t="str">
        <f>IF(AND(A143&lt;&gt;"",T143&gt;0,ISNUMBER(T143)),SUM(T143,$AR$8)/$AR$2*100,"")</f>
        <v/>
      </c>
      <c r="AS143" s="24" t="str">
        <f>IF(AND(A143&lt;&gt;"",X143&lt;&gt;""),SUM(X143,$AS$8)/$AS$2*100,"")</f>
        <v/>
      </c>
      <c r="AT143" s="89">
        <f>IF(AND(A143&lt;&gt;"",OR(ISNUMBER(W143),ISNUMBER(X143))),SUM(W143:X143,$AT$8)/$AT$2*100,"")</f>
        <v>60</v>
      </c>
      <c r="AU143" s="24">
        <f>AA143</f>
        <v>80.327868852459019</v>
      </c>
      <c r="AV143" s="71"/>
      <c r="AW143" s="27">
        <f>IF(A143&lt;&gt;"",AE143-AA143,"")</f>
        <v>-20.327868852459019</v>
      </c>
      <c r="AY143" s="27" t="b">
        <f>S143&gt;R143</f>
        <v>0</v>
      </c>
      <c r="BA143" s="27" t="e">
        <f>AND(AA143&gt;$BA$3,(W143+$W$8)/$W$2&lt;$BB$3,(X143+$X$8)/$X$2&lt;$BB$3)</f>
        <v>#VALUE!</v>
      </c>
      <c r="BB143" s="27" t="e">
        <f>AND(AA143&lt;$BA$3,AND(W143/$W$2&gt;$BB$3,X143/$X$2&gt;$BB$3))</f>
        <v>#VALUE!</v>
      </c>
      <c r="BC143" s="27" t="e">
        <f>AND(AA143&lt;$BA$3,OR(W143/$W$2&gt;$BB$3,X143/$X$2&gt;$BB$3))</f>
        <v>#VALUE!</v>
      </c>
      <c r="BE143" s="32" t="s">
        <v>85</v>
      </c>
    </row>
    <row r="144" spans="1:58" s="27" customFormat="1" ht="12.75" customHeight="1" x14ac:dyDescent="0.2">
      <c r="A144" s="10">
        <v>266797</v>
      </c>
      <c r="B144" s="2">
        <v>19</v>
      </c>
      <c r="C144" s="10">
        <v>23</v>
      </c>
      <c r="D144" s="10">
        <v>21</v>
      </c>
      <c r="E144" s="10"/>
      <c r="F144" s="10"/>
      <c r="G144" s="3"/>
      <c r="H144" s="10"/>
      <c r="I144" s="10"/>
      <c r="J144" s="2">
        <v>32</v>
      </c>
      <c r="K144" s="10">
        <v>51</v>
      </c>
      <c r="L144" s="10">
        <v>50</v>
      </c>
      <c r="M144" s="10"/>
      <c r="N144" s="93"/>
      <c r="O144" s="12"/>
      <c r="P144" s="10">
        <v>100</v>
      </c>
      <c r="Q144" s="41"/>
      <c r="R144" s="2"/>
      <c r="S144" s="10"/>
      <c r="T144" s="13"/>
      <c r="U144" s="1">
        <f t="array" ref="U144">IF(AND(A144&lt;&gt;"",OR(ISNUMBER(B144:I144))),SUM(B144:I144),"")</f>
        <v>63</v>
      </c>
      <c r="V144" s="10">
        <f t="array" ref="V144">IF(AND(A144&lt;&gt;"",OR(ISNUMBER(J144:O144))),SUM(J144:O144),"")</f>
        <v>133</v>
      </c>
      <c r="W144" s="10">
        <f t="array" ref="W144">IF(AND(A144&lt;&gt;"",OR(ISNUMBER(P144),ISNUMBER(Q144))),SUM(MAX(P144:Q144),Q144),"")</f>
        <v>100</v>
      </c>
      <c r="X144" s="10" t="str">
        <f t="array" ref="X144">IF(AND(A144&lt;&gt;"",OR(ISNUMBER(S144),ISNUMBER(T144))),SUM(S144,T144),"")</f>
        <v/>
      </c>
      <c r="Y144" s="13">
        <v>1</v>
      </c>
      <c r="Z144" s="13">
        <f>IF(A144&lt;&gt;"",SUM(U144:Y144),"")</f>
        <v>297</v>
      </c>
      <c r="AA144" s="27">
        <f>IF(A144&lt;&gt;"",(Z144+Normalize_To_Add)/(Point_Total_So_Far)*100,"")</f>
        <v>97.377049180327873</v>
      </c>
      <c r="AB144" s="10">
        <f>IF(A144&lt;&gt;"",RANK(AA144,All_Student_XC),"")</f>
        <v>224</v>
      </c>
      <c r="AC144" s="32" t="str">
        <f>IF(A144&lt;&gt;"",CHOOSE(10-MIN(9,TRUNC((AA144+0.5)/10)),"A","B","C","D","F","F","F","F","F","F"),"")</f>
        <v>A</v>
      </c>
      <c r="AD144" s="32" t="str">
        <f>IF(A144&lt;&gt;"",IF(OR(AA144+0.5&gt;=93,AA144+0.5&lt;60),"",IF(MOD(AA144+0.5,10)&gt;=7,"+",IF(MOD(AA144+0.5,10)&lt;3,"-",""))),"")</f>
        <v/>
      </c>
      <c r="AE144" s="32">
        <f>IF(A144&lt;&gt;"",SUM(W144:X144,$W$8:$X$8)/SUM($W$2:$X$2)*100,"")</f>
        <v>100</v>
      </c>
      <c r="AF144" s="32" t="str">
        <f>IF(A144&lt;&gt;"",CHOOSE(10-MIN(9,TRUNC((AE144+0.5)/10)),"A","B","C","D","F","F","F","F","F","F"),"")</f>
        <v>A</v>
      </c>
      <c r="AG144" s="32" t="str">
        <f>IF(A144&lt;&gt;"",IF(OR(AE144+0.5&gt;=93,AE144+0.5&lt;60),"",IF(MOD(AE144+0.5,10)&gt;=7,"+",IF(MOD(AE144+0.5,10)&lt;3,"-",""))),"")</f>
        <v/>
      </c>
      <c r="AH144" s="36">
        <f>IF(A144&lt;&gt;"",MIN(MAX(AA144,AE144),AA144+$AH$8,AE144+$AH$8),"")</f>
        <v>100</v>
      </c>
      <c r="AI144" s="32" t="str">
        <f>IF(A144&lt;&gt;"",CHOOSE(10-MIN(9,TRUNC((AH144+0.5)/10)),"A","B","C","D","F","F","F","F","F","F"),"")</f>
        <v>A</v>
      </c>
      <c r="AJ144" s="32" t="str">
        <f>IF(A144&lt;&gt;"",IF(OR(AH144+0.5&gt;=93,AH144+0.5&lt;60),"",IF(MOD(AH144+0.5,10)&gt;=7,"+",IF(MOD(AH144+0.5,10)&lt;3,"-",""))),"")</f>
        <v/>
      </c>
      <c r="AK144" s="32" t="b">
        <f>IF(A144&lt;&gt;"",OR(AI144&lt;&gt;AC144,AJ144&lt;&gt;AD144),"")</f>
        <v>0</v>
      </c>
      <c r="AL144" s="84">
        <f>IF(AND(A144&lt;&gt;"",U144&lt;&gt;""),SUM(U144,$AL$8)/$AL$2*100,"")</f>
        <v>84</v>
      </c>
      <c r="AM144" s="24">
        <f>IF(AND(A144&lt;&gt;"",V144&lt;&gt;""),SUM(V144,$AM$8)/$AM$2*100,"")</f>
        <v>102.30769230769229</v>
      </c>
      <c r="AN144" s="24">
        <f>IF(AND(A144&lt;&gt;"",ISNUMBER(P144),P144&gt;=0),SUM(P144,$AN$8)/$AN$2*100,"")</f>
        <v>100</v>
      </c>
      <c r="AO144" s="24" t="str">
        <f>IF(AND(A144&lt;&gt;"",ISNUMBER(Q144),Q144&gt;=0),SUM(Q144,$AO$8)/$AO$2*100,"")</f>
        <v/>
      </c>
      <c r="AP144" s="24" t="str">
        <f>IF(AND(A144&lt;&gt;"",R144&lt;&gt;""),SUM(R144,$AP$8)/$AP$2*100,"")</f>
        <v/>
      </c>
      <c r="AQ144" s="24">
        <f>IF(AND(A144&lt;&gt;"",ISNUMBER(W144),W144&gt;=0),SUM(W144,$AQ$8)/$AQ$2*100,"")</f>
        <v>100</v>
      </c>
      <c r="AR144" s="24" t="str">
        <f>IF(AND(A144&lt;&gt;"",T144&gt;0,ISNUMBER(T144)),SUM(T144,$AR$8)/$AR$2*100,"")</f>
        <v/>
      </c>
      <c r="AS144" s="24" t="str">
        <f>IF(AND(A144&lt;&gt;"",X144&lt;&gt;""),SUM(X144,$AS$8)/$AS$2*100,"")</f>
        <v/>
      </c>
      <c r="AT144" s="89">
        <f>IF(AND(A144&lt;&gt;"",OR(ISNUMBER(W144),ISNUMBER(X144))),SUM(W144:X144,$AT$8)/$AT$2*100,"")</f>
        <v>100</v>
      </c>
      <c r="AU144" s="24">
        <f>AA144</f>
        <v>97.377049180327873</v>
      </c>
      <c r="AV144" s="24"/>
      <c r="AW144" s="27">
        <f>IF(A144&lt;&gt;"",AE144-AA144,"")</f>
        <v>2.622950819672127</v>
      </c>
      <c r="AY144" s="27" t="b">
        <f>S144&gt;R144</f>
        <v>0</v>
      </c>
      <c r="BA144" s="27" t="e">
        <f>AND(AA144&gt;$BA$3,(W144+$W$8)/$W$2&lt;$BB$3,(X144+$X$8)/$X$2&lt;$BB$3)</f>
        <v>#VALUE!</v>
      </c>
      <c r="BB144" s="27" t="e">
        <f>AND(AA144&lt;$BA$3,AND(W144/$W$2&gt;$BB$3,X144/$X$2&gt;$BB$3))</f>
        <v>#VALUE!</v>
      </c>
      <c r="BC144" s="27" t="e">
        <f>AND(AA144&lt;$BA$3,OR(W144/$W$2&gt;$BB$3,X144/$X$2&gt;$BB$3))</f>
        <v>#VALUE!</v>
      </c>
      <c r="BE144" s="32">
        <v>32</v>
      </c>
    </row>
    <row r="145" spans="1:57" s="27" customFormat="1" ht="12.75" customHeight="1" x14ac:dyDescent="0.2">
      <c r="A145" s="10">
        <v>269314</v>
      </c>
      <c r="B145" s="2">
        <v>19</v>
      </c>
      <c r="C145" s="10">
        <v>20</v>
      </c>
      <c r="D145" s="10">
        <v>18</v>
      </c>
      <c r="E145" s="10"/>
      <c r="F145" s="10"/>
      <c r="G145" s="10"/>
      <c r="H145" s="10"/>
      <c r="I145" s="10"/>
      <c r="J145" s="2">
        <v>32</v>
      </c>
      <c r="K145" s="10">
        <v>43</v>
      </c>
      <c r="L145" s="10">
        <v>40</v>
      </c>
      <c r="M145" s="10"/>
      <c r="N145" s="93"/>
      <c r="O145" s="13"/>
      <c r="P145" s="10">
        <v>60</v>
      </c>
      <c r="Q145" s="10"/>
      <c r="R145" s="2"/>
      <c r="S145" s="10"/>
      <c r="T145" s="13"/>
      <c r="U145" s="1">
        <f t="array" ref="U145">IF(AND(A145&lt;&gt;"",OR(ISNUMBER(B145:I145))),SUM(B145:I145),"")</f>
        <v>57</v>
      </c>
      <c r="V145" s="10">
        <f t="array" ref="V145">IF(AND(A145&lt;&gt;"",OR(ISNUMBER(J145:O145))),SUM(J145:O145),"")</f>
        <v>115</v>
      </c>
      <c r="W145" s="10">
        <f t="array" ref="W145">IF(AND(A145&lt;&gt;"",OR(ISNUMBER(P145),ISNUMBER(Q145))),SUM(MAX(P145:Q145),Q145),"")</f>
        <v>60</v>
      </c>
      <c r="X145" s="10" t="str">
        <f t="array" ref="X145">IF(AND(A145&lt;&gt;"",OR(ISNUMBER(S145),ISNUMBER(T145))),SUM(S145,T145),"")</f>
        <v/>
      </c>
      <c r="Y145" s="13">
        <v>1</v>
      </c>
      <c r="Z145" s="13">
        <f>IF(A145&lt;&gt;"",SUM(U145:Y145),"")</f>
        <v>233</v>
      </c>
      <c r="AA145" s="27">
        <f>IF(A145&lt;&gt;"",(Z145+Normalize_To_Add)/(Point_Total_So_Far)*100,"")</f>
        <v>76.393442622950829</v>
      </c>
      <c r="AB145" s="10">
        <f>IF(A145&lt;&gt;"",RANK(AA145,All_Student_XC),"")</f>
        <v>431</v>
      </c>
      <c r="AC145" s="32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/>
      </c>
      <c r="AE145" s="32">
        <f>IF(A145&lt;&gt;"",SUM(W145:X145,$W$8:$X$8)/SUM($W$2:$X$2)*100,"")</f>
        <v>60</v>
      </c>
      <c r="AF145" s="32" t="str">
        <f>IF(A145&lt;&gt;"",CHOOSE(10-MIN(9,TRUNC((AE145+0.5)/10)),"A","B","C","D","F","F","F","F","F","F"),"")</f>
        <v>D</v>
      </c>
      <c r="AG145" s="32" t="str">
        <f>IF(A145&lt;&gt;"",IF(OR(AE145+0.5&gt;=93,AE145+0.5&lt;60),"",IF(MOD(AE145+0.5,10)&gt;=7,"+",IF(MOD(AE145+0.5,10)&lt;3,"-",""))),"")</f>
        <v>-</v>
      </c>
      <c r="AH145" s="36">
        <f>IF(A145&lt;&gt;"",MIN(MAX(AA145,AE145),AA145+$AH$8,AE145+$AH$8),"")</f>
        <v>76.393442622950829</v>
      </c>
      <c r="AI145" s="32" t="str">
        <f>IF(A145&lt;&gt;"",CHOOSE(10-MIN(9,TRUNC((AH145+0.5)/10)),"A","B","C","D","F","F","F","F","F","F"),"")</f>
        <v>C</v>
      </c>
      <c r="AJ145" s="32" t="str">
        <f>IF(A145&lt;&gt;"",IF(OR(AH145+0.5&gt;=93,AH145+0.5&lt;60),"",IF(MOD(AH145+0.5,10)&gt;=7,"+",IF(MOD(AH145+0.5,10)&lt;3,"-",""))),"")</f>
        <v/>
      </c>
      <c r="AK145" s="71" t="b">
        <f>IF(A145&lt;&gt;"",OR(AI145&lt;&gt;AC145,AJ145&lt;&gt;AD145),"")</f>
        <v>0</v>
      </c>
      <c r="AL145" s="86">
        <f>IF(AND(A145&lt;&gt;"",U145&lt;&gt;""),SUM(U145,$AL$8)/$AL$2*100,"")</f>
        <v>76</v>
      </c>
      <c r="AM145" s="71">
        <f>IF(AND(A145&lt;&gt;"",V145&lt;&gt;""),SUM(V145,$AM$8)/$AM$2*100,"")</f>
        <v>88.461538461538453</v>
      </c>
      <c r="AN145" s="71">
        <f>IF(AND(A145&lt;&gt;"",ISNUMBER(P145),P145&gt;=0),SUM(P145,$AN$8)/$AN$2*100,"")</f>
        <v>60</v>
      </c>
      <c r="AO145" s="71" t="str">
        <f>IF(AND(A145&lt;&gt;"",ISNUMBER(Q145),Q145&gt;=0),SUM(Q145,$AO$8)/$AO$2*100,"")</f>
        <v/>
      </c>
      <c r="AP145" s="24" t="str">
        <f>IF(AND(A145&lt;&gt;"",R145&lt;&gt;""),SUM(R145,$AP$8)/$AP$2*100,"")</f>
        <v/>
      </c>
      <c r="AQ145" s="24">
        <f>IF(AND(A145&lt;&gt;"",ISNUMBER(W145),W145&gt;=0),SUM(W145,$AQ$8)/$AQ$2*100,"")</f>
        <v>60</v>
      </c>
      <c r="AR145" s="24" t="str">
        <f>IF(AND(A145&lt;&gt;"",T145&gt;0,ISNUMBER(T145)),SUM(T145,$AR$8)/$AR$2*100,"")</f>
        <v/>
      </c>
      <c r="AS145" s="24" t="str">
        <f>IF(AND(A145&lt;&gt;"",X145&lt;&gt;""),SUM(X145,$AS$8)/$AS$2*100,"")</f>
        <v/>
      </c>
      <c r="AT145" s="89">
        <f>IF(AND(A145&lt;&gt;"",OR(ISNUMBER(W145),ISNUMBER(X145))),SUM(W145:X145,$AT$8)/$AT$2*100,"")</f>
        <v>60</v>
      </c>
      <c r="AU145" s="24">
        <f>AA145</f>
        <v>76.393442622950829</v>
      </c>
      <c r="AV145" s="71"/>
      <c r="AW145" s="27">
        <f>IF(A145&lt;&gt;"",AE145-AA145,"")</f>
        <v>-16.393442622950829</v>
      </c>
      <c r="AY145" s="27" t="b">
        <f>S145&gt;R145</f>
        <v>0</v>
      </c>
      <c r="BA145" s="27" t="e">
        <f>AND(AA145&gt;$BA$3,(W145+$W$8)/$W$2&lt;$BB$3,(X145+$X$8)/$X$2&lt;$BB$3)</f>
        <v>#VALUE!</v>
      </c>
      <c r="BB145" s="27" t="e">
        <f>AND(AA145&lt;$BA$3,AND(W145/$W$2&gt;$BB$3,X145/$X$2&gt;$BB$3))</f>
        <v>#VALUE!</v>
      </c>
      <c r="BC145" s="27" t="e">
        <f>AND(AA145&lt;$BA$3,OR(W145/$W$2&gt;$BB$3,X145/$X$2&gt;$BB$3))</f>
        <v>#VALUE!</v>
      </c>
      <c r="BE145" s="32" t="s">
        <v>85</v>
      </c>
    </row>
    <row r="146" spans="1:57" s="27" customFormat="1" ht="12.75" customHeight="1" x14ac:dyDescent="0.2">
      <c r="A146" s="10">
        <v>273469</v>
      </c>
      <c r="B146" s="2">
        <v>21</v>
      </c>
      <c r="C146" s="10">
        <v>20</v>
      </c>
      <c r="D146" s="10">
        <v>22</v>
      </c>
      <c r="E146" s="10"/>
      <c r="F146" s="10"/>
      <c r="G146" s="10"/>
      <c r="H146" s="10"/>
      <c r="I146" s="10"/>
      <c r="J146" s="2">
        <v>31</v>
      </c>
      <c r="K146" s="10">
        <v>51</v>
      </c>
      <c r="L146" s="10">
        <v>49</v>
      </c>
      <c r="M146" s="10"/>
      <c r="N146" s="10"/>
      <c r="O146" s="12"/>
      <c r="P146" s="35">
        <v>60</v>
      </c>
      <c r="Q146" s="7"/>
      <c r="R146" s="2"/>
      <c r="S146" s="10"/>
      <c r="T146" s="13"/>
      <c r="U146" s="77">
        <f t="array" ref="U146">IF(AND(A146&lt;&gt;"",OR(ISNUMBER(B146:I146))),SUM(B146:I146),"")</f>
        <v>63</v>
      </c>
      <c r="V146" s="10">
        <f t="array" ref="V146">IF(AND(A146&lt;&gt;"",OR(ISNUMBER(J146:O146))),SUM(J146:O146),"")</f>
        <v>131</v>
      </c>
      <c r="W146" s="10">
        <f t="array" ref="W146">IF(AND(A146&lt;&gt;"",OR(ISNUMBER(P146),ISNUMBER(Q146))),SUM(MAX(P146:Q146),Q146),"")</f>
        <v>60</v>
      </c>
      <c r="X146" s="10" t="str">
        <f t="array" ref="X146">IF(AND(A146&lt;&gt;"",OR(ISNUMBER(S146),ISNUMBER(T146))),SUM(S146,T146),"")</f>
        <v/>
      </c>
      <c r="Y146" s="13">
        <v>1</v>
      </c>
      <c r="Z146" s="13">
        <f>IF(A146&lt;&gt;"",SUM(U146:Y146),"")</f>
        <v>255</v>
      </c>
      <c r="AA146" s="27">
        <f>IF(A146&lt;&gt;"",(Z146+Normalize_To_Add)/(Point_Total_So_Far)*100,"")</f>
        <v>83.606557377049185</v>
      </c>
      <c r="AB146" s="10">
        <f>IF(A146&lt;&gt;"",RANK(AA146,All_Student_XC),"")</f>
        <v>384</v>
      </c>
      <c r="AC146" s="32" t="str">
        <f>IF(A146&lt;&gt;"",CHOOSE(10-MIN(9,TRUNC((AA146+0.5)/10)),"A","B","C","D","F","F","F","F","F","F"),"")</f>
        <v>B</v>
      </c>
      <c r="AD146" s="32" t="str">
        <f>IF(A146&lt;&gt;"",IF(OR(AA146+0.5&gt;=93,AA146+0.5&lt;60),"",IF(MOD(AA146+0.5,10)&gt;=7,"+",IF(MOD(AA146+0.5,10)&lt;3,"-",""))),"")</f>
        <v/>
      </c>
      <c r="AE146" s="32">
        <f>IF(A146&lt;&gt;"",SUM(W146:X146,$W$8:$X$8)/SUM($W$2:$X$2)*100,"")</f>
        <v>60</v>
      </c>
      <c r="AF146" s="32" t="str">
        <f>IF(A146&lt;&gt;"",CHOOSE(10-MIN(9,TRUNC((AE146+0.5)/10)),"A","B","C","D","F","F","F","F","F","F"),"")</f>
        <v>D</v>
      </c>
      <c r="AG146" s="32" t="str">
        <f>IF(A146&lt;&gt;"",IF(OR(AE146+0.5&gt;=93,AE146+0.5&lt;60),"",IF(MOD(AE146+0.5,10)&gt;=7,"+",IF(MOD(AE146+0.5,10)&lt;3,"-",""))),"")</f>
        <v>-</v>
      </c>
      <c r="AH146" s="36">
        <f>IF(A146&lt;&gt;"",MIN(MAX(AA146,AE146),AA146+$AH$8,AE146+$AH$8),"")</f>
        <v>83.606557377049185</v>
      </c>
      <c r="AI146" s="32" t="str">
        <f>IF(A146&lt;&gt;"",CHOOSE(10-MIN(9,TRUNC((AH146+0.5)/10)),"A","B","C","D","F","F","F","F","F","F"),"")</f>
        <v>B</v>
      </c>
      <c r="AJ146" s="32" t="str">
        <f>IF(A146&lt;&gt;"",IF(OR(AH146+0.5&gt;=93,AH146+0.5&lt;60),"",IF(MOD(AH146+0.5,10)&gt;=7,"+",IF(MOD(AH146+0.5,10)&lt;3,"-",""))),"")</f>
        <v/>
      </c>
      <c r="AK146" s="32" t="b">
        <f>IF(A146&lt;&gt;"",OR(AI146&lt;&gt;AC146,AJ146&lt;&gt;AD146),"")</f>
        <v>0</v>
      </c>
      <c r="AL146" s="84">
        <f>IF(AND(A146&lt;&gt;"",U146&lt;&gt;""),SUM(U146,$AL$8)/$AL$2*100,"")</f>
        <v>84</v>
      </c>
      <c r="AM146" s="24">
        <f>IF(AND(A146&lt;&gt;"",V146&lt;&gt;""),SUM(V146,$AM$8)/$AM$2*100,"")</f>
        <v>100.76923076923077</v>
      </c>
      <c r="AN146" s="24">
        <f>IF(AND(A146&lt;&gt;"",ISNUMBER(P146),P146&gt;=0),SUM(P146,$AN$8)/$AN$2*100,"")</f>
        <v>60</v>
      </c>
      <c r="AO146" s="24" t="str">
        <f>IF(AND(A146&lt;&gt;"",ISNUMBER(Q146),Q146&gt;=0),SUM(Q146,$AO$8)/$AO$2*100,"")</f>
        <v/>
      </c>
      <c r="AP146" s="24" t="str">
        <f>IF(AND(A146&lt;&gt;"",R146&lt;&gt;""),SUM(R146,$AP$8)/$AP$2*100,"")</f>
        <v/>
      </c>
      <c r="AQ146" s="24">
        <f>IF(AND(A146&lt;&gt;"",ISNUMBER(W146),W146&gt;=0),SUM(W146,$AQ$8)/$AQ$2*100,"")</f>
        <v>60</v>
      </c>
      <c r="AR146" s="24" t="str">
        <f>IF(AND(A146&lt;&gt;"",T146&gt;0,ISNUMBER(T146)),SUM(T146,$AR$8)/$AR$2*100,"")</f>
        <v/>
      </c>
      <c r="AS146" s="24" t="str">
        <f>IF(AND(A146&lt;&gt;"",X146&lt;&gt;""),SUM(X146,$AS$8)/$AS$2*100,"")</f>
        <v/>
      </c>
      <c r="AT146" s="89">
        <f>IF(AND(A146&lt;&gt;"",OR(ISNUMBER(W146),ISNUMBER(X146))),SUM(W146:X146,$AT$8)/$AT$2*100,"")</f>
        <v>60</v>
      </c>
      <c r="AU146" s="24">
        <f>AA146</f>
        <v>83.606557377049185</v>
      </c>
      <c r="AV146" s="24"/>
      <c r="AW146" s="27">
        <f>IF(A146&lt;&gt;"",AE146-AA146,"")</f>
        <v>-23.606557377049185</v>
      </c>
      <c r="AY146" s="27" t="b">
        <f>S146&gt;R146</f>
        <v>0</v>
      </c>
      <c r="BA146" s="27" t="e">
        <f>AND(AA146&gt;$BA$3,(W146+$W$8)/$W$2&lt;$BB$3,(X146+$X$8)/$X$2&lt;$BB$3)</f>
        <v>#VALUE!</v>
      </c>
      <c r="BB146" s="27" t="e">
        <f>AND(AA146&lt;$BA$3,AND(W146/$W$2&gt;$BB$3,X146/$X$2&gt;$BB$3))</f>
        <v>#VALUE!</v>
      </c>
      <c r="BC146" s="27" t="e">
        <f>AND(AA146&lt;$BA$3,OR(W146/$W$2&gt;$BB$3,X146/$X$2&gt;$BB$3))</f>
        <v>#VALUE!</v>
      </c>
      <c r="BE146" s="32" t="s">
        <v>84</v>
      </c>
    </row>
    <row r="147" spans="1:57" s="27" customFormat="1" ht="12.75" customHeight="1" x14ac:dyDescent="0.2">
      <c r="A147" s="10">
        <v>275299</v>
      </c>
      <c r="B147" s="2">
        <v>24</v>
      </c>
      <c r="C147" s="10">
        <v>23</v>
      </c>
      <c r="D147" s="10">
        <v>25</v>
      </c>
      <c r="E147" s="10"/>
      <c r="F147" s="10"/>
      <c r="G147" s="10"/>
      <c r="H147" s="10"/>
      <c r="I147" s="10"/>
      <c r="J147" s="2">
        <v>26</v>
      </c>
      <c r="K147" s="10">
        <v>52</v>
      </c>
      <c r="L147" s="10">
        <v>51</v>
      </c>
      <c r="M147" s="10"/>
      <c r="N147" s="93"/>
      <c r="O147" s="13"/>
      <c r="P147" s="10">
        <v>80</v>
      </c>
      <c r="Q147" s="10"/>
      <c r="R147" s="2"/>
      <c r="S147" s="10"/>
      <c r="T147" s="13"/>
      <c r="U147" s="1">
        <f t="array" ref="U147">IF(AND(A147&lt;&gt;"",OR(ISNUMBER(B147:I147))),SUM(B147:I147),"")</f>
        <v>72</v>
      </c>
      <c r="V147" s="10">
        <f t="array" ref="V147">IF(AND(A147&lt;&gt;"",OR(ISNUMBER(J147:O147))),SUM(J147:O147),"")</f>
        <v>129</v>
      </c>
      <c r="W147" s="10">
        <f t="array" ref="W147">IF(AND(A147&lt;&gt;"",OR(ISNUMBER(P147),ISNUMBER(Q147))),SUM(MAX(P147:Q147),Q147),"")</f>
        <v>80</v>
      </c>
      <c r="X147" s="10" t="str">
        <f t="array" ref="X147">IF(AND(A147&lt;&gt;"",OR(ISNUMBER(S147),ISNUMBER(T147))),SUM(S147,T147),"")</f>
        <v/>
      </c>
      <c r="Y147" s="13">
        <v>1</v>
      </c>
      <c r="Z147" s="13">
        <f>IF(A147&lt;&gt;"",SUM(U147:Y147),"")</f>
        <v>282</v>
      </c>
      <c r="AA147" s="27">
        <f>IF(A147&lt;&gt;"",(Z147+Normalize_To_Add)/(Point_Total_So_Far)*100,"")</f>
        <v>92.459016393442624</v>
      </c>
      <c r="AB147" s="10">
        <f>IF(A147&lt;&gt;"",RANK(AA147,All_Student_XC),"")</f>
        <v>306</v>
      </c>
      <c r="AC147" s="32" t="str">
        <f>IF(A147&lt;&gt;"",CHOOSE(10-MIN(9,TRUNC((AA147+0.5)/10)),"A","B","C","D","F","F","F","F","F","F"),"")</f>
        <v>A</v>
      </c>
      <c r="AD147" s="31" t="str">
        <f>IF(A147&lt;&gt;"",IF(OR(AA147+0.5&gt;=93,AA147+0.5&lt;60),"",IF(MOD(AA147+0.5,10)&gt;=7,"+",IF(MOD(AA147+0.5,10)&lt;3,"-",""))),"")</f>
        <v>-</v>
      </c>
      <c r="AE147" s="32">
        <f>IF(A147&lt;&gt;"",SUM(W147:X147,$W$8:$X$8)/SUM($W$2:$X$2)*100,"")</f>
        <v>80</v>
      </c>
      <c r="AF147" s="32" t="str">
        <f>IF(A147&lt;&gt;"",CHOOSE(10-MIN(9,TRUNC((AE147+0.5)/10)),"A","B","C","D","F","F","F","F","F","F"),"")</f>
        <v>B</v>
      </c>
      <c r="AG147" s="32" t="str">
        <f>IF(A147&lt;&gt;"",IF(OR(AE147+0.5&gt;=93,AE147+0.5&lt;60),"",IF(MOD(AE147+0.5,10)&gt;=7,"+",IF(MOD(AE147+0.5,10)&lt;3,"-",""))),"")</f>
        <v>-</v>
      </c>
      <c r="AH147" s="36">
        <f>IF(A147&lt;&gt;"",MIN(MAX(AA147,AE147),AA147+$AH$8,AE147+$AH$8),"")</f>
        <v>92.459016393442624</v>
      </c>
      <c r="AI147" s="32" t="str">
        <f>IF(A147&lt;&gt;"",CHOOSE(10-MIN(9,TRUNC((AH147+0.5)/10)),"A","B","C","D","F","F","F","F","F","F"),"")</f>
        <v>A</v>
      </c>
      <c r="AJ147" s="32" t="str">
        <f>IF(A147&lt;&gt;"",IF(OR(AH147+0.5&gt;=93,AH147+0.5&lt;60),"",IF(MOD(AH147+0.5,10)&gt;=7,"+",IF(MOD(AH147+0.5,10)&lt;3,"-",""))),"")</f>
        <v>-</v>
      </c>
      <c r="AK147" s="71" t="b">
        <f>IF(A147&lt;&gt;"",OR(AI147&lt;&gt;AC147,AJ147&lt;&gt;AD147),"")</f>
        <v>0</v>
      </c>
      <c r="AL147" s="86">
        <f>IF(AND(A147&lt;&gt;"",U147&lt;&gt;""),SUM(U147,$AL$8)/$AL$2*100,"")</f>
        <v>96</v>
      </c>
      <c r="AM147" s="71">
        <f>IF(AND(A147&lt;&gt;"",V147&lt;&gt;""),SUM(V147,$AM$8)/$AM$2*100,"")</f>
        <v>99.230769230769226</v>
      </c>
      <c r="AN147" s="71">
        <f>IF(AND(A147&lt;&gt;"",ISNUMBER(P147),P147&gt;=0),SUM(P147,$AN$8)/$AN$2*100,"")</f>
        <v>80</v>
      </c>
      <c r="AO147" s="71" t="str">
        <f>IF(AND(A147&lt;&gt;"",ISNUMBER(Q147),Q147&gt;=0),SUM(Q147,$AO$8)/$AO$2*100,"")</f>
        <v/>
      </c>
      <c r="AP147" s="24" t="str">
        <f>IF(AND(A147&lt;&gt;"",R147&lt;&gt;""),SUM(R147,$AP$8)/$AP$2*100,"")</f>
        <v/>
      </c>
      <c r="AQ147" s="24">
        <f>IF(AND(A147&lt;&gt;"",ISNUMBER(W147),W147&gt;=0),SUM(W147,$AQ$8)/$AQ$2*100,"")</f>
        <v>80</v>
      </c>
      <c r="AR147" s="24" t="str">
        <f>IF(AND(A147&lt;&gt;"",T147&gt;0,ISNUMBER(T147)),SUM(T147,$AR$8)/$AR$2*100,"")</f>
        <v/>
      </c>
      <c r="AS147" s="24" t="str">
        <f>IF(AND(A147&lt;&gt;"",X147&lt;&gt;""),SUM(X147,$AS$8)/$AS$2*100,"")</f>
        <v/>
      </c>
      <c r="AT147" s="89">
        <f>IF(AND(A147&lt;&gt;"",OR(ISNUMBER(W147),ISNUMBER(X147))),SUM(W147:X147,$AT$8)/$AT$2*100,"")</f>
        <v>80</v>
      </c>
      <c r="AU147" s="24">
        <f>AA147</f>
        <v>92.459016393442624</v>
      </c>
      <c r="AV147" s="71"/>
      <c r="AW147" s="27">
        <f>IF(A147&lt;&gt;"",AE147-AA147,"")</f>
        <v>-12.459016393442624</v>
      </c>
      <c r="AY147" s="27" t="b">
        <f>S147&gt;R147</f>
        <v>0</v>
      </c>
      <c r="BA147" s="27" t="e">
        <f>AND(AA147&gt;$BA$3,(W147+$W$8)/$W$2&lt;$BB$3,(X147+$X$8)/$X$2&lt;$BB$3)</f>
        <v>#VALUE!</v>
      </c>
      <c r="BB147" s="27" t="e">
        <f>AND(AA147&lt;$BA$3,AND(W147/$W$2&gt;$BB$3,X147/$X$2&gt;$BB$3))</f>
        <v>#VALUE!</v>
      </c>
      <c r="BC147" s="27" t="e">
        <f>AND(AA147&lt;$BA$3,OR(W147/$W$2&gt;$BB$3,X147/$X$2&gt;$BB$3))</f>
        <v>#VALUE!</v>
      </c>
      <c r="BE147" s="32" t="s">
        <v>84</v>
      </c>
    </row>
    <row r="148" spans="1:57" s="27" customFormat="1" ht="12.75" customHeight="1" x14ac:dyDescent="0.2">
      <c r="A148" s="10">
        <v>276777</v>
      </c>
      <c r="B148" s="55">
        <v>23</v>
      </c>
      <c r="C148" s="41">
        <v>21</v>
      </c>
      <c r="D148" s="10">
        <v>25</v>
      </c>
      <c r="E148" s="10"/>
      <c r="F148" s="10"/>
      <c r="G148" s="10"/>
      <c r="H148" s="10"/>
      <c r="I148" s="10"/>
      <c r="J148" s="2">
        <v>32</v>
      </c>
      <c r="K148" s="10">
        <v>40</v>
      </c>
      <c r="L148" s="10">
        <v>50</v>
      </c>
      <c r="M148" s="10"/>
      <c r="N148" s="93"/>
      <c r="O148" s="12"/>
      <c r="P148" s="10">
        <v>80</v>
      </c>
      <c r="Q148" s="41"/>
      <c r="R148" s="2"/>
      <c r="S148" s="10"/>
      <c r="T148" s="13"/>
      <c r="U148" s="1">
        <f t="array" ref="U148">IF(AND(A148&lt;&gt;"",OR(ISNUMBER(B148:I148))),SUM(B148:I148),"")</f>
        <v>69</v>
      </c>
      <c r="V148" s="10">
        <f t="array" ref="V148">IF(AND(A148&lt;&gt;"",OR(ISNUMBER(J148:O148))),SUM(J148:O148),"")</f>
        <v>122</v>
      </c>
      <c r="W148" s="10">
        <f t="array" ref="W148">IF(AND(A148&lt;&gt;"",OR(ISNUMBER(P148),ISNUMBER(Q148))),SUM(MAX(P148:Q148),Q148),"")</f>
        <v>80</v>
      </c>
      <c r="X148" s="10" t="str">
        <f t="array" ref="X148">IF(AND(A148&lt;&gt;"",OR(ISNUMBER(S148),ISNUMBER(T148))),SUM(S148,T148),"")</f>
        <v/>
      </c>
      <c r="Y148" s="13">
        <v>1</v>
      </c>
      <c r="Z148" s="13">
        <f>IF(A148&lt;&gt;"",SUM(U148:Y148),"")</f>
        <v>272</v>
      </c>
      <c r="AA148" s="27">
        <f>IF(A148&lt;&gt;"",(Z148+Normalize_To_Add)/(Point_Total_So_Far)*100,"")</f>
        <v>89.180327868852459</v>
      </c>
      <c r="AB148" s="10">
        <f>IF(A148&lt;&gt;"",RANK(AA148,All_Student_XC),"")</f>
        <v>344</v>
      </c>
      <c r="AC148" s="32" t="str">
        <f>IF(A148&lt;&gt;"",CHOOSE(10-MIN(9,TRUNC((AA148+0.5)/10)),"A","B","C","D","F","F","F","F","F","F"),"")</f>
        <v>B</v>
      </c>
      <c r="AD148" s="32" t="str">
        <f>IF(A148&lt;&gt;"",IF(OR(AA148+0.5&gt;=93,AA148+0.5&lt;60),"",IF(MOD(AA148+0.5,10)&gt;=7,"+",IF(MOD(AA148+0.5,10)&lt;3,"-",""))),"")</f>
        <v>+</v>
      </c>
      <c r="AE148" s="32">
        <f>IF(A148&lt;&gt;"",SUM(W148:X148,$W$8:$X$8)/SUM($W$2:$X$2)*100,"")</f>
        <v>80</v>
      </c>
      <c r="AF148" s="32" t="str">
        <f>IF(A148&lt;&gt;"",CHOOSE(10-MIN(9,TRUNC((AE148+0.5)/10)),"A","B","C","D","F","F","F","F","F","F"),"")</f>
        <v>B</v>
      </c>
      <c r="AG148" s="32" t="str">
        <f>IF(A148&lt;&gt;"",IF(OR(AE148+0.5&gt;=93,AE148+0.5&lt;60),"",IF(MOD(AE148+0.5,10)&gt;=7,"+",IF(MOD(AE148+0.5,10)&lt;3,"-",""))),"")</f>
        <v>-</v>
      </c>
      <c r="AH148" s="36">
        <f>IF(A148&lt;&gt;"",MIN(MAX(AA148,AE148),AA148+$AH$8,AE148+$AH$8),"")</f>
        <v>89.180327868852459</v>
      </c>
      <c r="AI148" s="32" t="str">
        <f>IF(A148&lt;&gt;"",CHOOSE(10-MIN(9,TRUNC((AH148+0.5)/10)),"A","B","C","D","F","F","F","F","F","F"),"")</f>
        <v>B</v>
      </c>
      <c r="AJ148" s="32" t="str">
        <f>IF(A148&lt;&gt;"",IF(OR(AH148+0.5&gt;=93,AH148+0.5&lt;60),"",IF(MOD(AH148+0.5,10)&gt;=7,"+",IF(MOD(AH148+0.5,10)&lt;3,"-",""))),"")</f>
        <v>+</v>
      </c>
      <c r="AK148" s="32" t="b">
        <f>IF(A148&lt;&gt;"",OR(AI148&lt;&gt;AC148,AJ148&lt;&gt;AD148),"")</f>
        <v>0</v>
      </c>
      <c r="AL148" s="84">
        <f>IF(AND(A148&lt;&gt;"",U148&lt;&gt;""),SUM(U148,$AL$8)/$AL$2*100,"")</f>
        <v>92</v>
      </c>
      <c r="AM148" s="24">
        <f>IF(AND(A148&lt;&gt;"",V148&lt;&gt;""),SUM(V148,$AM$8)/$AM$2*100,"")</f>
        <v>93.84615384615384</v>
      </c>
      <c r="AN148" s="24">
        <f>IF(AND(A148&lt;&gt;"",ISNUMBER(P148),P148&gt;=0),SUM(P148,$AN$8)/$AN$2*100,"")</f>
        <v>80</v>
      </c>
      <c r="AO148" s="24" t="str">
        <f>IF(AND(A148&lt;&gt;"",ISNUMBER(Q148),Q148&gt;=0),SUM(Q148,$AO$8)/$AO$2*100,"")</f>
        <v/>
      </c>
      <c r="AP148" s="24" t="str">
        <f>IF(AND(A148&lt;&gt;"",R148&lt;&gt;""),SUM(R148,$AP$8)/$AP$2*100,"")</f>
        <v/>
      </c>
      <c r="AQ148" s="24">
        <f>IF(AND(A148&lt;&gt;"",ISNUMBER(W148),W148&gt;=0),SUM(W148,$AQ$8)/$AQ$2*100,"")</f>
        <v>80</v>
      </c>
      <c r="AR148" s="24" t="str">
        <f>IF(AND(A148&lt;&gt;"",T148&gt;0,ISNUMBER(T148)),SUM(T148,$AR$8)/$AR$2*100,"")</f>
        <v/>
      </c>
      <c r="AS148" s="24" t="str">
        <f>IF(AND(A148&lt;&gt;"",X148&lt;&gt;""),SUM(X148,$AS$8)/$AS$2*100,"")</f>
        <v/>
      </c>
      <c r="AT148" s="89">
        <f>IF(AND(A148&lt;&gt;"",OR(ISNUMBER(W148),ISNUMBER(X148))),SUM(W148:X148,$AT$8)/$AT$2*100,"")</f>
        <v>80</v>
      </c>
      <c r="AU148" s="24">
        <f>AA148</f>
        <v>89.180327868852459</v>
      </c>
      <c r="AV148" s="24"/>
      <c r="AW148" s="27">
        <f>IF(A148&lt;&gt;"",AE148-AA148,"")</f>
        <v>-9.1803278688524586</v>
      </c>
      <c r="AY148" s="27" t="b">
        <f>S148&gt;R148</f>
        <v>0</v>
      </c>
      <c r="BA148" s="27" t="e">
        <f>AND(AA148&gt;$BA$3,(W148+$W$8)/$W$2&lt;$BB$3,(X148+$X$8)/$X$2&lt;$BB$3)</f>
        <v>#VALUE!</v>
      </c>
      <c r="BB148" s="27" t="e">
        <f>AND(AA148&lt;$BA$3,AND(W148/$W$2&gt;$BB$3,X148/$X$2&gt;$BB$3))</f>
        <v>#VALUE!</v>
      </c>
      <c r="BC148" s="27" t="e">
        <f>AND(AA148&lt;$BA$3,OR(W148/$W$2&gt;$BB$3,X148/$X$2&gt;$BB$3))</f>
        <v>#VALUE!</v>
      </c>
      <c r="BE148" s="32">
        <v>32</v>
      </c>
    </row>
    <row r="149" spans="1:57" s="27" customFormat="1" ht="12.75" customHeight="1" x14ac:dyDescent="0.2">
      <c r="A149" s="10">
        <v>277344</v>
      </c>
      <c r="B149" s="2">
        <v>10</v>
      </c>
      <c r="C149" s="10">
        <v>20</v>
      </c>
      <c r="D149" s="10">
        <v>22</v>
      </c>
      <c r="E149" s="10"/>
      <c r="F149" s="10"/>
      <c r="G149" s="10"/>
      <c r="H149" s="10"/>
      <c r="I149" s="10"/>
      <c r="J149" s="2">
        <v>27</v>
      </c>
      <c r="K149" s="10">
        <v>28</v>
      </c>
      <c r="L149" s="10">
        <v>47</v>
      </c>
      <c r="M149" s="10"/>
      <c r="N149" s="93"/>
      <c r="O149" s="13"/>
      <c r="P149" s="10">
        <v>101</v>
      </c>
      <c r="Q149" s="10"/>
      <c r="R149" s="2"/>
      <c r="S149" s="10"/>
      <c r="T149" s="13"/>
      <c r="U149" s="1">
        <f t="array" ref="U149">IF(AND(A149&lt;&gt;"",OR(ISNUMBER(B149:I149))),SUM(B149:I149),"")</f>
        <v>52</v>
      </c>
      <c r="V149" s="10">
        <f t="array" ref="V149">IF(AND(A149&lt;&gt;"",OR(ISNUMBER(J149:O149))),SUM(J149:O149),"")</f>
        <v>102</v>
      </c>
      <c r="W149" s="10">
        <f t="array" ref="W149">IF(AND(A149&lt;&gt;"",OR(ISNUMBER(P149),ISNUMBER(Q149))),SUM(MAX(P149:Q149),Q149),"")</f>
        <v>101</v>
      </c>
      <c r="X149" s="10" t="str">
        <f t="array" ref="X149">IF(AND(A149&lt;&gt;"",OR(ISNUMBER(S149),ISNUMBER(T149))),SUM(S149,T149),"")</f>
        <v/>
      </c>
      <c r="Y149" s="13">
        <v>1</v>
      </c>
      <c r="Z149" s="13">
        <f>IF(A149&lt;&gt;"",SUM(U149:Y149),"")</f>
        <v>256</v>
      </c>
      <c r="AA149" s="27">
        <f>IF(A149&lt;&gt;"",(Z149+Normalize_To_Add)/(Point_Total_So_Far)*100,"")</f>
        <v>83.93442622950819</v>
      </c>
      <c r="AB149" s="10">
        <f>IF(A149&lt;&gt;"",RANK(AA149,All_Student_XC),"")</f>
        <v>381</v>
      </c>
      <c r="AC149" s="32" t="str">
        <f>IF(A149&lt;&gt;"",CHOOSE(10-MIN(9,TRUNC((AA149+0.5)/10)),"A","B","C","D","F","F","F","F","F","F"),"")</f>
        <v>B</v>
      </c>
      <c r="AD149" s="31" t="str">
        <f>IF(A149&lt;&gt;"",IF(OR(AA149+0.5&gt;=93,AA149+0.5&lt;60),"",IF(MOD(AA149+0.5,10)&gt;=7,"+",IF(MOD(AA149+0.5,10)&lt;3,"-",""))),"")</f>
        <v/>
      </c>
      <c r="AE149" s="32">
        <f>IF(A149&lt;&gt;"",SUM(W149:X149,$W$8:$X$8)/SUM($W$2:$X$2)*100,"")</f>
        <v>101</v>
      </c>
      <c r="AF149" s="32" t="str">
        <f>IF(A149&lt;&gt;"",CHOOSE(10-MIN(9,TRUNC((AE149+0.5)/10)),"A","B","C","D","F","F","F","F","F","F"),"")</f>
        <v>A</v>
      </c>
      <c r="AG149" s="32" t="str">
        <f>IF(A149&lt;&gt;"",IF(OR(AE149+0.5&gt;=93,AE149+0.5&lt;60),"",IF(MOD(AE149+0.5,10)&gt;=7,"+",IF(MOD(AE149+0.5,10)&lt;3,"-",""))),"")</f>
        <v/>
      </c>
      <c r="AH149" s="36">
        <f>IF(A149&lt;&gt;"",MIN(MAX(AA149,AE149),AA149+$AH$8,AE149+$AH$8),"")</f>
        <v>101</v>
      </c>
      <c r="AI149" s="32" t="str">
        <f>IF(A149&lt;&gt;"",CHOOSE(10-MIN(9,TRUNC((AH149+0.5)/10)),"A","B","C","D","F","F","F","F","F","F"),"")</f>
        <v>A</v>
      </c>
      <c r="AJ149" s="32" t="str">
        <f>IF(A149&lt;&gt;"",IF(OR(AH149+0.5&gt;=93,AH149+0.5&lt;60),"",IF(MOD(AH149+0.5,10)&gt;=7,"+",IF(MOD(AH149+0.5,10)&lt;3,"-",""))),"")</f>
        <v/>
      </c>
      <c r="AK149" s="71" t="b">
        <f>IF(A149&lt;&gt;"",OR(AI149&lt;&gt;AC149,AJ149&lt;&gt;AD149),"")</f>
        <v>1</v>
      </c>
      <c r="AL149" s="86">
        <f>IF(AND(A149&lt;&gt;"",U149&lt;&gt;""),SUM(U149,$AL$8)/$AL$2*100,"")</f>
        <v>69.333333333333343</v>
      </c>
      <c r="AM149" s="71">
        <f>IF(AND(A149&lt;&gt;"",V149&lt;&gt;""),SUM(V149,$AM$8)/$AM$2*100,"")</f>
        <v>78.461538461538467</v>
      </c>
      <c r="AN149" s="71">
        <f>IF(AND(A149&lt;&gt;"",ISNUMBER(P149),P149&gt;=0),SUM(P149,$AN$8)/$AN$2*100,"")</f>
        <v>101</v>
      </c>
      <c r="AO149" s="71" t="str">
        <f>IF(AND(A149&lt;&gt;"",ISNUMBER(Q149),Q149&gt;=0),SUM(Q149,$AO$8)/$AO$2*100,"")</f>
        <v/>
      </c>
      <c r="AP149" s="24" t="str">
        <f>IF(AND(A149&lt;&gt;"",R149&lt;&gt;""),SUM(R149,$AP$8)/$AP$2*100,"")</f>
        <v/>
      </c>
      <c r="AQ149" s="24">
        <f>IF(AND(A149&lt;&gt;"",ISNUMBER(W149),W149&gt;=0),SUM(W149,$AQ$8)/$AQ$2*100,"")</f>
        <v>101</v>
      </c>
      <c r="AR149" s="24" t="str">
        <f>IF(AND(A149&lt;&gt;"",T149&gt;0,ISNUMBER(T149)),SUM(T149,$AR$8)/$AR$2*100,"")</f>
        <v/>
      </c>
      <c r="AS149" s="24" t="str">
        <f>IF(AND(A149&lt;&gt;"",X149&lt;&gt;""),SUM(X149,$AS$8)/$AS$2*100,"")</f>
        <v/>
      </c>
      <c r="AT149" s="89">
        <f>IF(AND(A149&lt;&gt;"",OR(ISNUMBER(W149),ISNUMBER(X149))),SUM(W149:X149,$AT$8)/$AT$2*100,"")</f>
        <v>101</v>
      </c>
      <c r="AU149" s="24">
        <f>AA149</f>
        <v>83.93442622950819</v>
      </c>
      <c r="AV149" s="71"/>
      <c r="AW149" s="27">
        <f>IF(A149&lt;&gt;"",AE149-AA149,"")</f>
        <v>17.06557377049181</v>
      </c>
      <c r="AY149" s="27" t="b">
        <f>S149&gt;R149</f>
        <v>0</v>
      </c>
      <c r="BA149" s="27" t="e">
        <f>AND(AA149&gt;$BA$3,(W149+$W$8)/$W$2&lt;$BB$3,(X149+$X$8)/$X$2&lt;$BB$3)</f>
        <v>#VALUE!</v>
      </c>
      <c r="BB149" s="27" t="e">
        <f>AND(AA149&lt;$BA$3,AND(W149/$W$2&gt;$BB$3,X149/$X$2&gt;$BB$3))</f>
        <v>#VALUE!</v>
      </c>
      <c r="BC149" s="27" t="e">
        <f>AND(AA149&lt;$BA$3,OR(W149/$W$2&gt;$BB$3,X149/$X$2&gt;$BB$3))</f>
        <v>#VALUE!</v>
      </c>
      <c r="BE149" s="32" t="s">
        <v>84</v>
      </c>
    </row>
    <row r="150" spans="1:57" s="27" customFormat="1" ht="12.75" customHeight="1" x14ac:dyDescent="0.2">
      <c r="A150" s="10">
        <v>283112</v>
      </c>
      <c r="B150" s="2">
        <v>22</v>
      </c>
      <c r="C150" s="10">
        <v>21</v>
      </c>
      <c r="D150" s="10">
        <v>23</v>
      </c>
      <c r="E150" s="10"/>
      <c r="F150" s="10"/>
      <c r="G150" s="10"/>
      <c r="H150" s="10"/>
      <c r="I150" s="10"/>
      <c r="J150" s="2">
        <v>32</v>
      </c>
      <c r="K150" s="10">
        <v>48</v>
      </c>
      <c r="L150" s="10">
        <v>49</v>
      </c>
      <c r="M150" s="10"/>
      <c r="N150" s="93"/>
      <c r="O150" s="13"/>
      <c r="P150" s="10">
        <v>101</v>
      </c>
      <c r="Q150" s="10"/>
      <c r="R150" s="2"/>
      <c r="S150" s="10"/>
      <c r="T150" s="13"/>
      <c r="U150" s="1">
        <f t="array" ref="U150">IF(AND(A150&lt;&gt;"",OR(ISNUMBER(B150:I150))),SUM(B150:I150),"")</f>
        <v>66</v>
      </c>
      <c r="V150" s="10">
        <f t="array" ref="V150">IF(AND(A150&lt;&gt;"",OR(ISNUMBER(J150:O150))),SUM(J150:O150),"")</f>
        <v>129</v>
      </c>
      <c r="W150" s="10">
        <f t="array" ref="W150">IF(AND(A150&lt;&gt;"",OR(ISNUMBER(P150),ISNUMBER(Q150))),SUM(MAX(P150:Q150),Q150),"")</f>
        <v>101</v>
      </c>
      <c r="X150" s="10" t="str">
        <f t="array" ref="X150">IF(AND(A150&lt;&gt;"",OR(ISNUMBER(S150),ISNUMBER(T150))),SUM(S150,T150),"")</f>
        <v/>
      </c>
      <c r="Y150" s="13">
        <v>1</v>
      </c>
      <c r="Z150" s="13">
        <f>IF(A150&lt;&gt;"",SUM(U150:Y150),"")</f>
        <v>297</v>
      </c>
      <c r="AA150" s="27">
        <f>IF(A150&lt;&gt;"",(Z150+Normalize_To_Add)/(Point_Total_So_Far)*100,"")</f>
        <v>97.377049180327873</v>
      </c>
      <c r="AB150" s="10">
        <f>IF(A150&lt;&gt;"",RANK(AA150,All_Student_XC),"")</f>
        <v>224</v>
      </c>
      <c r="AC150" s="32" t="str">
        <f>IF(A150&lt;&gt;"",CHOOSE(10-MIN(9,TRUNC((AA150+0.5)/10)),"A","B","C","D","F","F","F","F","F","F"),"")</f>
        <v>A</v>
      </c>
      <c r="AD150" s="31" t="str">
        <f>IF(A150&lt;&gt;"",IF(OR(AA150+0.5&gt;=93,AA150+0.5&lt;60),"",IF(MOD(AA150+0.5,10)&gt;=7,"+",IF(MOD(AA150+0.5,10)&lt;3,"-",""))),"")</f>
        <v/>
      </c>
      <c r="AE150" s="32">
        <f>IF(A150&lt;&gt;"",SUM(W150:X150,$W$8:$X$8)/SUM($W$2:$X$2)*100,"")</f>
        <v>101</v>
      </c>
      <c r="AF150" s="32" t="str">
        <f>IF(A150&lt;&gt;"",CHOOSE(10-MIN(9,TRUNC((AE150+0.5)/10)),"A","B","C","D","F","F","F","F","F","F"),"")</f>
        <v>A</v>
      </c>
      <c r="AG150" s="32" t="str">
        <f>IF(A150&lt;&gt;"",IF(OR(AE150+0.5&gt;=93,AE150+0.5&lt;60),"",IF(MOD(AE150+0.5,10)&gt;=7,"+",IF(MOD(AE150+0.5,10)&lt;3,"-",""))),"")</f>
        <v/>
      </c>
      <c r="AH150" s="36">
        <f>IF(A150&lt;&gt;"",MIN(MAX(AA150,AE150),AA150+$AH$8,AE150+$AH$8),"")</f>
        <v>101</v>
      </c>
      <c r="AI150" s="32" t="str">
        <f>IF(A150&lt;&gt;"",CHOOSE(10-MIN(9,TRUNC((AH150+0.5)/10)),"A","B","C","D","F","F","F","F","F","F"),"")</f>
        <v>A</v>
      </c>
      <c r="AJ150" s="32" t="str">
        <f>IF(A150&lt;&gt;"",IF(OR(AH150+0.5&gt;=93,AH150+0.5&lt;60),"",IF(MOD(AH150+0.5,10)&gt;=7,"+",IF(MOD(AH150+0.5,10)&lt;3,"-",""))),"")</f>
        <v/>
      </c>
      <c r="AK150" s="71" t="b">
        <f>IF(A150&lt;&gt;"",OR(AI150&lt;&gt;AC150,AJ150&lt;&gt;AD150),"")</f>
        <v>0</v>
      </c>
      <c r="AL150" s="86">
        <f>IF(AND(A150&lt;&gt;"",U150&lt;&gt;""),SUM(U150,$AL$8)/$AL$2*100,"")</f>
        <v>88</v>
      </c>
      <c r="AM150" s="71">
        <f>IF(AND(A150&lt;&gt;"",V150&lt;&gt;""),SUM(V150,$AM$8)/$AM$2*100,"")</f>
        <v>99.230769230769226</v>
      </c>
      <c r="AN150" s="71">
        <f>IF(AND(A150&lt;&gt;"",ISNUMBER(P150),P150&gt;=0),SUM(P150,$AN$8)/$AN$2*100,"")</f>
        <v>101</v>
      </c>
      <c r="AO150" s="71" t="str">
        <f>IF(AND(A150&lt;&gt;"",ISNUMBER(Q150),Q150&gt;=0),SUM(Q150,$AO$8)/$AO$2*100,"")</f>
        <v/>
      </c>
      <c r="AP150" s="24" t="str">
        <f>IF(AND(A150&lt;&gt;"",R150&lt;&gt;""),SUM(R150,$AP$8)/$AP$2*100,"")</f>
        <v/>
      </c>
      <c r="AQ150" s="24">
        <f>IF(AND(A150&lt;&gt;"",ISNUMBER(W150),W150&gt;=0),SUM(W150,$AQ$8)/$AQ$2*100,"")</f>
        <v>101</v>
      </c>
      <c r="AR150" s="24" t="str">
        <f>IF(AND(A150&lt;&gt;"",T150&gt;0,ISNUMBER(T150)),SUM(T150,$AR$8)/$AR$2*100,"")</f>
        <v/>
      </c>
      <c r="AS150" s="24" t="str">
        <f>IF(AND(A150&lt;&gt;"",X150&lt;&gt;""),SUM(X150,$AS$8)/$AS$2*100,"")</f>
        <v/>
      </c>
      <c r="AT150" s="89">
        <f>IF(AND(A150&lt;&gt;"",OR(ISNUMBER(W150),ISNUMBER(X150))),SUM(W150:X150,$AT$8)/$AT$2*100,"")</f>
        <v>101</v>
      </c>
      <c r="AU150" s="24">
        <f>AA150</f>
        <v>97.377049180327873</v>
      </c>
      <c r="AV150" s="71"/>
      <c r="AW150" s="27">
        <f>IF(A150&lt;&gt;"",AE150-AA150,"")</f>
        <v>3.622950819672127</v>
      </c>
      <c r="AY150" s="27" t="b">
        <f>S150&gt;R150</f>
        <v>0</v>
      </c>
      <c r="BA150" s="27" t="e">
        <f>AND(AA150&gt;$BA$3,(W150+$W$8)/$W$2&lt;$BB$3,(X150+$X$8)/$X$2&lt;$BB$3)</f>
        <v>#VALUE!</v>
      </c>
      <c r="BB150" s="27" t="e">
        <f>AND(AA150&lt;$BA$3,AND(W150/$W$2&gt;$BB$3,X150/$X$2&gt;$BB$3))</f>
        <v>#VALUE!</v>
      </c>
      <c r="BC150" s="27" t="e">
        <f>AND(AA150&lt;$BA$3,OR(W150/$W$2&gt;$BB$3,X150/$X$2&gt;$BB$3))</f>
        <v>#VALUE!</v>
      </c>
      <c r="BE150" s="32">
        <v>32</v>
      </c>
    </row>
    <row r="151" spans="1:57" s="27" customFormat="1" ht="12.75" customHeight="1" x14ac:dyDescent="0.2">
      <c r="A151" s="10">
        <v>284652</v>
      </c>
      <c r="B151" s="2">
        <v>21</v>
      </c>
      <c r="C151" s="10">
        <v>19</v>
      </c>
      <c r="D151" s="10">
        <v>21</v>
      </c>
      <c r="E151" s="10"/>
      <c r="F151" s="10"/>
      <c r="G151" s="3"/>
      <c r="H151" s="10"/>
      <c r="I151" s="10"/>
      <c r="J151" s="2">
        <v>19</v>
      </c>
      <c r="K151" s="10">
        <v>35</v>
      </c>
      <c r="L151" s="10">
        <v>52</v>
      </c>
      <c r="M151" s="10"/>
      <c r="N151" s="10"/>
      <c r="O151" s="12"/>
      <c r="P151" s="7">
        <v>60</v>
      </c>
      <c r="Q151" s="7"/>
      <c r="R151" s="2"/>
      <c r="S151" s="10"/>
      <c r="T151" s="13"/>
      <c r="U151" s="77">
        <f t="array" ref="U151">IF(AND(A151&lt;&gt;"",OR(ISNUMBER(B151:I151))),SUM(B151:I151),"")</f>
        <v>61</v>
      </c>
      <c r="V151" s="10">
        <f t="array" ref="V151">IF(AND(A151&lt;&gt;"",OR(ISNUMBER(J151:O151))),SUM(J151:O151),"")</f>
        <v>106</v>
      </c>
      <c r="W151" s="10">
        <f t="array" ref="W151">IF(AND(A151&lt;&gt;"",OR(ISNUMBER(P151),ISNUMBER(Q151))),SUM(MAX(P151:Q151),Q151),"")</f>
        <v>60</v>
      </c>
      <c r="X151" s="10" t="str">
        <f t="array" ref="X151">IF(AND(A151&lt;&gt;"",OR(ISNUMBER(S151),ISNUMBER(T151))),SUM(S151,T151),"")</f>
        <v/>
      </c>
      <c r="Y151" s="13">
        <v>1</v>
      </c>
      <c r="Z151" s="13">
        <f>IF(A151&lt;&gt;"",SUM(U151:Y151),"")</f>
        <v>228</v>
      </c>
      <c r="AA151" s="27">
        <f>IF(A151&lt;&gt;"",(Z151+Normalize_To_Add)/(Point_Total_So_Far)*100,"")</f>
        <v>74.754098360655746</v>
      </c>
      <c r="AB151" s="10">
        <f>IF(A151&lt;&gt;"",RANK(AA151,All_Student_XC),"")</f>
        <v>440</v>
      </c>
      <c r="AC151" s="32" t="str">
        <f>IF(A151&lt;&gt;"",CHOOSE(10-MIN(9,TRUNC((AA151+0.5)/10)),"A","B","C","D","F","F","F","F","F","F"),"")</f>
        <v>C</v>
      </c>
      <c r="AD151" s="32" t="str">
        <f>IF(A151&lt;&gt;"",IF(OR(AA151+0.5&gt;=93,AA151+0.5&lt;60),"",IF(MOD(AA151+0.5,10)&gt;=7,"+",IF(MOD(AA151+0.5,10)&lt;3,"-",""))),"")</f>
        <v/>
      </c>
      <c r="AE151" s="32">
        <f>IF(A151&lt;&gt;"",SUM(W151:X151,$W$8:$X$8)/SUM($W$2:$X$2)*100,"")</f>
        <v>60</v>
      </c>
      <c r="AF151" s="32" t="str">
        <f>IF(A151&lt;&gt;"",CHOOSE(10-MIN(9,TRUNC((AE151+0.5)/10)),"A","B","C","D","F","F","F","F","F","F"),"")</f>
        <v>D</v>
      </c>
      <c r="AG151" s="32" t="str">
        <f>IF(A151&lt;&gt;"",IF(OR(AE151+0.5&gt;=93,AE151+0.5&lt;60),"",IF(MOD(AE151+0.5,10)&gt;=7,"+",IF(MOD(AE151+0.5,10)&lt;3,"-",""))),"")</f>
        <v>-</v>
      </c>
      <c r="AH151" s="36">
        <f>IF(A151&lt;&gt;"",MIN(MAX(AA151,AE151),AA151+$AH$8,AE151+$AH$8),"")</f>
        <v>74.754098360655746</v>
      </c>
      <c r="AI151" s="32" t="str">
        <f>IF(A151&lt;&gt;"",CHOOSE(10-MIN(9,TRUNC((AH151+0.5)/10)),"A","B","C","D","F","F","F","F","F","F"),"")</f>
        <v>C</v>
      </c>
      <c r="AJ151" s="32" t="str">
        <f>IF(A151&lt;&gt;"",IF(OR(AH151+0.5&gt;=93,AH151+0.5&lt;60),"",IF(MOD(AH151+0.5,10)&gt;=7,"+",IF(MOD(AH151+0.5,10)&lt;3,"-",""))),"")</f>
        <v/>
      </c>
      <c r="AK151" s="32" t="b">
        <f>IF(A151&lt;&gt;"",OR(AI151&lt;&gt;AC151,AJ151&lt;&gt;AD151),"")</f>
        <v>0</v>
      </c>
      <c r="AL151" s="84">
        <f>IF(AND(A151&lt;&gt;"",U151&lt;&gt;""),SUM(U151,$AL$8)/$AL$2*100,"")</f>
        <v>81.333333333333329</v>
      </c>
      <c r="AM151" s="24">
        <f>IF(AND(A151&lt;&gt;"",V151&lt;&gt;""),SUM(V151,$AM$8)/$AM$2*100,"")</f>
        <v>81.538461538461533</v>
      </c>
      <c r="AN151" s="24">
        <f>IF(AND(A151&lt;&gt;"",ISNUMBER(P151),P151&gt;=0),SUM(P151,$AN$8)/$AN$2*100,"")</f>
        <v>60</v>
      </c>
      <c r="AO151" s="24" t="str">
        <f>IF(AND(A151&lt;&gt;"",ISNUMBER(Q151),Q151&gt;=0),SUM(Q151,$AO$8)/$AO$2*100,"")</f>
        <v/>
      </c>
      <c r="AP151" s="24" t="str">
        <f>IF(AND(A151&lt;&gt;"",R151&lt;&gt;""),SUM(R151,$AP$8)/$AP$2*100,"")</f>
        <v/>
      </c>
      <c r="AQ151" s="24">
        <f>IF(AND(A151&lt;&gt;"",ISNUMBER(W151),W151&gt;=0),SUM(W151,$AQ$8)/$AQ$2*100,"")</f>
        <v>60</v>
      </c>
      <c r="AR151" s="24" t="str">
        <f>IF(AND(A151&lt;&gt;"",T151&gt;0,ISNUMBER(T151)),SUM(T151,$AR$8)/$AR$2*100,"")</f>
        <v/>
      </c>
      <c r="AS151" s="24" t="str">
        <f>IF(AND(A151&lt;&gt;"",X151&lt;&gt;""),SUM(X151,$AS$8)/$AS$2*100,"")</f>
        <v/>
      </c>
      <c r="AT151" s="89">
        <f>IF(AND(A151&lt;&gt;"",OR(ISNUMBER(W151),ISNUMBER(X151))),SUM(W151:X151,$AT$8)/$AT$2*100,"")</f>
        <v>60</v>
      </c>
      <c r="AU151" s="24">
        <f>AA151</f>
        <v>74.754098360655746</v>
      </c>
      <c r="AV151" s="24"/>
      <c r="AW151" s="27">
        <f>IF(A151&lt;&gt;"",AE151-AA151,"")</f>
        <v>-14.754098360655746</v>
      </c>
      <c r="AY151" s="27" t="b">
        <f>S151&gt;R151</f>
        <v>0</v>
      </c>
      <c r="BA151" s="27" t="e">
        <f>AND(AA151&gt;$BA$3,(W151+$W$8)/$W$2&lt;$BB$3,(X151+$X$8)/$X$2&lt;$BB$3)</f>
        <v>#VALUE!</v>
      </c>
      <c r="BB151" s="27" t="e">
        <f>AND(AA151&lt;$BA$3,AND(W151/$W$2&gt;$BB$3,X151/$X$2&gt;$BB$3))</f>
        <v>#VALUE!</v>
      </c>
      <c r="BC151" s="27" t="e">
        <f>AND(AA151&lt;$BA$3,OR(W151/$W$2&gt;$BB$3,X151/$X$2&gt;$BB$3))</f>
        <v>#VALUE!</v>
      </c>
      <c r="BE151" s="32">
        <v>32</v>
      </c>
    </row>
    <row r="152" spans="1:57" s="27" customFormat="1" ht="12.75" customHeight="1" x14ac:dyDescent="0.2">
      <c r="A152" s="10">
        <v>285875</v>
      </c>
      <c r="B152" s="2">
        <v>23</v>
      </c>
      <c r="C152" s="10">
        <v>22</v>
      </c>
      <c r="D152" s="10">
        <v>25</v>
      </c>
      <c r="E152" s="10"/>
      <c r="F152" s="10"/>
      <c r="G152" s="3"/>
      <c r="H152" s="10"/>
      <c r="I152" s="10"/>
      <c r="J152" s="2">
        <v>24</v>
      </c>
      <c r="K152" s="10">
        <v>52</v>
      </c>
      <c r="L152" s="10">
        <v>51</v>
      </c>
      <c r="M152" s="10"/>
      <c r="N152" s="10"/>
      <c r="O152" s="12"/>
      <c r="P152" s="41">
        <v>100</v>
      </c>
      <c r="Q152" s="41"/>
      <c r="R152" s="2"/>
      <c r="S152" s="10"/>
      <c r="T152" s="13"/>
      <c r="U152" s="1">
        <f t="array" ref="U152">IF(AND(A152&lt;&gt;"",OR(ISNUMBER(B152:I152))),SUM(B152:I152),"")</f>
        <v>70</v>
      </c>
      <c r="V152" s="10">
        <f t="array" ref="V152">IF(AND(A152&lt;&gt;"",OR(ISNUMBER(J152:O152))),SUM(J152:O152),"")</f>
        <v>127</v>
      </c>
      <c r="W152" s="10">
        <f t="array" ref="W152">IF(AND(A152&lt;&gt;"",OR(ISNUMBER(P152),ISNUMBER(Q152))),SUM(MAX(P152:Q152),Q152),"")</f>
        <v>100</v>
      </c>
      <c r="X152" s="10" t="str">
        <f t="array" ref="X152">IF(AND(A152&lt;&gt;"",OR(ISNUMBER(S152),ISNUMBER(T152))),SUM(S152,T152),"")</f>
        <v/>
      </c>
      <c r="Y152" s="13">
        <v>1</v>
      </c>
      <c r="Z152" s="13">
        <f>IF(A152&lt;&gt;"",SUM(U152:Y152),"")</f>
        <v>298</v>
      </c>
      <c r="AA152" s="27">
        <f>IF(A152&lt;&gt;"",(Z152+Normalize_To_Add)/(Point_Total_So_Far)*100,"")</f>
        <v>97.704918032786878</v>
      </c>
      <c r="AB152" s="10">
        <f>IF(A152&lt;&gt;"",RANK(AA152,All_Student_XC),"")</f>
        <v>210</v>
      </c>
      <c r="AC152" s="32" t="str">
        <f>IF(A152&lt;&gt;"",CHOOSE(10-MIN(9,TRUNC((AA152+0.5)/10)),"A","B","C","D","F","F","F","F","F","F"),"")</f>
        <v>A</v>
      </c>
      <c r="AD152" s="32" t="str">
        <f>IF(A152&lt;&gt;"",IF(OR(AA152+0.5&gt;=93,AA152+0.5&lt;60),"",IF(MOD(AA152+0.5,10)&gt;=7,"+",IF(MOD(AA152+0.5,10)&lt;3,"-",""))),"")</f>
        <v/>
      </c>
      <c r="AE152" s="32">
        <f>IF(A152&lt;&gt;"",SUM(W152:X152,$W$8:$X$8)/SUM($W$2:$X$2)*100,"")</f>
        <v>100</v>
      </c>
      <c r="AF152" s="32" t="str">
        <f>IF(A152&lt;&gt;"",CHOOSE(10-MIN(9,TRUNC((AE152+0.5)/10)),"A","B","C","D","F","F","F","F","F","F"),"")</f>
        <v>A</v>
      </c>
      <c r="AG152" s="32" t="str">
        <f>IF(A152&lt;&gt;"",IF(OR(AE152+0.5&gt;=93,AE152+0.5&lt;60),"",IF(MOD(AE152+0.5,10)&gt;=7,"+",IF(MOD(AE152+0.5,10)&lt;3,"-",""))),"")</f>
        <v/>
      </c>
      <c r="AH152" s="36">
        <f>IF(A152&lt;&gt;"",MIN(MAX(AA152,AE152),AA152+$AH$8,AE152+$AH$8),"")</f>
        <v>100</v>
      </c>
      <c r="AI152" s="32" t="str">
        <f>IF(A152&lt;&gt;"",CHOOSE(10-MIN(9,TRUNC((AH152+0.5)/10)),"A","B","C","D","F","F","F","F","F","F"),"")</f>
        <v>A</v>
      </c>
      <c r="AJ152" s="32" t="str">
        <f>IF(A152&lt;&gt;"",IF(OR(AH152+0.5&gt;=93,AH152+0.5&lt;60),"",IF(MOD(AH152+0.5,10)&gt;=7,"+",IF(MOD(AH152+0.5,10)&lt;3,"-",""))),"")</f>
        <v/>
      </c>
      <c r="AK152" s="32" t="b">
        <f>IF(A152&lt;&gt;"",OR(AI152&lt;&gt;AC152,AJ152&lt;&gt;AD152),"")</f>
        <v>0</v>
      </c>
      <c r="AL152" s="84">
        <f>IF(AND(A152&lt;&gt;"",U152&lt;&gt;""),SUM(U152,$AL$8)/$AL$2*100,"")</f>
        <v>93.333333333333329</v>
      </c>
      <c r="AM152" s="24">
        <f>IF(AND(A152&lt;&gt;"",V152&lt;&gt;""),SUM(V152,$AM$8)/$AM$2*100,"")</f>
        <v>97.692307692307693</v>
      </c>
      <c r="AN152" s="24">
        <f>IF(AND(A152&lt;&gt;"",ISNUMBER(P152),P152&gt;=0),SUM(P152,$AN$8)/$AN$2*100,"")</f>
        <v>100</v>
      </c>
      <c r="AO152" s="24" t="str">
        <f>IF(AND(A152&lt;&gt;"",ISNUMBER(Q152),Q152&gt;=0),SUM(Q152,$AO$8)/$AO$2*100,"")</f>
        <v/>
      </c>
      <c r="AP152" s="24" t="str">
        <f>IF(AND(A152&lt;&gt;"",R152&lt;&gt;""),SUM(R152,$AP$8)/$AP$2*100,"")</f>
        <v/>
      </c>
      <c r="AQ152" s="24">
        <f>IF(AND(A152&lt;&gt;"",ISNUMBER(W152),W152&gt;=0),SUM(W152,$AQ$8)/$AQ$2*100,"")</f>
        <v>100</v>
      </c>
      <c r="AR152" s="24" t="str">
        <f>IF(AND(A152&lt;&gt;"",T152&gt;0,ISNUMBER(T152)),SUM(T152,$AR$8)/$AR$2*100,"")</f>
        <v/>
      </c>
      <c r="AS152" s="24" t="str">
        <f>IF(AND(A152&lt;&gt;"",X152&lt;&gt;""),SUM(X152,$AS$8)/$AS$2*100,"")</f>
        <v/>
      </c>
      <c r="AT152" s="89">
        <f>IF(AND(A152&lt;&gt;"",OR(ISNUMBER(W152),ISNUMBER(X152))),SUM(W152:X152,$AT$8)/$AT$2*100,"")</f>
        <v>100</v>
      </c>
      <c r="AU152" s="24">
        <f>AA152</f>
        <v>97.704918032786878</v>
      </c>
      <c r="AV152" s="24"/>
      <c r="AW152" s="27">
        <f>IF(A152&lt;&gt;"",AE152-AA152,"")</f>
        <v>2.2950819672131217</v>
      </c>
      <c r="AY152" s="27" t="b">
        <f>S152&gt;R152</f>
        <v>0</v>
      </c>
      <c r="BA152" s="27" t="e">
        <f>AND(AA152&gt;$BA$3,(W152+$W$8)/$W$2&lt;$BB$3,(X152+$X$8)/$X$2&lt;$BB$3)</f>
        <v>#VALUE!</v>
      </c>
      <c r="BB152" s="27" t="e">
        <f>AND(AA152&lt;$BA$3,AND(W152/$W$2&gt;$BB$3,X152/$X$2&gt;$BB$3))</f>
        <v>#VALUE!</v>
      </c>
      <c r="BC152" s="27" t="e">
        <f>AND(AA152&lt;$BA$3,OR(W152/$W$2&gt;$BB$3,X152/$X$2&gt;$BB$3))</f>
        <v>#VALUE!</v>
      </c>
      <c r="BE152" s="32">
        <v>32</v>
      </c>
    </row>
    <row r="153" spans="1:57" s="27" customFormat="1" ht="12.75" customHeight="1" x14ac:dyDescent="0.2">
      <c r="A153" s="10">
        <v>289797</v>
      </c>
      <c r="B153" s="2">
        <v>25</v>
      </c>
      <c r="C153" s="10">
        <v>24</v>
      </c>
      <c r="D153" s="10">
        <v>25</v>
      </c>
      <c r="E153" s="10"/>
      <c r="F153" s="10"/>
      <c r="G153" s="3"/>
      <c r="H153" s="10"/>
      <c r="I153" s="10"/>
      <c r="J153" s="2">
        <v>29</v>
      </c>
      <c r="K153" s="10">
        <v>44</v>
      </c>
      <c r="L153" s="10">
        <v>52</v>
      </c>
      <c r="M153" s="10"/>
      <c r="N153" s="10"/>
      <c r="O153" s="12"/>
      <c r="P153" s="7">
        <v>101</v>
      </c>
      <c r="Q153" s="7"/>
      <c r="R153" s="2"/>
      <c r="S153" s="10"/>
      <c r="T153" s="13"/>
      <c r="U153" s="77">
        <f t="array" ref="U153">IF(AND(A153&lt;&gt;"",OR(ISNUMBER(B153:I153))),SUM(B153:I153),"")</f>
        <v>74</v>
      </c>
      <c r="V153" s="10">
        <f t="array" ref="V153">IF(AND(A153&lt;&gt;"",OR(ISNUMBER(J153:O153))),SUM(J153:O153),"")</f>
        <v>125</v>
      </c>
      <c r="W153" s="10">
        <f t="array" ref="W153">IF(AND(A153&lt;&gt;"",OR(ISNUMBER(P153),ISNUMBER(Q153))),SUM(MAX(P153:Q153),Q153),"")</f>
        <v>101</v>
      </c>
      <c r="X153" s="10" t="str">
        <f t="array" ref="X153">IF(AND(A153&lt;&gt;"",OR(ISNUMBER(S153),ISNUMBER(T153))),SUM(S153,T153),"")</f>
        <v/>
      </c>
      <c r="Y153" s="13">
        <v>1</v>
      </c>
      <c r="Z153" s="13">
        <f>IF(A153&lt;&gt;"",SUM(U153:Y153),"")</f>
        <v>301</v>
      </c>
      <c r="AA153" s="27">
        <f>IF(A153&lt;&gt;"",(Z153+Normalize_To_Add)/(Point_Total_So_Far)*100,"")</f>
        <v>98.688524590163937</v>
      </c>
      <c r="AB153" s="10">
        <f>IF(A153&lt;&gt;"",RANK(AA153,All_Student_XC),"")</f>
        <v>176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>
        <f>IF(A153&lt;&gt;"",SUM(W153:X153,$W$8:$X$8)/SUM($W$2:$X$2)*100,"")</f>
        <v>101</v>
      </c>
      <c r="AF153" s="32" t="str">
        <f>IF(A153&lt;&gt;"",CHOOSE(10-MIN(9,TRUNC((AE153+0.5)/10)),"A","B","C","D","F","F","F","F","F","F"),"")</f>
        <v>A</v>
      </c>
      <c r="AG153" s="32" t="str">
        <f>IF(A153&lt;&gt;"",IF(OR(AE153+0.5&gt;=93,AE153+0.5&lt;60),"",IF(MOD(AE153+0.5,10)&gt;=7,"+",IF(MOD(AE153+0.5,10)&lt;3,"-",""))),"")</f>
        <v/>
      </c>
      <c r="AH153" s="36">
        <f>IF(A153&lt;&gt;"",MIN(MAX(AA153,AE153),AA153+$AH$8,AE153+$AH$8),"")</f>
        <v>101</v>
      </c>
      <c r="AI153" s="32" t="str">
        <f>IF(A153&lt;&gt;"",CHOOSE(10-MIN(9,TRUNC((AH153+0.5)/10)),"A","B","C","D","F","F","F","F","F","F"),"")</f>
        <v>A</v>
      </c>
      <c r="AJ153" s="32" t="str">
        <f>IF(A153&lt;&gt;"",IF(OR(AH153+0.5&gt;=93,AH153+0.5&lt;60),"",IF(MOD(AH153+0.5,10)&gt;=7,"+",IF(MOD(AH153+0.5,10)&lt;3,"-",""))),"")</f>
        <v/>
      </c>
      <c r="AK153" s="32" t="b">
        <f>IF(A153&lt;&gt;"",OR(AI153&lt;&gt;AC153,AJ153&lt;&gt;AD153),"")</f>
        <v>0</v>
      </c>
      <c r="AL153" s="84">
        <f>IF(AND(A153&lt;&gt;"",U153&lt;&gt;""),SUM(U153,$AL$8)/$AL$2*100,"")</f>
        <v>98.666666666666671</v>
      </c>
      <c r="AM153" s="24">
        <f>IF(AND(A153&lt;&gt;"",V153&lt;&gt;""),SUM(V153,$AM$8)/$AM$2*100,"")</f>
        <v>96.15384615384616</v>
      </c>
      <c r="AN153" s="24">
        <f>IF(AND(A153&lt;&gt;"",ISNUMBER(P153),P153&gt;=0),SUM(P153,$AN$8)/$AN$2*100,"")</f>
        <v>101</v>
      </c>
      <c r="AO153" s="24" t="str">
        <f>IF(AND(A153&lt;&gt;"",ISNUMBER(Q153),Q153&gt;=0),SUM(Q153,$AO$8)/$AO$2*100,"")</f>
        <v/>
      </c>
      <c r="AP153" s="24" t="str">
        <f>IF(AND(A153&lt;&gt;"",R153&lt;&gt;""),SUM(R153,$AP$8)/$AP$2*100,"")</f>
        <v/>
      </c>
      <c r="AQ153" s="24">
        <f>IF(AND(A153&lt;&gt;"",ISNUMBER(W153),W153&gt;=0),SUM(W153,$AQ$8)/$AQ$2*100,"")</f>
        <v>101</v>
      </c>
      <c r="AR153" s="24" t="str">
        <f>IF(AND(A153&lt;&gt;"",T153&gt;0,ISNUMBER(T153)),SUM(T153,$AR$8)/$AR$2*100,"")</f>
        <v/>
      </c>
      <c r="AS153" s="24" t="str">
        <f>IF(AND(A153&lt;&gt;"",X153&lt;&gt;""),SUM(X153,$AS$8)/$AS$2*100,"")</f>
        <v/>
      </c>
      <c r="AT153" s="89">
        <f>IF(AND(A153&lt;&gt;"",OR(ISNUMBER(W153),ISNUMBER(X153))),SUM(W153:X153,$AT$8)/$AT$2*100,"")</f>
        <v>101</v>
      </c>
      <c r="AU153" s="24">
        <f>AA153</f>
        <v>98.688524590163937</v>
      </c>
      <c r="AV153" s="24"/>
      <c r="AW153" s="27">
        <f>IF(A153&lt;&gt;"",AE153-AA153,"")</f>
        <v>2.3114754098360635</v>
      </c>
      <c r="AY153" s="27" t="b">
        <f>S153&gt;R153</f>
        <v>0</v>
      </c>
      <c r="BA153" s="27" t="e">
        <f>AND(AA153&gt;$BA$3,(W153+$W$8)/$W$2&lt;$BB$3,(X153+$X$8)/$X$2&lt;$BB$3)</f>
        <v>#VALUE!</v>
      </c>
      <c r="BB153" s="27" t="e">
        <f>AND(AA153&lt;$BA$3,AND(W153/$W$2&gt;$BB$3,X153/$X$2&gt;$BB$3))</f>
        <v>#VALUE!</v>
      </c>
      <c r="BC153" s="27" t="e">
        <f>AND(AA153&lt;$BA$3,OR(W153/$W$2&gt;$BB$3,X153/$X$2&gt;$BB$3))</f>
        <v>#VALUE!</v>
      </c>
      <c r="BE153" s="32" t="s">
        <v>84</v>
      </c>
    </row>
    <row r="154" spans="1:57" s="27" customFormat="1" ht="12.75" customHeight="1" x14ac:dyDescent="0.2">
      <c r="A154" s="10">
        <v>291359</v>
      </c>
      <c r="B154" s="2">
        <v>8</v>
      </c>
      <c r="C154" s="10">
        <v>4</v>
      </c>
      <c r="D154" s="10">
        <v>7</v>
      </c>
      <c r="E154" s="10"/>
      <c r="F154" s="10"/>
      <c r="G154" s="10"/>
      <c r="H154" s="10"/>
      <c r="I154" s="10"/>
      <c r="J154" s="2">
        <v>9</v>
      </c>
      <c r="K154" s="10">
        <v>2</v>
      </c>
      <c r="L154" s="10">
        <v>19</v>
      </c>
      <c r="M154" s="10"/>
      <c r="N154" s="10"/>
      <c r="O154" s="12"/>
      <c r="P154" s="41">
        <v>30</v>
      </c>
      <c r="Q154" s="41"/>
      <c r="R154" s="2"/>
      <c r="S154" s="10"/>
      <c r="T154" s="13"/>
      <c r="U154" s="1">
        <f t="array" ref="U154">IF(AND(A154&lt;&gt;"",OR(ISNUMBER(B154:I154))),SUM(B154:I154),"")</f>
        <v>19</v>
      </c>
      <c r="V154" s="10">
        <f t="array" ref="V154">IF(AND(A154&lt;&gt;"",OR(ISNUMBER(J154:O154))),SUM(J154:O154),"")</f>
        <v>30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80</v>
      </c>
      <c r="AA154" s="27">
        <f>IF(A154&lt;&gt;"",(Z154+Normalize_To_Add)/(Point_Total_So_Far)*100,"")</f>
        <v>26.229508196721312</v>
      </c>
      <c r="AB154" s="10">
        <f>IF(A154&lt;&gt;"",RANK(AA154,All_Student_XC),"")</f>
        <v>507</v>
      </c>
      <c r="AC154" s="32" t="str">
        <f>IF(A154&lt;&gt;"",CHOOSE(10-MIN(9,TRUNC((AA154+0.5)/10)),"A","B","C","D","F","F","F","F","F","F"),"")</f>
        <v>F</v>
      </c>
      <c r="AD154" s="32" t="str">
        <f>IF(A154&lt;&gt;"",IF(OR(AA154+0.5&gt;=93,AA154+0.5&lt;60),"",IF(MOD(AA154+0.5,10)&gt;=7,"+",IF(MOD(AA154+0.5,10)&lt;3,"-",""))),"")</f>
        <v/>
      </c>
      <c r="AE154" s="32">
        <f>IF(A154&lt;&gt;"",SUM(W154:X154,$W$8:$X$8)/SUM($W$2:$X$2)*100,"")</f>
        <v>30</v>
      </c>
      <c r="AF154" s="32" t="str">
        <f>IF(A154&lt;&gt;"",CHOOSE(10-MIN(9,TRUNC((AE154+0.5)/10)),"A","B","C","D","F","F","F","F","F","F"),"")</f>
        <v>F</v>
      </c>
      <c r="AG154" s="32" t="str">
        <f>IF(A154&lt;&gt;"",IF(OR(AE154+0.5&gt;=93,AE154+0.5&lt;60),"",IF(MOD(AE154+0.5,10)&gt;=7,"+",IF(MOD(AE154+0.5,10)&lt;3,"-",""))),"")</f>
        <v/>
      </c>
      <c r="AH154" s="36">
        <f>IF(A154&lt;&gt;"",MIN(MAX(AA154,AE154),AA154+$AH$8,AE154+$AH$8),"")</f>
        <v>30</v>
      </c>
      <c r="AI154" s="32" t="str">
        <f>IF(A154&lt;&gt;"",CHOOSE(10-MIN(9,TRUNC((AH154+0.5)/10)),"A","B","C","D","F","F","F","F","F","F"),"")</f>
        <v>F</v>
      </c>
      <c r="AJ154" s="32" t="str">
        <f>IF(A154&lt;&gt;"",IF(OR(AH154+0.5&gt;=93,AH154+0.5&lt;60),"",IF(MOD(AH154+0.5,10)&gt;=7,"+",IF(MOD(AH154+0.5,10)&lt;3,"-",""))),"")</f>
        <v/>
      </c>
      <c r="AK154" s="32" t="b">
        <f>IF(A154&lt;&gt;"",OR(AI154&lt;&gt;AC154,AJ154&lt;&gt;AD154),"")</f>
        <v>0</v>
      </c>
      <c r="AL154" s="84">
        <f>IF(AND(A154&lt;&gt;"",U154&lt;&gt;""),SUM(U154,$AL$8)/$AL$2*100,"")</f>
        <v>25.333333333333336</v>
      </c>
      <c r="AM154" s="24">
        <f>IF(AND(A154&lt;&gt;"",V154&lt;&gt;""),SUM(V154,$AM$8)/$AM$2*100,"")</f>
        <v>23.076923076923077</v>
      </c>
      <c r="AN154" s="24">
        <f>IF(AND(A154&lt;&gt;"",ISNUMBER(P154),P154&gt;=0),SUM(P154,$AN$8)/$AN$2*100,"")</f>
        <v>30</v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>
        <f>IF(AND(A154&lt;&gt;"",ISNUMBER(W154),W154&gt;=0),SUM(W154,$AQ$8)/$AQ$2*100,"")</f>
        <v>30</v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9">
        <f>IF(AND(A154&lt;&gt;"",OR(ISNUMBER(W154),ISNUMBER(X154))),SUM(W154:X154,$AT$8)/$AT$2*100,"")</f>
        <v>30</v>
      </c>
      <c r="AU154" s="24">
        <f>AA154</f>
        <v>26.229508196721312</v>
      </c>
      <c r="AV154" s="24"/>
      <c r="AW154" s="27">
        <f>IF(A154&lt;&gt;"",AE154-AA154,"")</f>
        <v>3.7704918032786878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  <c r="BE154" s="32">
        <v>32</v>
      </c>
    </row>
    <row r="155" spans="1:57" s="27" customFormat="1" ht="12.75" customHeight="1" x14ac:dyDescent="0.2">
      <c r="A155" s="10">
        <v>293522</v>
      </c>
      <c r="B155" s="2">
        <v>22</v>
      </c>
      <c r="C155" s="10">
        <v>23</v>
      </c>
      <c r="D155" s="10">
        <v>25</v>
      </c>
      <c r="E155" s="10"/>
      <c r="F155" s="10"/>
      <c r="G155" s="3"/>
      <c r="H155" s="10"/>
      <c r="I155" s="10"/>
      <c r="J155" s="2">
        <v>31</v>
      </c>
      <c r="K155" s="10">
        <v>50</v>
      </c>
      <c r="L155" s="10">
        <v>51</v>
      </c>
      <c r="M155" s="56"/>
      <c r="N155" s="10"/>
      <c r="O155" s="12"/>
      <c r="P155" s="41">
        <v>101</v>
      </c>
      <c r="Q155" s="41"/>
      <c r="R155" s="2"/>
      <c r="S155" s="10"/>
      <c r="T155" s="13"/>
      <c r="U155" s="1">
        <f t="array" ref="U155">IF(AND(A155&lt;&gt;"",OR(ISNUMBER(B155:I155))),SUM(B155:I155),"")</f>
        <v>70</v>
      </c>
      <c r="V155" s="10">
        <f t="array" ref="V155">IF(AND(A155&lt;&gt;"",OR(ISNUMBER(J155:O155))),SUM(J155:O155),"")</f>
        <v>132</v>
      </c>
      <c r="W155" s="10">
        <f t="array" ref="W155">IF(AND(A155&lt;&gt;"",OR(ISNUMBER(P155),ISNUMBER(Q155))),SUM(MAX(P155:Q155),Q155),"")</f>
        <v>101</v>
      </c>
      <c r="X155" s="10" t="str">
        <f t="array" ref="X155">IF(AND(A155&lt;&gt;"",OR(ISNUMBER(S155),ISNUMBER(T155))),SUM(S155,T155),"")</f>
        <v/>
      </c>
      <c r="Y155" s="13">
        <v>1</v>
      </c>
      <c r="Z155" s="13">
        <f>IF(A155&lt;&gt;"",SUM(U155:Y155),"")</f>
        <v>304</v>
      </c>
      <c r="AA155" s="27">
        <f>IF(A155&lt;&gt;"",(Z155+Normalize_To_Add)/(Point_Total_So_Far)*100,"")</f>
        <v>99.672131147540995</v>
      </c>
      <c r="AB155" s="10">
        <f>IF(A155&lt;&gt;"",RANK(AA155,All_Student_XC),"")</f>
        <v>124</v>
      </c>
      <c r="AC155" s="32" t="str">
        <f>IF(A155&lt;&gt;"",CHOOSE(10-MIN(9,TRUNC((AA155+0.5)/10)),"A","B","C","D","F","F","F","F","F","F"),"")</f>
        <v>A</v>
      </c>
      <c r="AD155" s="32" t="str">
        <f>IF(A155&lt;&gt;"",IF(OR(AA155+0.5&gt;=93,AA155+0.5&lt;60),"",IF(MOD(AA155+0.5,10)&gt;=7,"+",IF(MOD(AA155+0.5,10)&lt;3,"-",""))),"")</f>
        <v/>
      </c>
      <c r="AE155" s="32">
        <f>IF(A155&lt;&gt;"",SUM(W155:X155,$W$8:$X$8)/SUM($W$2:$X$2)*100,"")</f>
        <v>101</v>
      </c>
      <c r="AF155" s="32" t="str">
        <f>IF(A155&lt;&gt;"",CHOOSE(10-MIN(9,TRUNC((AE155+0.5)/10)),"A","B","C","D","F","F","F","F","F","F"),"")</f>
        <v>A</v>
      </c>
      <c r="AG155" s="32" t="str">
        <f>IF(A155&lt;&gt;"",IF(OR(AE155+0.5&gt;=93,AE155+0.5&lt;60),"",IF(MOD(AE155+0.5,10)&gt;=7,"+",IF(MOD(AE155+0.5,10)&lt;3,"-",""))),"")</f>
        <v/>
      </c>
      <c r="AH155" s="36">
        <f>IF(A155&lt;&gt;"",MIN(MAX(AA155,AE155),AA155+$AH$8,AE155+$AH$8),"")</f>
        <v>101</v>
      </c>
      <c r="AI155" s="32" t="str">
        <f>IF(A155&lt;&gt;"",CHOOSE(10-MIN(9,TRUNC((AH155+0.5)/10)),"A","B","C","D","F","F","F","F","F","F"),"")</f>
        <v>A</v>
      </c>
      <c r="AJ155" s="32" t="str">
        <f>IF(A155&lt;&gt;"",IF(OR(AH155+0.5&gt;=93,AH155+0.5&lt;60),"",IF(MOD(AH155+0.5,10)&gt;=7,"+",IF(MOD(AH155+0.5,10)&lt;3,"-",""))),"")</f>
        <v/>
      </c>
      <c r="AK155" s="32" t="b">
        <f>IF(A155&lt;&gt;"",OR(AI155&lt;&gt;AC155,AJ155&lt;&gt;AD155),"")</f>
        <v>0</v>
      </c>
      <c r="AL155" s="84">
        <f>IF(AND(A155&lt;&gt;"",U155&lt;&gt;""),SUM(U155,$AL$8)/$AL$2*100,"")</f>
        <v>93.333333333333329</v>
      </c>
      <c r="AM155" s="24">
        <f>IF(AND(A155&lt;&gt;"",V155&lt;&gt;""),SUM(V155,$AM$8)/$AM$2*100,"")</f>
        <v>101.53846153846153</v>
      </c>
      <c r="AN155" s="24">
        <f>IF(AND(A155&lt;&gt;"",ISNUMBER(P155),P155&gt;=0),SUM(P155,$AN$8)/$AN$2*100,"")</f>
        <v>101</v>
      </c>
      <c r="AO155" s="24" t="str">
        <f>IF(AND(A155&lt;&gt;"",ISNUMBER(Q155),Q155&gt;=0),SUM(Q155,$AO$8)/$AO$2*100,"")</f>
        <v/>
      </c>
      <c r="AP155" s="24" t="str">
        <f>IF(AND(A155&lt;&gt;"",R155&lt;&gt;""),SUM(R155,$AP$8)/$AP$2*100,"")</f>
        <v/>
      </c>
      <c r="AQ155" s="24">
        <f>IF(AND(A155&lt;&gt;"",ISNUMBER(W155),W155&gt;=0),SUM(W155,$AQ$8)/$AQ$2*100,"")</f>
        <v>101</v>
      </c>
      <c r="AR155" s="24" t="str">
        <f>IF(AND(A155&lt;&gt;"",T155&gt;0,ISNUMBER(T155)),SUM(T155,$AR$8)/$AR$2*100,"")</f>
        <v/>
      </c>
      <c r="AS155" s="24" t="str">
        <f>IF(AND(A155&lt;&gt;"",X155&lt;&gt;""),SUM(X155,$AS$8)/$AS$2*100,"")</f>
        <v/>
      </c>
      <c r="AT155" s="89">
        <f>IF(AND(A155&lt;&gt;"",OR(ISNUMBER(W155),ISNUMBER(X155))),SUM(W155:X155,$AT$8)/$AT$2*100,"")</f>
        <v>101</v>
      </c>
      <c r="AU155" s="24">
        <f>AA155</f>
        <v>99.672131147540995</v>
      </c>
      <c r="AV155" s="24"/>
      <c r="AW155" s="27">
        <f>IF(A155&lt;&gt;"",AE155-AA155,"")</f>
        <v>1.3278688524590052</v>
      </c>
      <c r="AY155" s="27" t="b">
        <f>S155&gt;R155</f>
        <v>0</v>
      </c>
      <c r="BA155" s="27" t="e">
        <f>AND(AA155&gt;$BA$3,(W155+$W$8)/$W$2&lt;$BB$3,(X155+$X$8)/$X$2&lt;$BB$3)</f>
        <v>#VALUE!</v>
      </c>
      <c r="BB155" s="27" t="e">
        <f>AND(AA155&lt;$BA$3,AND(W155/$W$2&gt;$BB$3,X155/$X$2&gt;$BB$3))</f>
        <v>#VALUE!</v>
      </c>
      <c r="BC155" s="27" t="e">
        <f>AND(AA155&lt;$BA$3,OR(W155/$W$2&gt;$BB$3,X155/$X$2&gt;$BB$3))</f>
        <v>#VALUE!</v>
      </c>
      <c r="BE155" s="32" t="s">
        <v>84</v>
      </c>
    </row>
    <row r="156" spans="1:57" s="27" customFormat="1" ht="12.75" customHeight="1" x14ac:dyDescent="0.2">
      <c r="A156" s="10">
        <v>296253</v>
      </c>
      <c r="B156" s="2">
        <v>18</v>
      </c>
      <c r="C156" s="10">
        <v>20</v>
      </c>
      <c r="D156" s="10">
        <v>25</v>
      </c>
      <c r="E156" s="10"/>
      <c r="F156" s="10"/>
      <c r="G156" s="10"/>
      <c r="H156" s="10"/>
      <c r="I156" s="10"/>
      <c r="J156" s="2">
        <v>9</v>
      </c>
      <c r="K156" s="10">
        <v>44</v>
      </c>
      <c r="L156" s="10">
        <v>52</v>
      </c>
      <c r="M156" s="10"/>
      <c r="N156" s="93"/>
      <c r="O156" s="13"/>
      <c r="P156" s="10">
        <v>101</v>
      </c>
      <c r="Q156" s="10"/>
      <c r="R156" s="2"/>
      <c r="S156" s="10"/>
      <c r="T156" s="13"/>
      <c r="U156" s="1">
        <f t="array" ref="U156">IF(AND(A156&lt;&gt;"",OR(ISNUMBER(B156:I156))),SUM(B156:I156),"")</f>
        <v>63</v>
      </c>
      <c r="V156" s="10">
        <f t="array" ref="V156">IF(AND(A156&lt;&gt;"",OR(ISNUMBER(J156:O156))),SUM(J156:O156),"")</f>
        <v>105</v>
      </c>
      <c r="W156" s="10">
        <f t="array" ref="W156">IF(AND(A156&lt;&gt;"",OR(ISNUMBER(P156),ISNUMBER(Q156))),SUM(MAX(P156:Q156),Q156),"")</f>
        <v>101</v>
      </c>
      <c r="X156" s="10" t="str">
        <f t="array" ref="X156">IF(AND(A156&lt;&gt;"",OR(ISNUMBER(S156),ISNUMBER(T156))),SUM(S156,T156),"")</f>
        <v/>
      </c>
      <c r="Y156" s="13">
        <v>1</v>
      </c>
      <c r="Z156" s="13">
        <f>IF(A156&lt;&gt;"",SUM(U156:Y156),"")</f>
        <v>270</v>
      </c>
      <c r="AA156" s="27">
        <f>IF(A156&lt;&gt;"",(Z156+Normalize_To_Add)/(Point_Total_So_Far)*100,"")</f>
        <v>88.52459016393442</v>
      </c>
      <c r="AB156" s="10">
        <f>IF(A156&lt;&gt;"",RANK(AA156,All_Student_XC),"")</f>
        <v>350</v>
      </c>
      <c r="AC156" s="32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>+</v>
      </c>
      <c r="AE156" s="32">
        <f>IF(A156&lt;&gt;"",SUM(W156:X156,$W$8:$X$8)/SUM($W$2:$X$2)*100,"")</f>
        <v>101</v>
      </c>
      <c r="AF156" s="32" t="str">
        <f>IF(A156&lt;&gt;"",CHOOSE(10-MIN(9,TRUNC((AE156+0.5)/10)),"A","B","C","D","F","F","F","F","F","F"),"")</f>
        <v>A</v>
      </c>
      <c r="AG156" s="32" t="str">
        <f>IF(A156&lt;&gt;"",IF(OR(AE156+0.5&gt;=93,AE156+0.5&lt;60),"",IF(MOD(AE156+0.5,10)&gt;=7,"+",IF(MOD(AE156+0.5,10)&lt;3,"-",""))),"")</f>
        <v/>
      </c>
      <c r="AH156" s="36">
        <f>IF(A156&lt;&gt;"",MIN(MAX(AA156,AE156),AA156+$AH$8,AE156+$AH$8),"")</f>
        <v>101</v>
      </c>
      <c r="AI156" s="32" t="str">
        <f>IF(A156&lt;&gt;"",CHOOSE(10-MIN(9,TRUNC((AH156+0.5)/10)),"A","B","C","D","F","F","F","F","F","F"),"")</f>
        <v>A</v>
      </c>
      <c r="AJ156" s="32" t="str">
        <f>IF(A156&lt;&gt;"",IF(OR(AH156+0.5&gt;=93,AH156+0.5&lt;60),"",IF(MOD(AH156+0.5,10)&gt;=7,"+",IF(MOD(AH156+0.5,10)&lt;3,"-",""))),"")</f>
        <v/>
      </c>
      <c r="AK156" s="71" t="b">
        <f>IF(A156&lt;&gt;"",OR(AI156&lt;&gt;AC156,AJ156&lt;&gt;AD156),"")</f>
        <v>1</v>
      </c>
      <c r="AL156" s="86">
        <f>IF(AND(A156&lt;&gt;"",U156&lt;&gt;""),SUM(U156,$AL$8)/$AL$2*100,"")</f>
        <v>84</v>
      </c>
      <c r="AM156" s="71">
        <f>IF(AND(A156&lt;&gt;"",V156&lt;&gt;""),SUM(V156,$AM$8)/$AM$2*100,"")</f>
        <v>80.769230769230774</v>
      </c>
      <c r="AN156" s="71">
        <f>IF(AND(A156&lt;&gt;"",ISNUMBER(P156),P156&gt;=0),SUM(P156,$AN$8)/$AN$2*100,"")</f>
        <v>101</v>
      </c>
      <c r="AO156" s="71" t="str">
        <f>IF(AND(A156&lt;&gt;"",ISNUMBER(Q156),Q156&gt;=0),SUM(Q156,$AO$8)/$AO$2*100,"")</f>
        <v/>
      </c>
      <c r="AP156" s="24" t="str">
        <f>IF(AND(A156&lt;&gt;"",R156&lt;&gt;""),SUM(R156,$AP$8)/$AP$2*100,"")</f>
        <v/>
      </c>
      <c r="AQ156" s="24">
        <f>IF(AND(A156&lt;&gt;"",ISNUMBER(W156),W156&gt;=0),SUM(W156,$AQ$8)/$AQ$2*100,"")</f>
        <v>101</v>
      </c>
      <c r="AR156" s="24" t="str">
        <f>IF(AND(A156&lt;&gt;"",T156&gt;0,ISNUMBER(T156)),SUM(T156,$AR$8)/$AR$2*100,"")</f>
        <v/>
      </c>
      <c r="AS156" s="24" t="str">
        <f>IF(AND(A156&lt;&gt;"",X156&lt;&gt;""),SUM(X156,$AS$8)/$AS$2*100,"")</f>
        <v/>
      </c>
      <c r="AT156" s="89">
        <f>IF(AND(A156&lt;&gt;"",OR(ISNUMBER(W156),ISNUMBER(X156))),SUM(W156:X156,$AT$8)/$AT$2*100,"")</f>
        <v>101</v>
      </c>
      <c r="AU156" s="24">
        <f>AA156</f>
        <v>88.52459016393442</v>
      </c>
      <c r="AV156" s="71"/>
      <c r="AW156" s="27">
        <f>IF(A156&lt;&gt;"",AE156-AA156,"")</f>
        <v>12.47540983606558</v>
      </c>
      <c r="AY156" s="27" t="b">
        <f>S156&gt;R156</f>
        <v>0</v>
      </c>
      <c r="BA156" s="27" t="e">
        <f>AND(AA156&gt;$BA$3,(W156+$W$8)/$W$2&lt;$BB$3,(X156+$X$8)/$X$2&lt;$BB$3)</f>
        <v>#VALUE!</v>
      </c>
      <c r="BB156" s="27" t="e">
        <f>AND(AA156&lt;$BA$3,AND(W156/$W$2&gt;$BB$3,X156/$X$2&gt;$BB$3))</f>
        <v>#VALUE!</v>
      </c>
      <c r="BC156" s="27" t="e">
        <f>AND(AA156&lt;$BA$3,OR(W156/$W$2&gt;$BB$3,X156/$X$2&gt;$BB$3))</f>
        <v>#VALUE!</v>
      </c>
      <c r="BE156" s="32">
        <v>32</v>
      </c>
    </row>
    <row r="157" spans="1:57" s="27" customFormat="1" ht="12.75" customHeight="1" x14ac:dyDescent="0.2">
      <c r="A157" s="10">
        <v>296989</v>
      </c>
      <c r="B157" s="2">
        <v>23</v>
      </c>
      <c r="C157" s="10">
        <v>25</v>
      </c>
      <c r="D157" s="10">
        <v>25</v>
      </c>
      <c r="E157" s="10"/>
      <c r="F157" s="10"/>
      <c r="G157" s="3"/>
      <c r="H157" s="10"/>
      <c r="I157" s="10"/>
      <c r="J157" s="55">
        <v>30</v>
      </c>
      <c r="K157" s="10">
        <v>52</v>
      </c>
      <c r="L157" s="10">
        <v>52</v>
      </c>
      <c r="M157" s="10"/>
      <c r="N157" s="93"/>
      <c r="O157" s="13"/>
      <c r="P157" s="10">
        <v>101</v>
      </c>
      <c r="Q157" s="41"/>
      <c r="R157" s="2"/>
      <c r="S157" s="10"/>
      <c r="T157" s="13"/>
      <c r="U157" s="1">
        <f t="array" ref="U157">IF(AND(A157&lt;&gt;"",OR(ISNUMBER(B157:I157))),SUM(B157:I157),"")</f>
        <v>73</v>
      </c>
      <c r="V157" s="10">
        <f t="array" ref="V157">IF(AND(A157&lt;&gt;"",OR(ISNUMBER(J157:O157))),SUM(J157:O157),"")</f>
        <v>134</v>
      </c>
      <c r="W157" s="10">
        <f t="array" ref="W157">IF(AND(A157&lt;&gt;"",OR(ISNUMBER(P157),ISNUMBER(Q157))),SUM(MAX(P157:Q157),Q157),"")</f>
        <v>101</v>
      </c>
      <c r="X157" s="10" t="str">
        <f t="array" ref="X157">IF(AND(A157&lt;&gt;"",OR(ISNUMBER(S157),ISNUMBER(T157))),SUM(S157,T157),"")</f>
        <v/>
      </c>
      <c r="Y157" s="13">
        <v>1</v>
      </c>
      <c r="Z157" s="13">
        <f>IF(A157&lt;&gt;"",SUM(U157:Y157),"")</f>
        <v>309</v>
      </c>
      <c r="AA157" s="27">
        <f>IF(A157&lt;&gt;"",(Z157+Normalize_To_Add)/(Point_Total_So_Far)*100,"")</f>
        <v>101.31147540983608</v>
      </c>
      <c r="AB157" s="10">
        <f>IF(A157&lt;&gt;"",RANK(AA157,All_Student_XC),"")</f>
        <v>35</v>
      </c>
      <c r="AC157" s="32" t="str">
        <f>IF(A157&lt;&gt;"",CHOOSE(10-MIN(9,TRUNC((AA157+0.5)/10)),"A","B","C","D","F","F","F","F","F","F"),"")</f>
        <v>A</v>
      </c>
      <c r="AD157" s="31" t="str">
        <f>IF(A157&lt;&gt;"",IF(OR(AA157+0.5&gt;=93,AA157+0.5&lt;60),"",IF(MOD(AA157+0.5,10)&gt;=7,"+",IF(MOD(AA157+0.5,10)&lt;3,"-",""))),"")</f>
        <v/>
      </c>
      <c r="AE157" s="32">
        <f>IF(A157&lt;&gt;"",SUM(W157:X157,$W$8:$X$8)/SUM($W$2:$X$2)*100,"")</f>
        <v>101</v>
      </c>
      <c r="AF157" s="32" t="str">
        <f>IF(A157&lt;&gt;"",CHOOSE(10-MIN(9,TRUNC((AE157+0.5)/10)),"A","B","C","D","F","F","F","F","F","F"),"")</f>
        <v>A</v>
      </c>
      <c r="AG157" s="32" t="str">
        <f>IF(A157&lt;&gt;"",IF(OR(AE157+0.5&gt;=93,AE157+0.5&lt;60),"",IF(MOD(AE157+0.5,10)&gt;=7,"+",IF(MOD(AE157+0.5,10)&lt;3,"-",""))),"")</f>
        <v/>
      </c>
      <c r="AH157" s="36">
        <f>IF(A157&lt;&gt;"",MIN(MAX(AA157,AE157),AA157+$AH$8,AE157+$AH$8),"")</f>
        <v>101.31147540983608</v>
      </c>
      <c r="AI157" s="32" t="str">
        <f>IF(A157&lt;&gt;"",CHOOSE(10-MIN(9,TRUNC((AH157+0.5)/10)),"A","B","C","D","F","F","F","F","F","F"),"")</f>
        <v>A</v>
      </c>
      <c r="AJ157" s="32" t="str">
        <f>IF(A157&lt;&gt;"",IF(OR(AH157+0.5&gt;=93,AH157+0.5&lt;60),"",IF(MOD(AH157+0.5,10)&gt;=7,"+",IF(MOD(AH157+0.5,10)&lt;3,"-",""))),"")</f>
        <v/>
      </c>
      <c r="AK157" s="71" t="b">
        <f>IF(A157&lt;&gt;"",OR(AI157&lt;&gt;AC157,AJ157&lt;&gt;AD157),"")</f>
        <v>0</v>
      </c>
      <c r="AL157" s="86">
        <f>IF(AND(A157&lt;&gt;"",U157&lt;&gt;""),SUM(U157,$AL$8)/$AL$2*100,"")</f>
        <v>97.333333333333343</v>
      </c>
      <c r="AM157" s="71">
        <f>IF(AND(A157&lt;&gt;"",V157&lt;&gt;""),SUM(V157,$AM$8)/$AM$2*100,"")</f>
        <v>103.07692307692307</v>
      </c>
      <c r="AN157" s="71">
        <f>IF(AND(A157&lt;&gt;"",ISNUMBER(P157),P157&gt;=0),SUM(P157,$AN$8)/$AN$2*100,"")</f>
        <v>101</v>
      </c>
      <c r="AO157" s="71" t="str">
        <f>IF(AND(A157&lt;&gt;"",ISNUMBER(Q157),Q157&gt;=0),SUM(Q157,$AO$8)/$AO$2*100,"")</f>
        <v/>
      </c>
      <c r="AP157" s="24" t="str">
        <f>IF(AND(A157&lt;&gt;"",R157&lt;&gt;""),SUM(R157,$AP$8)/$AP$2*100,"")</f>
        <v/>
      </c>
      <c r="AQ157" s="24">
        <f>IF(AND(A157&lt;&gt;"",ISNUMBER(W157),W157&gt;=0),SUM(W157,$AQ$8)/$AQ$2*100,"")</f>
        <v>101</v>
      </c>
      <c r="AR157" s="24" t="str">
        <f>IF(AND(A157&lt;&gt;"",T157&gt;0,ISNUMBER(T157)),SUM(T157,$AR$8)/$AR$2*100,"")</f>
        <v/>
      </c>
      <c r="AS157" s="24" t="str">
        <f>IF(AND(A157&lt;&gt;"",X157&lt;&gt;""),SUM(X157,$AS$8)/$AS$2*100,"")</f>
        <v/>
      </c>
      <c r="AT157" s="89">
        <f>IF(AND(A157&lt;&gt;"",OR(ISNUMBER(W157),ISNUMBER(X157))),SUM(W157:X157,$AT$8)/$AT$2*100,"")</f>
        <v>101</v>
      </c>
      <c r="AU157" s="24">
        <f>AA157</f>
        <v>101.31147540983608</v>
      </c>
      <c r="AV157" s="71"/>
      <c r="AW157" s="27">
        <f>IF(A157&lt;&gt;"",AE157-AA157,"")</f>
        <v>-0.31147540983607769</v>
      </c>
      <c r="AY157" s="27" t="b">
        <f>S157&gt;R157</f>
        <v>0</v>
      </c>
      <c r="BA157" s="27" t="e">
        <f>AND(AA157&gt;$BA$3,(W157+$W$8)/$W$2&lt;$BB$3,(X157+$X$8)/$X$2&lt;$BB$3)</f>
        <v>#VALUE!</v>
      </c>
      <c r="BB157" s="27" t="e">
        <f>AND(AA157&lt;$BA$3,AND(W157/$W$2&gt;$BB$3,X157/$X$2&gt;$BB$3))</f>
        <v>#VALUE!</v>
      </c>
      <c r="BC157" s="27" t="e">
        <f>AND(AA157&lt;$BA$3,OR(W157/$W$2&gt;$BB$3,X157/$X$2&gt;$BB$3))</f>
        <v>#VALUE!</v>
      </c>
      <c r="BE157" s="32" t="s">
        <v>84</v>
      </c>
    </row>
    <row r="158" spans="1:57" s="27" customFormat="1" ht="12.75" customHeight="1" x14ac:dyDescent="0.2">
      <c r="A158" s="10">
        <v>301934</v>
      </c>
      <c r="B158" s="2">
        <v>5</v>
      </c>
      <c r="C158" s="10">
        <v>20</v>
      </c>
      <c r="D158" s="10">
        <v>25</v>
      </c>
      <c r="E158" s="10"/>
      <c r="F158" s="10"/>
      <c r="G158" s="3"/>
      <c r="H158" s="10"/>
      <c r="I158" s="10"/>
      <c r="J158" s="2">
        <v>27</v>
      </c>
      <c r="K158" s="10">
        <v>35</v>
      </c>
      <c r="L158" s="10">
        <v>36</v>
      </c>
      <c r="M158" s="10"/>
      <c r="N158" s="10"/>
      <c r="O158" s="12"/>
      <c r="P158" s="41">
        <v>101</v>
      </c>
      <c r="Q158" s="41"/>
      <c r="R158" s="2"/>
      <c r="S158" s="10"/>
      <c r="T158" s="13"/>
      <c r="U158" s="1">
        <f t="array" ref="U158">IF(AND(A158&lt;&gt;"",OR(ISNUMBER(B158:I158))),SUM(B158:I158),"")</f>
        <v>50</v>
      </c>
      <c r="V158" s="10">
        <f t="array" ref="V158">IF(AND(A158&lt;&gt;"",OR(ISNUMBER(J158:O158))),SUM(J158:O158),"")</f>
        <v>98</v>
      </c>
      <c r="W158" s="10">
        <f t="array" ref="W158">IF(AND(A158&lt;&gt;"",OR(ISNUMBER(P158),ISNUMBER(Q158))),SUM(MAX(P158:Q158),Q158),"")</f>
        <v>101</v>
      </c>
      <c r="X158" s="10" t="str">
        <f t="array" ref="X158">IF(AND(A158&lt;&gt;"",OR(ISNUMBER(S158),ISNUMBER(T158))),SUM(S158,T158),"")</f>
        <v/>
      </c>
      <c r="Y158" s="13">
        <v>1</v>
      </c>
      <c r="Z158" s="13">
        <f>IF(A158&lt;&gt;"",SUM(U158:Y158),"")</f>
        <v>250</v>
      </c>
      <c r="AA158" s="27">
        <f>IF(A158&lt;&gt;"",(Z158+Normalize_To_Add)/(Point_Total_So_Far)*100,"")</f>
        <v>81.967213114754102</v>
      </c>
      <c r="AB158" s="10">
        <f>IF(A158&lt;&gt;"",RANK(AA158,All_Student_XC),"")</f>
        <v>400</v>
      </c>
      <c r="AC158" s="32" t="str">
        <f>IF(A158&lt;&gt;"",CHOOSE(10-MIN(9,TRUNC((AA158+0.5)/10)),"A","B","C","D","F","F","F","F","F","F"),"")</f>
        <v>B</v>
      </c>
      <c r="AD158" s="32" t="str">
        <f>IF(A158&lt;&gt;"",IF(OR(AA158+0.5&gt;=93,AA158+0.5&lt;60),"",IF(MOD(AA158+0.5,10)&gt;=7,"+",IF(MOD(AA158+0.5,10)&lt;3,"-",""))),"")</f>
        <v>-</v>
      </c>
      <c r="AE158" s="32">
        <f>IF(A158&lt;&gt;"",SUM(W158:X158,$W$8:$X$8)/SUM($W$2:$X$2)*100,"")</f>
        <v>101</v>
      </c>
      <c r="AF158" s="32" t="str">
        <f>IF(A158&lt;&gt;"",CHOOSE(10-MIN(9,TRUNC((AE158+0.5)/10)),"A","B","C","D","F","F","F","F","F","F"),"")</f>
        <v>A</v>
      </c>
      <c r="AG158" s="32" t="str">
        <f>IF(A158&lt;&gt;"",IF(OR(AE158+0.5&gt;=93,AE158+0.5&lt;60),"",IF(MOD(AE158+0.5,10)&gt;=7,"+",IF(MOD(AE158+0.5,10)&lt;3,"-",""))),"")</f>
        <v/>
      </c>
      <c r="AH158" s="36">
        <f>IF(A158&lt;&gt;"",MIN(MAX(AA158,AE158),AA158+$AH$8,AE158+$AH$8),"")</f>
        <v>101</v>
      </c>
      <c r="AI158" s="32" t="str">
        <f>IF(A158&lt;&gt;"",CHOOSE(10-MIN(9,TRUNC((AH158+0.5)/10)),"A","B","C","D","F","F","F","F","F","F"),"")</f>
        <v>A</v>
      </c>
      <c r="AJ158" s="32" t="str">
        <f>IF(A158&lt;&gt;"",IF(OR(AH158+0.5&gt;=93,AH158+0.5&lt;60),"",IF(MOD(AH158+0.5,10)&gt;=7,"+",IF(MOD(AH158+0.5,10)&lt;3,"-",""))),"")</f>
        <v/>
      </c>
      <c r="AK158" s="32" t="b">
        <f>IF(A158&lt;&gt;"",OR(AI158&lt;&gt;AC158,AJ158&lt;&gt;AD158),"")</f>
        <v>1</v>
      </c>
      <c r="AL158" s="84">
        <f>IF(AND(A158&lt;&gt;"",U158&lt;&gt;""),SUM(U158,$AL$8)/$AL$2*100,"")</f>
        <v>66.666666666666657</v>
      </c>
      <c r="AM158" s="24">
        <f>IF(AND(A158&lt;&gt;"",V158&lt;&gt;""),SUM(V158,$AM$8)/$AM$2*100,"")</f>
        <v>75.384615384615387</v>
      </c>
      <c r="AN158" s="24">
        <f>IF(AND(A158&lt;&gt;"",ISNUMBER(P158),P158&gt;=0),SUM(P158,$AN$8)/$AN$2*100,"")</f>
        <v>101</v>
      </c>
      <c r="AO158" s="24" t="str">
        <f>IF(AND(A158&lt;&gt;"",ISNUMBER(Q158),Q158&gt;=0),SUM(Q158,$AO$8)/$AO$2*100,"")</f>
        <v/>
      </c>
      <c r="AP158" s="24" t="str">
        <f>IF(AND(A158&lt;&gt;"",R158&lt;&gt;""),SUM(R158,$AP$8)/$AP$2*100,"")</f>
        <v/>
      </c>
      <c r="AQ158" s="24">
        <f>IF(AND(A158&lt;&gt;"",ISNUMBER(W158),W158&gt;=0),SUM(W158,$AQ$8)/$AQ$2*100,"")</f>
        <v>101</v>
      </c>
      <c r="AR158" s="24" t="str">
        <f>IF(AND(A158&lt;&gt;"",T158&gt;0,ISNUMBER(T158)),SUM(T158,$AR$8)/$AR$2*100,"")</f>
        <v/>
      </c>
      <c r="AS158" s="24" t="str">
        <f>IF(AND(A158&lt;&gt;"",X158&lt;&gt;""),SUM(X158,$AS$8)/$AS$2*100,"")</f>
        <v/>
      </c>
      <c r="AT158" s="89">
        <f>IF(AND(A158&lt;&gt;"",OR(ISNUMBER(W158),ISNUMBER(X158))),SUM(W158:X158,$AT$8)/$AT$2*100,"")</f>
        <v>101</v>
      </c>
      <c r="AU158" s="24">
        <f>AA158</f>
        <v>81.967213114754102</v>
      </c>
      <c r="AV158" s="24"/>
      <c r="AW158" s="27">
        <f>IF(A158&lt;&gt;"",AE158-AA158,"")</f>
        <v>19.032786885245898</v>
      </c>
      <c r="AY158" s="27" t="b">
        <f>S158&gt;R158</f>
        <v>0</v>
      </c>
      <c r="BA158" s="27" t="e">
        <f>AND(AA158&gt;$BA$3,(W158+$W$8)/$W$2&lt;$BB$3,(X158+$X$8)/$X$2&lt;$BB$3)</f>
        <v>#VALUE!</v>
      </c>
      <c r="BB158" s="27" t="e">
        <f>AND(AA158&lt;$BA$3,AND(W158/$W$2&gt;$BB$3,X158/$X$2&gt;$BB$3))</f>
        <v>#VALUE!</v>
      </c>
      <c r="BC158" s="27" t="e">
        <f>AND(AA158&lt;$BA$3,OR(W158/$W$2&gt;$BB$3,X158/$X$2&gt;$BB$3))</f>
        <v>#VALUE!</v>
      </c>
      <c r="BE158" s="32">
        <v>32</v>
      </c>
    </row>
    <row r="159" spans="1:57" s="27" customFormat="1" ht="12.75" customHeight="1" x14ac:dyDescent="0.2">
      <c r="A159" s="10">
        <v>303549</v>
      </c>
      <c r="B159" s="2">
        <v>24</v>
      </c>
      <c r="C159" s="10">
        <v>23</v>
      </c>
      <c r="D159" s="10">
        <v>25</v>
      </c>
      <c r="E159" s="10"/>
      <c r="F159" s="10"/>
      <c r="G159" s="10"/>
      <c r="H159" s="10"/>
      <c r="I159" s="10"/>
      <c r="J159" s="2">
        <v>30</v>
      </c>
      <c r="K159" s="10">
        <v>52</v>
      </c>
      <c r="L159" s="10">
        <v>52</v>
      </c>
      <c r="M159" s="10"/>
      <c r="N159" s="93"/>
      <c r="O159" s="12"/>
      <c r="P159" s="10">
        <v>101</v>
      </c>
      <c r="Q159" s="10"/>
      <c r="R159" s="2"/>
      <c r="S159" s="10"/>
      <c r="T159" s="13"/>
      <c r="U159" s="1">
        <f t="array" ref="U159">IF(AND(A159&lt;&gt;"",OR(ISNUMBER(B159:I159))),SUM(B159:I159),"")</f>
        <v>72</v>
      </c>
      <c r="V159" s="10">
        <f t="array" ref="V159">IF(AND(A159&lt;&gt;"",OR(ISNUMBER(J159:O159))),SUM(J159:O159),"")</f>
        <v>134</v>
      </c>
      <c r="W159" s="10">
        <f t="array" ref="W159">IF(AND(A159&lt;&gt;"",OR(ISNUMBER(P159),ISNUMBER(Q159))),SUM(MAX(P159:Q159),Q159),"")</f>
        <v>101</v>
      </c>
      <c r="X159" s="10" t="str">
        <f t="array" ref="X159">IF(AND(A159&lt;&gt;"",OR(ISNUMBER(S159),ISNUMBER(T159))),SUM(S159,T159),"")</f>
        <v/>
      </c>
      <c r="Y159" s="13">
        <v>1</v>
      </c>
      <c r="Z159" s="13">
        <f>IF(A159&lt;&gt;"",SUM(U159:Y159),"")</f>
        <v>308</v>
      </c>
      <c r="AA159" s="27">
        <f>IF(A159&lt;&gt;"",(Z159+Normalize_To_Add)/(Point_Total_So_Far)*100,"")</f>
        <v>100.98360655737706</v>
      </c>
      <c r="AB159" s="10">
        <f>IF(A159&lt;&gt;"",RANK(AA159,All_Student_XC),"")</f>
        <v>57</v>
      </c>
      <c r="AC159" s="32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2">
        <f>IF(A159&lt;&gt;"",SUM(W159:X159,$W$8:$X$8)/SUM($W$2:$X$2)*100,"")</f>
        <v>101</v>
      </c>
      <c r="AF159" s="32" t="str">
        <f>IF(A159&lt;&gt;"",CHOOSE(10-MIN(9,TRUNC((AE159+0.5)/10)),"A","B","C","D","F","F","F","F","F","F"),"")</f>
        <v>A</v>
      </c>
      <c r="AG159" s="32" t="str">
        <f>IF(A159&lt;&gt;"",IF(OR(AE159+0.5&gt;=93,AE159+0.5&lt;60),"",IF(MOD(AE159+0.5,10)&gt;=7,"+",IF(MOD(AE159+0.5,10)&lt;3,"-",""))),"")</f>
        <v/>
      </c>
      <c r="AH159" s="36">
        <f>IF(A159&lt;&gt;"",MIN(MAX(AA159,AE159),AA159+$AH$8,AE159+$AH$8),"")</f>
        <v>101</v>
      </c>
      <c r="AI159" s="32" t="str">
        <f>IF(A159&lt;&gt;"",CHOOSE(10-MIN(9,TRUNC((AH159+0.5)/10)),"A","B","C","D","F","F","F","F","F","F"),"")</f>
        <v>A</v>
      </c>
      <c r="AJ159" s="32" t="str">
        <f>IF(A159&lt;&gt;"",IF(OR(AH159+0.5&gt;=93,AH159+0.5&lt;60),"",IF(MOD(AH159+0.5,10)&gt;=7,"+",IF(MOD(AH159+0.5,10)&lt;3,"-",""))),"")</f>
        <v/>
      </c>
      <c r="AK159" s="71" t="b">
        <f>IF(A159&lt;&gt;"",OR(AI159&lt;&gt;AC159,AJ159&lt;&gt;AD159),"")</f>
        <v>0</v>
      </c>
      <c r="AL159" s="86">
        <f>IF(AND(A159&lt;&gt;"",U159&lt;&gt;""),SUM(U159,$AL$8)/$AL$2*100,"")</f>
        <v>96</v>
      </c>
      <c r="AM159" s="71">
        <f>IF(AND(A159&lt;&gt;"",V159&lt;&gt;""),SUM(V159,$AM$8)/$AM$2*100,"")</f>
        <v>103.07692307692307</v>
      </c>
      <c r="AN159" s="71">
        <f>IF(AND(A159&lt;&gt;"",ISNUMBER(P159),P159&gt;=0),SUM(P159,$AN$8)/$AN$2*100,"")</f>
        <v>101</v>
      </c>
      <c r="AO159" s="71" t="str">
        <f>IF(AND(A159&lt;&gt;"",ISNUMBER(Q159),Q159&gt;=0),SUM(Q159,$AO$8)/$AO$2*100,"")</f>
        <v/>
      </c>
      <c r="AP159" s="24" t="str">
        <f>IF(AND(A159&lt;&gt;"",R159&lt;&gt;""),SUM(R159,$AP$8)/$AP$2*100,"")</f>
        <v/>
      </c>
      <c r="AQ159" s="24">
        <f>IF(AND(A159&lt;&gt;"",ISNUMBER(W159),W159&gt;=0),SUM(W159,$AQ$8)/$AQ$2*100,"")</f>
        <v>101</v>
      </c>
      <c r="AR159" s="24" t="str">
        <f>IF(AND(A159&lt;&gt;"",T159&gt;0,ISNUMBER(T159)),SUM(T159,$AR$8)/$AR$2*100,"")</f>
        <v/>
      </c>
      <c r="AS159" s="24" t="str">
        <f>IF(AND(A159&lt;&gt;"",X159&lt;&gt;""),SUM(X159,$AS$8)/$AS$2*100,"")</f>
        <v/>
      </c>
      <c r="AT159" s="89">
        <f>IF(AND(A159&lt;&gt;"",OR(ISNUMBER(W159),ISNUMBER(X159))),SUM(W159:X159,$AT$8)/$AT$2*100,"")</f>
        <v>101</v>
      </c>
      <c r="AU159" s="24">
        <f>AA159</f>
        <v>100.98360655737706</v>
      </c>
      <c r="AV159" s="71"/>
      <c r="AW159" s="27">
        <f>IF(A159&lt;&gt;"",AE159-AA159,"")</f>
        <v>1.6393442622941734E-2</v>
      </c>
      <c r="AY159" s="27" t="b">
        <f>S159&gt;R159</f>
        <v>0</v>
      </c>
      <c r="BA159" s="27" t="e">
        <f>AND(AA159&gt;$BA$3,(W159+$W$8)/$W$2&lt;$BB$3,(X159+$X$8)/$X$2&lt;$BB$3)</f>
        <v>#VALUE!</v>
      </c>
      <c r="BB159" s="27" t="e">
        <f>AND(AA159&lt;$BA$3,AND(W159/$W$2&gt;$BB$3,X159/$X$2&gt;$BB$3))</f>
        <v>#VALUE!</v>
      </c>
      <c r="BC159" s="27" t="e">
        <f>AND(AA159&lt;$BA$3,OR(W159/$W$2&gt;$BB$3,X159/$X$2&gt;$BB$3))</f>
        <v>#VALUE!</v>
      </c>
      <c r="BE159" s="32">
        <v>32</v>
      </c>
    </row>
    <row r="160" spans="1:57" s="27" customFormat="1" ht="12.75" customHeight="1" x14ac:dyDescent="0.2">
      <c r="A160" s="56">
        <v>304810</v>
      </c>
      <c r="B160" s="2">
        <v>21</v>
      </c>
      <c r="C160" s="10">
        <v>23</v>
      </c>
      <c r="D160" s="10">
        <v>17</v>
      </c>
      <c r="E160" s="10"/>
      <c r="F160" s="10"/>
      <c r="G160" s="3"/>
      <c r="H160" s="10"/>
      <c r="I160" s="10"/>
      <c r="J160" s="2">
        <v>30</v>
      </c>
      <c r="K160" s="10">
        <v>51</v>
      </c>
      <c r="L160" s="10">
        <v>49</v>
      </c>
      <c r="M160" s="10"/>
      <c r="N160" s="93"/>
      <c r="O160" s="12"/>
      <c r="P160" s="10">
        <v>100</v>
      </c>
      <c r="Q160" s="41"/>
      <c r="R160" s="2"/>
      <c r="S160" s="10"/>
      <c r="T160" s="13"/>
      <c r="U160" s="1">
        <f t="array" ref="U160">IF(AND(A160&lt;&gt;"",OR(ISNUMBER(B160:I160))),SUM(B160:I160),"")</f>
        <v>61</v>
      </c>
      <c r="V160" s="10">
        <f t="array" ref="V160">IF(AND(A160&lt;&gt;"",OR(ISNUMBER(J160:O160))),SUM(J160:O160),"")</f>
        <v>130</v>
      </c>
      <c r="W160" s="10">
        <f t="array" ref="W160">IF(AND(A160&lt;&gt;"",OR(ISNUMBER(P160),ISNUMBER(Q160))),SUM(MAX(P160:Q160),Q160),"")</f>
        <v>100</v>
      </c>
      <c r="X160" s="10" t="str">
        <f t="array" ref="X160">IF(AND(A160&lt;&gt;"",OR(ISNUMBER(S160),ISNUMBER(T160))),SUM(S160,T160),"")</f>
        <v/>
      </c>
      <c r="Y160" s="13">
        <v>1</v>
      </c>
      <c r="Z160" s="13">
        <f>IF(A160&lt;&gt;"",SUM(U160:Y160),"")</f>
        <v>292</v>
      </c>
      <c r="AA160" s="27">
        <f>IF(A160&lt;&gt;"",(Z160+Normalize_To_Add)/(Point_Total_So_Far)*100,"")</f>
        <v>95.73770491803279</v>
      </c>
      <c r="AB160" s="10">
        <f>IF(A160&lt;&gt;"",RANK(AA160,All_Student_XC),"")</f>
        <v>261</v>
      </c>
      <c r="AC160" s="32" t="str">
        <f>IF(A160&lt;&gt;"",CHOOSE(10-MIN(9,TRUNC((AA160+0.5)/10)),"A","B","C","D","F","F","F","F","F","F"),"")</f>
        <v>A</v>
      </c>
      <c r="AD160" s="32" t="str">
        <f>IF(A160&lt;&gt;"",IF(OR(AA160+0.5&gt;=93,AA160+0.5&lt;60),"",IF(MOD(AA160+0.5,10)&gt;=7,"+",IF(MOD(AA160+0.5,10)&lt;3,"-",""))),"")</f>
        <v/>
      </c>
      <c r="AE160" s="32">
        <f>IF(A160&lt;&gt;"",SUM(W160:X160,$W$8:$X$8)/SUM($W$2:$X$2)*100,"")</f>
        <v>100</v>
      </c>
      <c r="AF160" s="32" t="str">
        <f>IF(A160&lt;&gt;"",CHOOSE(10-MIN(9,TRUNC((AE160+0.5)/10)),"A","B","C","D","F","F","F","F","F","F"),"")</f>
        <v>A</v>
      </c>
      <c r="AG160" s="32" t="str">
        <f>IF(A160&lt;&gt;"",IF(OR(AE160+0.5&gt;=93,AE160+0.5&lt;60),"",IF(MOD(AE160+0.5,10)&gt;=7,"+",IF(MOD(AE160+0.5,10)&lt;3,"-",""))),"")</f>
        <v/>
      </c>
      <c r="AH160" s="36">
        <f>IF(A160&lt;&gt;"",MIN(MAX(AA160,AE160),AA160+$AH$8,AE160+$AH$8),"")</f>
        <v>100</v>
      </c>
      <c r="AI160" s="32" t="str">
        <f>IF(A160&lt;&gt;"",CHOOSE(10-MIN(9,TRUNC((AH160+0.5)/10)),"A","B","C","D","F","F","F","F","F","F"),"")</f>
        <v>A</v>
      </c>
      <c r="AJ160" s="32" t="str">
        <f>IF(A160&lt;&gt;"",IF(OR(AH160+0.5&gt;=93,AH160+0.5&lt;60),"",IF(MOD(AH160+0.5,10)&gt;=7,"+",IF(MOD(AH160+0.5,10)&lt;3,"-",""))),"")</f>
        <v/>
      </c>
      <c r="AK160" s="32" t="b">
        <f>IF(A160&lt;&gt;"",OR(AI160&lt;&gt;AC160,AJ160&lt;&gt;AD160),"")</f>
        <v>0</v>
      </c>
      <c r="AL160" s="84">
        <f>IF(AND(A160&lt;&gt;"",U160&lt;&gt;""),SUM(U160,$AL$8)/$AL$2*100,"")</f>
        <v>81.333333333333329</v>
      </c>
      <c r="AM160" s="24">
        <f>IF(AND(A160&lt;&gt;"",V160&lt;&gt;""),SUM(V160,$AM$8)/$AM$2*100,"")</f>
        <v>100</v>
      </c>
      <c r="AN160" s="24">
        <f>IF(AND(A160&lt;&gt;"",ISNUMBER(P160),P160&gt;=0),SUM(P160,$AN$8)/$AN$2*100,"")</f>
        <v>100</v>
      </c>
      <c r="AO160" s="24" t="str">
        <f>IF(AND(A160&lt;&gt;"",ISNUMBER(Q160),Q160&gt;=0),SUM(Q160,$AO$8)/$AO$2*100,"")</f>
        <v/>
      </c>
      <c r="AP160" s="24" t="str">
        <f>IF(AND(A160&lt;&gt;"",R160&lt;&gt;""),SUM(R160,$AP$8)/$AP$2*100,"")</f>
        <v/>
      </c>
      <c r="AQ160" s="24">
        <f>IF(AND(A160&lt;&gt;"",ISNUMBER(W160),W160&gt;=0),SUM(W160,$AQ$8)/$AQ$2*100,"")</f>
        <v>100</v>
      </c>
      <c r="AR160" s="24" t="str">
        <f>IF(AND(A160&lt;&gt;"",T160&gt;0,ISNUMBER(T160)),SUM(T160,$AR$8)/$AR$2*100,"")</f>
        <v/>
      </c>
      <c r="AS160" s="24" t="str">
        <f>IF(AND(A160&lt;&gt;"",X160&lt;&gt;""),SUM(X160,$AS$8)/$AS$2*100,"")</f>
        <v/>
      </c>
      <c r="AT160" s="89">
        <f>IF(AND(A160&lt;&gt;"",OR(ISNUMBER(W160),ISNUMBER(X160))),SUM(W160:X160,$AT$8)/$AT$2*100,"")</f>
        <v>100</v>
      </c>
      <c r="AU160" s="24">
        <f>AA160</f>
        <v>95.73770491803279</v>
      </c>
      <c r="AV160" s="24"/>
      <c r="AW160" s="27">
        <f>IF(A160&lt;&gt;"",AE160-AA160,"")</f>
        <v>4.2622950819672099</v>
      </c>
      <c r="AY160" s="27" t="b">
        <f>S160&gt;R160</f>
        <v>0</v>
      </c>
      <c r="BA160" s="27" t="e">
        <f>AND(AA160&gt;$BA$3,(W160+$W$8)/$W$2&lt;$BB$3,(X160+$X$8)/$X$2&lt;$BB$3)</f>
        <v>#VALUE!</v>
      </c>
      <c r="BB160" s="27" t="e">
        <f>AND(AA160&lt;$BA$3,AND(W160/$W$2&gt;$BB$3,X160/$X$2&gt;$BB$3))</f>
        <v>#VALUE!</v>
      </c>
      <c r="BC160" s="27" t="e">
        <f>AND(AA160&lt;$BA$3,OR(W160/$W$2&gt;$BB$3,X160/$X$2&gt;$BB$3))</f>
        <v>#VALUE!</v>
      </c>
      <c r="BE160" s="32">
        <v>32</v>
      </c>
    </row>
    <row r="161" spans="1:57" s="27" customFormat="1" ht="12.75" customHeight="1" x14ac:dyDescent="0.2">
      <c r="A161" s="56">
        <v>306914</v>
      </c>
      <c r="B161" s="2">
        <v>12</v>
      </c>
      <c r="C161" s="35">
        <v>21</v>
      </c>
      <c r="D161" s="10">
        <v>23</v>
      </c>
      <c r="E161" s="10"/>
      <c r="F161" s="10"/>
      <c r="G161" s="10"/>
      <c r="H161" s="10"/>
      <c r="I161" s="10"/>
      <c r="J161" s="2">
        <v>29</v>
      </c>
      <c r="K161" s="10">
        <v>40</v>
      </c>
      <c r="L161" s="10">
        <v>44</v>
      </c>
      <c r="M161" s="10"/>
      <c r="N161" s="10"/>
      <c r="O161" s="12"/>
      <c r="P161" s="10">
        <v>100</v>
      </c>
      <c r="Q161" s="41"/>
      <c r="R161" s="2"/>
      <c r="S161" s="10"/>
      <c r="T161" s="13"/>
      <c r="U161" s="1">
        <f t="array" ref="U161">IF(AND(A161&lt;&gt;"",OR(ISNUMBER(B161:I161))),SUM(B161:I161),"")</f>
        <v>56</v>
      </c>
      <c r="V161" s="10">
        <f t="array" ref="V161">IF(AND(A161&lt;&gt;"",OR(ISNUMBER(J161:O161))),SUM(J161:O161),"")</f>
        <v>113</v>
      </c>
      <c r="W161" s="10">
        <f t="array" ref="W161">IF(AND(A161&lt;&gt;"",OR(ISNUMBER(P161),ISNUMBER(Q161))),SUM(MAX(P161:Q161),Q161),"")</f>
        <v>100</v>
      </c>
      <c r="X161" s="10" t="str">
        <f t="array" ref="X161">IF(AND(A161&lt;&gt;"",OR(ISNUMBER(S161),ISNUMBER(T161))),SUM(S161,T161),"")</f>
        <v/>
      </c>
      <c r="Y161" s="13">
        <v>1</v>
      </c>
      <c r="Z161" s="13">
        <f>IF(A161&lt;&gt;"",SUM(U161:Y161),"")</f>
        <v>270</v>
      </c>
      <c r="AA161" s="27">
        <f>IF(A161&lt;&gt;"",(Z161+Normalize_To_Add)/(Point_Total_So_Far)*100,"")</f>
        <v>88.52459016393442</v>
      </c>
      <c r="AB161" s="10">
        <f>IF(A161&lt;&gt;"",RANK(AA161,All_Student_XC),"")</f>
        <v>350</v>
      </c>
      <c r="AC161" s="32" t="str">
        <f>IF(A161&lt;&gt;"",CHOOSE(10-MIN(9,TRUNC((AA161+0.5)/10)),"A","B","C","D","F","F","F","F","F","F"),"")</f>
        <v>B</v>
      </c>
      <c r="AD161" s="32" t="str">
        <f>IF(A161&lt;&gt;"",IF(OR(AA161+0.5&gt;=93,AA161+0.5&lt;60),"",IF(MOD(AA161+0.5,10)&gt;=7,"+",IF(MOD(AA161+0.5,10)&lt;3,"-",""))),"")</f>
        <v>+</v>
      </c>
      <c r="AE161" s="32">
        <f>IF(A161&lt;&gt;"",SUM(W161:X161,$W$8:$X$8)/SUM($W$2:$X$2)*100,"")</f>
        <v>100</v>
      </c>
      <c r="AF161" s="32" t="str">
        <f>IF(A161&lt;&gt;"",CHOOSE(10-MIN(9,TRUNC((AE161+0.5)/10)),"A","B","C","D","F","F","F","F","F","F"),"")</f>
        <v>A</v>
      </c>
      <c r="AG161" s="32" t="str">
        <f>IF(A161&lt;&gt;"",IF(OR(AE161+0.5&gt;=93,AE161+0.5&lt;60),"",IF(MOD(AE161+0.5,10)&gt;=7,"+",IF(MOD(AE161+0.5,10)&lt;3,"-",""))),"")</f>
        <v/>
      </c>
      <c r="AH161" s="36">
        <f>IF(A161&lt;&gt;"",MIN(MAX(AA161,AE161),AA161+$AH$8,AE161+$AH$8),"")</f>
        <v>100</v>
      </c>
      <c r="AI161" s="32" t="str">
        <f>IF(A161&lt;&gt;"",CHOOSE(10-MIN(9,TRUNC((AH161+0.5)/10)),"A","B","C","D","F","F","F","F","F","F"),"")</f>
        <v>A</v>
      </c>
      <c r="AJ161" s="32" t="str">
        <f>IF(A161&lt;&gt;"",IF(OR(AH161+0.5&gt;=93,AH161+0.5&lt;60),"",IF(MOD(AH161+0.5,10)&gt;=7,"+",IF(MOD(AH161+0.5,10)&lt;3,"-",""))),"")</f>
        <v/>
      </c>
      <c r="AK161" s="32" t="b">
        <f>IF(A161&lt;&gt;"",OR(AI161&lt;&gt;AC161,AJ161&lt;&gt;AD161),"")</f>
        <v>1</v>
      </c>
      <c r="AL161" s="84">
        <f>IF(AND(A161&lt;&gt;"",U161&lt;&gt;""),SUM(U161,$AL$8)/$AL$2*100,"")</f>
        <v>74.666666666666671</v>
      </c>
      <c r="AM161" s="24">
        <f>IF(AND(A161&lt;&gt;"",V161&lt;&gt;""),SUM(V161,$AM$8)/$AM$2*100,"")</f>
        <v>86.92307692307692</v>
      </c>
      <c r="AN161" s="24">
        <f>IF(AND(A161&lt;&gt;"",ISNUMBER(P161),P161&gt;=0),SUM(P161,$AN$8)/$AN$2*100,"")</f>
        <v>100</v>
      </c>
      <c r="AO161" s="24" t="str">
        <f>IF(AND(A161&lt;&gt;"",ISNUMBER(Q161),Q161&gt;=0),SUM(Q161,$AO$8)/$AO$2*100,"")</f>
        <v/>
      </c>
      <c r="AP161" s="24" t="str">
        <f>IF(AND(A161&lt;&gt;"",R161&lt;&gt;""),SUM(R161,$AP$8)/$AP$2*100,"")</f>
        <v/>
      </c>
      <c r="AQ161" s="24">
        <f>IF(AND(A161&lt;&gt;"",ISNUMBER(W161),W161&gt;=0),SUM(W161,$AQ$8)/$AQ$2*100,"")</f>
        <v>100</v>
      </c>
      <c r="AR161" s="24" t="str">
        <f>IF(AND(A161&lt;&gt;"",T161&gt;0,ISNUMBER(T161)),SUM(T161,$AR$8)/$AR$2*100,"")</f>
        <v/>
      </c>
      <c r="AS161" s="24" t="str">
        <f>IF(AND(A161&lt;&gt;"",X161&lt;&gt;""),SUM(X161,$AS$8)/$AS$2*100,"")</f>
        <v/>
      </c>
      <c r="AT161" s="89">
        <f>IF(AND(A161&lt;&gt;"",OR(ISNUMBER(W161),ISNUMBER(X161))),SUM(W161:X161,$AT$8)/$AT$2*100,"")</f>
        <v>100</v>
      </c>
      <c r="AU161" s="24">
        <f>AA161</f>
        <v>88.52459016393442</v>
      </c>
      <c r="AV161" s="24"/>
      <c r="AW161" s="27">
        <f>IF(A161&lt;&gt;"",AE161-AA161,"")</f>
        <v>11.47540983606558</v>
      </c>
      <c r="AY161" s="27" t="b">
        <f>S161&gt;R161</f>
        <v>0</v>
      </c>
      <c r="BA161" s="27" t="e">
        <f>AND(AA161&gt;$BA$3,(W161+$W$8)/$W$2&lt;$BB$3,(X161+$X$8)/$X$2&lt;$BB$3)</f>
        <v>#VALUE!</v>
      </c>
      <c r="BB161" s="27" t="e">
        <f>AND(AA161&lt;$BA$3,AND(W161/$W$2&gt;$BB$3,X161/$X$2&gt;$BB$3))</f>
        <v>#VALUE!</v>
      </c>
      <c r="BC161" s="27" t="e">
        <f>AND(AA161&lt;$BA$3,OR(W161/$W$2&gt;$BB$3,X161/$X$2&gt;$BB$3))</f>
        <v>#VALUE!</v>
      </c>
      <c r="BE161" s="32">
        <v>32</v>
      </c>
    </row>
    <row r="162" spans="1:57" s="27" customFormat="1" ht="12.75" customHeight="1" x14ac:dyDescent="0.2">
      <c r="A162" s="10">
        <v>309834</v>
      </c>
      <c r="B162" s="2">
        <v>14</v>
      </c>
      <c r="C162" s="10">
        <v>21</v>
      </c>
      <c r="D162" s="10">
        <v>25</v>
      </c>
      <c r="E162" s="10"/>
      <c r="F162" s="10"/>
      <c r="G162" s="3"/>
      <c r="H162" s="10"/>
      <c r="I162" s="10"/>
      <c r="J162" s="2">
        <v>32</v>
      </c>
      <c r="K162" s="10">
        <v>24</v>
      </c>
      <c r="L162" s="10">
        <v>44</v>
      </c>
      <c r="M162" s="10"/>
      <c r="N162" s="10"/>
      <c r="O162" s="12"/>
      <c r="P162" s="41">
        <v>80</v>
      </c>
      <c r="Q162" s="41"/>
      <c r="R162" s="2"/>
      <c r="S162" s="10"/>
      <c r="T162" s="13"/>
      <c r="U162" s="1">
        <f t="array" ref="U162">IF(AND(A162&lt;&gt;"",OR(ISNUMBER(B162:I162))),SUM(B162:I162),"")</f>
        <v>60</v>
      </c>
      <c r="V162" s="10">
        <f t="array" ref="V162">IF(AND(A162&lt;&gt;"",OR(ISNUMBER(J162:O162))),SUM(J162:O162),"")</f>
        <v>100</v>
      </c>
      <c r="W162" s="10">
        <f t="array" ref="W162">IF(AND(A162&lt;&gt;"",OR(ISNUMBER(P162),ISNUMBER(Q162))),SUM(MAX(P162:Q162),Q162),"")</f>
        <v>80</v>
      </c>
      <c r="X162" s="10" t="str">
        <f t="array" ref="X162">IF(AND(A162&lt;&gt;"",OR(ISNUMBER(S162),ISNUMBER(T162))),SUM(S162,T162),"")</f>
        <v/>
      </c>
      <c r="Y162" s="13">
        <v>1</v>
      </c>
      <c r="Z162" s="13">
        <f>IF(A162&lt;&gt;"",SUM(U162:Y162),"")</f>
        <v>241</v>
      </c>
      <c r="AA162" s="27">
        <f>IF(A162&lt;&gt;"",(Z162+Normalize_To_Add)/(Point_Total_So_Far)*100,"")</f>
        <v>79.016393442622942</v>
      </c>
      <c r="AB162" s="10">
        <f>IF(A162&lt;&gt;"",RANK(AA162,All_Student_XC),"")</f>
        <v>417</v>
      </c>
      <c r="AC162" s="32" t="str">
        <f>IF(A162&lt;&gt;"",CHOOSE(10-MIN(9,TRUNC((AA162+0.5)/10)),"A","B","C","D","F","F","F","F","F","F"),"")</f>
        <v>C</v>
      </c>
      <c r="AD162" s="32" t="str">
        <f>IF(A162&lt;&gt;"",IF(OR(AA162+0.5&gt;=93,AA162+0.5&lt;60),"",IF(MOD(AA162+0.5,10)&gt;=7,"+",IF(MOD(AA162+0.5,10)&lt;3,"-",""))),"")</f>
        <v>+</v>
      </c>
      <c r="AE162" s="32">
        <f>IF(A162&lt;&gt;"",SUM(W162:X162,$W$8:$X$8)/SUM($W$2:$X$2)*100,"")</f>
        <v>80</v>
      </c>
      <c r="AF162" s="32" t="str">
        <f>IF(A162&lt;&gt;"",CHOOSE(10-MIN(9,TRUNC((AE162+0.5)/10)),"A","B","C","D","F","F","F","F","F","F"),"")</f>
        <v>B</v>
      </c>
      <c r="AG162" s="32" t="str">
        <f>IF(A162&lt;&gt;"",IF(OR(AE162+0.5&gt;=93,AE162+0.5&lt;60),"",IF(MOD(AE162+0.5,10)&gt;=7,"+",IF(MOD(AE162+0.5,10)&lt;3,"-",""))),"")</f>
        <v>-</v>
      </c>
      <c r="AH162" s="36">
        <f>IF(A162&lt;&gt;"",MIN(MAX(AA162,AE162),AA162+$AH$8,AE162+$AH$8),"")</f>
        <v>80</v>
      </c>
      <c r="AI162" s="32" t="str">
        <f>IF(A162&lt;&gt;"",CHOOSE(10-MIN(9,TRUNC((AH162+0.5)/10)),"A","B","C","D","F","F","F","F","F","F"),"")</f>
        <v>B</v>
      </c>
      <c r="AJ162" s="32" t="str">
        <f>IF(A162&lt;&gt;"",IF(OR(AH162+0.5&gt;=93,AH162+0.5&lt;60),"",IF(MOD(AH162+0.5,10)&gt;=7,"+",IF(MOD(AH162+0.5,10)&lt;3,"-",""))),"")</f>
        <v>-</v>
      </c>
      <c r="AK162" s="32" t="b">
        <f>IF(A162&lt;&gt;"",OR(AI162&lt;&gt;AC162,AJ162&lt;&gt;AD162),"")</f>
        <v>1</v>
      </c>
      <c r="AL162" s="84">
        <f>IF(AND(A162&lt;&gt;"",U162&lt;&gt;""),SUM(U162,$AL$8)/$AL$2*100,"")</f>
        <v>80</v>
      </c>
      <c r="AM162" s="24">
        <f>IF(AND(A162&lt;&gt;"",V162&lt;&gt;""),SUM(V162,$AM$8)/$AM$2*100,"")</f>
        <v>76.923076923076934</v>
      </c>
      <c r="AN162" s="24">
        <f>IF(AND(A162&lt;&gt;"",ISNUMBER(P162),P162&gt;=0),SUM(P162,$AN$8)/$AN$2*100,"")</f>
        <v>80</v>
      </c>
      <c r="AO162" s="24" t="str">
        <f>IF(AND(A162&lt;&gt;"",ISNUMBER(Q162),Q162&gt;=0),SUM(Q162,$AO$8)/$AO$2*100,"")</f>
        <v/>
      </c>
      <c r="AP162" s="24" t="str">
        <f>IF(AND(A162&lt;&gt;"",R162&lt;&gt;""),SUM(R162,$AP$8)/$AP$2*100,"")</f>
        <v/>
      </c>
      <c r="AQ162" s="24">
        <f>IF(AND(A162&lt;&gt;"",ISNUMBER(W162),W162&gt;=0),SUM(W162,$AQ$8)/$AQ$2*100,"")</f>
        <v>80</v>
      </c>
      <c r="AR162" s="24" t="str">
        <f>IF(AND(A162&lt;&gt;"",T162&gt;0,ISNUMBER(T162)),SUM(T162,$AR$8)/$AR$2*100,"")</f>
        <v/>
      </c>
      <c r="AS162" s="24" t="str">
        <f>IF(AND(A162&lt;&gt;"",X162&lt;&gt;""),SUM(X162,$AS$8)/$AS$2*100,"")</f>
        <v/>
      </c>
      <c r="AT162" s="89">
        <f>IF(AND(A162&lt;&gt;"",OR(ISNUMBER(W162),ISNUMBER(X162))),SUM(W162:X162,$AT$8)/$AT$2*100,"")</f>
        <v>80</v>
      </c>
      <c r="AU162" s="24">
        <f>AA162</f>
        <v>79.016393442622942</v>
      </c>
      <c r="AV162" s="24"/>
      <c r="AW162" s="27">
        <f>IF(A162&lt;&gt;"",AE162-AA162,"")</f>
        <v>0.98360655737705827</v>
      </c>
      <c r="AY162" s="27" t="b">
        <f>S162&gt;R162</f>
        <v>0</v>
      </c>
      <c r="BA162" s="27" t="e">
        <f>AND(AA162&gt;$BA$3,(W162+$W$8)/$W$2&lt;$BB$3,(X162+$X$8)/$X$2&lt;$BB$3)</f>
        <v>#VALUE!</v>
      </c>
      <c r="BB162" s="27" t="e">
        <f>AND(AA162&lt;$BA$3,AND(W162/$W$2&gt;$BB$3,X162/$X$2&gt;$BB$3))</f>
        <v>#VALUE!</v>
      </c>
      <c r="BC162" s="27" t="e">
        <f>AND(AA162&lt;$BA$3,OR(W162/$W$2&gt;$BB$3,X162/$X$2&gt;$BB$3))</f>
        <v>#VALUE!</v>
      </c>
      <c r="BE162" s="32" t="s">
        <v>85</v>
      </c>
    </row>
    <row r="163" spans="1:57" s="27" customFormat="1" ht="12.75" customHeight="1" x14ac:dyDescent="0.2">
      <c r="A163" s="10">
        <v>313505</v>
      </c>
      <c r="B163" s="2">
        <v>22</v>
      </c>
      <c r="C163" s="10">
        <v>22</v>
      </c>
      <c r="D163" s="10">
        <v>25</v>
      </c>
      <c r="E163" s="10"/>
      <c r="F163" s="10"/>
      <c r="G163" s="3"/>
      <c r="H163" s="10"/>
      <c r="I163" s="10"/>
      <c r="J163" s="2">
        <v>30</v>
      </c>
      <c r="K163" s="10">
        <v>26</v>
      </c>
      <c r="L163" s="10">
        <v>50</v>
      </c>
      <c r="M163" s="10"/>
      <c r="N163" s="10"/>
      <c r="O163" s="12"/>
      <c r="P163" s="41">
        <v>101</v>
      </c>
      <c r="Q163" s="41"/>
      <c r="R163" s="2"/>
      <c r="S163" s="10"/>
      <c r="T163" s="13"/>
      <c r="U163" s="1">
        <f t="array" ref="U163">IF(AND(A163&lt;&gt;"",OR(ISNUMBER(B163:I163))),SUM(B163:I163),"")</f>
        <v>69</v>
      </c>
      <c r="V163" s="10">
        <f t="array" ref="V163">IF(AND(A163&lt;&gt;"",OR(ISNUMBER(J163:O163))),SUM(J163:O163),"")</f>
        <v>106</v>
      </c>
      <c r="W163" s="10">
        <f t="array" ref="W163">IF(AND(A163&lt;&gt;"",OR(ISNUMBER(P163),ISNUMBER(Q163))),SUM(MAX(P163:Q163),Q163),"")</f>
        <v>101</v>
      </c>
      <c r="X163" s="10" t="str">
        <f t="array" ref="X163">IF(AND(A163&lt;&gt;"",OR(ISNUMBER(S163),ISNUMBER(T163))),SUM(S163,T163),"")</f>
        <v/>
      </c>
      <c r="Y163" s="13">
        <v>1</v>
      </c>
      <c r="Z163" s="13">
        <f>IF(A163&lt;&gt;"",SUM(U163:Y163),"")</f>
        <v>277</v>
      </c>
      <c r="AA163" s="27">
        <f>IF(A163&lt;&gt;"",(Z163+Normalize_To_Add)/(Point_Total_So_Far)*100,"")</f>
        <v>90.819672131147541</v>
      </c>
      <c r="AB163" s="10">
        <f>IF(A163&lt;&gt;"",RANK(AA163,All_Student_XC),"")</f>
        <v>324</v>
      </c>
      <c r="AC163" s="32" t="str">
        <f>IF(A163&lt;&gt;"",CHOOSE(10-MIN(9,TRUNC((AA163+0.5)/10)),"A","B","C","D","F","F","F","F","F","F"),"")</f>
        <v>A</v>
      </c>
      <c r="AD163" s="32" t="str">
        <f>IF(A163&lt;&gt;"",IF(OR(AA163+0.5&gt;=93,AA163+0.5&lt;60),"",IF(MOD(AA163+0.5,10)&gt;=7,"+",IF(MOD(AA163+0.5,10)&lt;3,"-",""))),"")</f>
        <v>-</v>
      </c>
      <c r="AE163" s="32">
        <f>IF(A163&lt;&gt;"",SUM(W163:X163,$W$8:$X$8)/SUM($W$2:$X$2)*100,"")</f>
        <v>101</v>
      </c>
      <c r="AF163" s="32" t="str">
        <f>IF(A163&lt;&gt;"",CHOOSE(10-MIN(9,TRUNC((AE163+0.5)/10)),"A","B","C","D","F","F","F","F","F","F"),"")</f>
        <v>A</v>
      </c>
      <c r="AG163" s="32" t="str">
        <f>IF(A163&lt;&gt;"",IF(OR(AE163+0.5&gt;=93,AE163+0.5&lt;60),"",IF(MOD(AE163+0.5,10)&gt;=7,"+",IF(MOD(AE163+0.5,10)&lt;3,"-",""))),"")</f>
        <v/>
      </c>
      <c r="AH163" s="36">
        <f>IF(A163&lt;&gt;"",MIN(MAX(AA163,AE163),AA163+$AH$8,AE163+$AH$8),"")</f>
        <v>101</v>
      </c>
      <c r="AI163" s="32" t="str">
        <f>IF(A163&lt;&gt;"",CHOOSE(10-MIN(9,TRUNC((AH163+0.5)/10)),"A","B","C","D","F","F","F","F","F","F"),"")</f>
        <v>A</v>
      </c>
      <c r="AJ163" s="32" t="str">
        <f>IF(A163&lt;&gt;"",IF(OR(AH163+0.5&gt;=93,AH163+0.5&lt;60),"",IF(MOD(AH163+0.5,10)&gt;=7,"+",IF(MOD(AH163+0.5,10)&lt;3,"-",""))),"")</f>
        <v/>
      </c>
      <c r="AK163" s="32" t="b">
        <f>IF(A163&lt;&gt;"",OR(AI163&lt;&gt;AC163,AJ163&lt;&gt;AD163),"")</f>
        <v>1</v>
      </c>
      <c r="AL163" s="84">
        <f>IF(AND(A163&lt;&gt;"",U163&lt;&gt;""),SUM(U163,$AL$8)/$AL$2*100,"")</f>
        <v>92</v>
      </c>
      <c r="AM163" s="24">
        <f>IF(AND(A163&lt;&gt;"",V163&lt;&gt;""),SUM(V163,$AM$8)/$AM$2*100,"")</f>
        <v>81.538461538461533</v>
      </c>
      <c r="AN163" s="24">
        <f>IF(AND(A163&lt;&gt;"",ISNUMBER(P163),P163&gt;=0),SUM(P163,$AN$8)/$AN$2*100,"")</f>
        <v>101</v>
      </c>
      <c r="AO163" s="24" t="str">
        <f>IF(AND(A163&lt;&gt;"",ISNUMBER(Q163),Q163&gt;=0),SUM(Q163,$AO$8)/$AO$2*100,"")</f>
        <v/>
      </c>
      <c r="AP163" s="24" t="str">
        <f>IF(AND(A163&lt;&gt;"",R163&lt;&gt;""),SUM(R163,$AP$8)/$AP$2*100,"")</f>
        <v/>
      </c>
      <c r="AQ163" s="24">
        <f>IF(AND(A163&lt;&gt;"",ISNUMBER(W163),W163&gt;=0),SUM(W163,$AQ$8)/$AQ$2*100,"")</f>
        <v>101</v>
      </c>
      <c r="AR163" s="24" t="str">
        <f>IF(AND(A163&lt;&gt;"",T163&gt;0,ISNUMBER(T163)),SUM(T163,$AR$8)/$AR$2*100,"")</f>
        <v/>
      </c>
      <c r="AS163" s="24" t="str">
        <f>IF(AND(A163&lt;&gt;"",X163&lt;&gt;""),SUM(X163,$AS$8)/$AS$2*100,"")</f>
        <v/>
      </c>
      <c r="AT163" s="89">
        <f>IF(AND(A163&lt;&gt;"",OR(ISNUMBER(W163),ISNUMBER(X163))),SUM(W163:X163,$AT$8)/$AT$2*100,"")</f>
        <v>101</v>
      </c>
      <c r="AU163" s="24">
        <f>AA163</f>
        <v>90.819672131147541</v>
      </c>
      <c r="AV163" s="24"/>
      <c r="AW163" s="27">
        <f>IF(A163&lt;&gt;"",AE163-AA163,"")</f>
        <v>10.180327868852459</v>
      </c>
      <c r="AY163" s="27" t="b">
        <f>S163&gt;R163</f>
        <v>0</v>
      </c>
      <c r="BA163" s="27" t="e">
        <f>AND(AA163&gt;$BA$3,(W163+$W$8)/$W$2&lt;$BB$3,(X163+$X$8)/$X$2&lt;$BB$3)</f>
        <v>#VALUE!</v>
      </c>
      <c r="BB163" s="27" t="e">
        <f>AND(AA163&lt;$BA$3,AND(W163/$W$2&gt;$BB$3,X163/$X$2&gt;$BB$3))</f>
        <v>#VALUE!</v>
      </c>
      <c r="BC163" s="27" t="e">
        <f>AND(AA163&lt;$BA$3,OR(W163/$W$2&gt;$BB$3,X163/$X$2&gt;$BB$3))</f>
        <v>#VALUE!</v>
      </c>
      <c r="BE163" s="32" t="s">
        <v>84</v>
      </c>
    </row>
    <row r="164" spans="1:57" s="99" customFormat="1" ht="12.75" customHeight="1" x14ac:dyDescent="0.2">
      <c r="A164" s="78">
        <v>314612</v>
      </c>
      <c r="B164" s="97">
        <v>13</v>
      </c>
      <c r="C164" s="78">
        <v>14</v>
      </c>
      <c r="D164" s="78">
        <v>18</v>
      </c>
      <c r="E164" s="78"/>
      <c r="F164" s="78"/>
      <c r="G164" s="78"/>
      <c r="H164" s="78"/>
      <c r="I164" s="78"/>
      <c r="J164" s="97">
        <v>30</v>
      </c>
      <c r="K164" s="78">
        <v>48</v>
      </c>
      <c r="L164" s="78">
        <v>49</v>
      </c>
      <c r="M164" s="78"/>
      <c r="N164" s="78"/>
      <c r="O164" s="108"/>
      <c r="P164" s="79">
        <v>101</v>
      </c>
      <c r="Q164" s="79"/>
      <c r="R164" s="97"/>
      <c r="S164" s="78"/>
      <c r="T164" s="98"/>
      <c r="U164" s="112">
        <f t="array" ref="U164">IF(AND(A164&lt;&gt;"",OR(ISNUMBER(B164:I164))),SUM(B164:I164),"")</f>
        <v>45</v>
      </c>
      <c r="V164" s="78">
        <f t="array" ref="V164">IF(AND(A164&lt;&gt;"",OR(ISNUMBER(J164:O164))),SUM(J164:O164),"")</f>
        <v>127</v>
      </c>
      <c r="W164" s="78">
        <f t="array" ref="W164">IF(AND(A164&lt;&gt;"",OR(ISNUMBER(P164),ISNUMBER(Q164))),SUM(MAX(P164:Q164),Q164),"")</f>
        <v>101</v>
      </c>
      <c r="X164" s="78" t="str">
        <f t="array" ref="X164">IF(AND(A164&lt;&gt;"",OR(ISNUMBER(S164),ISNUMBER(T164))),SUM(S164,T164),"")</f>
        <v/>
      </c>
      <c r="Y164" s="98">
        <v>1</v>
      </c>
      <c r="Z164" s="98">
        <f>IF(A164&lt;&gt;"",SUM(U164:Y164),"")</f>
        <v>274</v>
      </c>
      <c r="AA164" s="99">
        <f>IF(A164&lt;&gt;"",(Z164+Normalize_To_Add)/(Point_Total_So_Far)*100,"")</f>
        <v>89.836065573770497</v>
      </c>
      <c r="AB164" s="78">
        <f>IF(A164&lt;&gt;"",RANK(AA164,All_Student_XC),"")</f>
        <v>338</v>
      </c>
      <c r="AC164" s="100" t="str">
        <f>IF(A164&lt;&gt;"",CHOOSE(10-MIN(9,TRUNC((AA164+0.5)/10)),"A","B","C","D","F","F","F","F","F","F"),"")</f>
        <v>A</v>
      </c>
      <c r="AD164" s="100" t="str">
        <f>IF(A164&lt;&gt;"",IF(OR(AA164+0.5&gt;=93,AA164+0.5&lt;60),"",IF(MOD(AA164+0.5,10)&gt;=7,"+",IF(MOD(AA164+0.5,10)&lt;3,"-",""))),"")</f>
        <v>-</v>
      </c>
      <c r="AE164" s="100">
        <f>IF(A164&lt;&gt;"",SUM(W164:X164,$W$8:$X$8)/SUM($W$2:$X$2)*100,"")</f>
        <v>101</v>
      </c>
      <c r="AF164" s="100" t="str">
        <f>IF(A164&lt;&gt;"",CHOOSE(10-MIN(9,TRUNC((AE164+0.5)/10)),"A","B","C","D","F","F","F","F","F","F"),"")</f>
        <v>A</v>
      </c>
      <c r="AG164" s="100" t="str">
        <f>IF(A164&lt;&gt;"",IF(OR(AE164+0.5&gt;=93,AE164+0.5&lt;60),"",IF(MOD(AE164+0.5,10)&gt;=7,"+",IF(MOD(AE164+0.5,10)&lt;3,"-",""))),"")</f>
        <v/>
      </c>
      <c r="AH164" s="101">
        <f>IF(A164&lt;&gt;"",MIN(MAX(AA164,AE164),AA164+$AH$8,AE164+$AH$8),"")</f>
        <v>101</v>
      </c>
      <c r="AI164" s="100" t="str">
        <f>IF(A164&lt;&gt;"",CHOOSE(10-MIN(9,TRUNC((AH164+0.5)/10)),"A","B","C","D","F","F","F","F","F","F"),"")</f>
        <v>A</v>
      </c>
      <c r="AJ164" s="100" t="str">
        <f>IF(A164&lt;&gt;"",IF(OR(AH164+0.5&gt;=93,AH164+0.5&lt;60),"",IF(MOD(AH164+0.5,10)&gt;=7,"+",IF(MOD(AH164+0.5,10)&lt;3,"-",""))),"")</f>
        <v/>
      </c>
      <c r="AK164" s="100" t="b">
        <f>IF(A164&lt;&gt;"",OR(AI164&lt;&gt;AC164,AJ164&lt;&gt;AD164),"")</f>
        <v>1</v>
      </c>
      <c r="AL164" s="110">
        <f>IF(AND(A164&lt;&gt;"",U164&lt;&gt;""),SUM(U164,$AL$8)/$AL$2*100,"")</f>
        <v>60</v>
      </c>
      <c r="AM164" s="94">
        <f>IF(AND(A164&lt;&gt;"",V164&lt;&gt;""),SUM(V164,$AM$8)/$AM$2*100,"")</f>
        <v>97.692307692307693</v>
      </c>
      <c r="AN164" s="94">
        <f>IF(AND(A164&lt;&gt;"",ISNUMBER(P164),P164&gt;=0),SUM(P164,$AN$8)/$AN$2*100,"")</f>
        <v>101</v>
      </c>
      <c r="AO164" s="94" t="str">
        <f>IF(AND(A164&lt;&gt;"",ISNUMBER(Q164),Q164&gt;=0),SUM(Q164,$AO$8)/$AO$2*100,"")</f>
        <v/>
      </c>
      <c r="AP164" s="94" t="str">
        <f>IF(AND(A164&lt;&gt;"",R164&lt;&gt;""),SUM(R164,$AP$8)/$AP$2*100,"")</f>
        <v/>
      </c>
      <c r="AQ164" s="94">
        <f>IF(AND(A164&lt;&gt;"",ISNUMBER(W164),W164&gt;=0),SUM(W164,$AQ$8)/$AQ$2*100,"")</f>
        <v>101</v>
      </c>
      <c r="AR164" s="94" t="str">
        <f>IF(AND(A164&lt;&gt;"",T164&gt;0,ISNUMBER(T164)),SUM(T164,$AR$8)/$AR$2*100,"")</f>
        <v/>
      </c>
      <c r="AS164" s="94" t="str">
        <f>IF(AND(A164&lt;&gt;"",X164&lt;&gt;""),SUM(X164,$AS$8)/$AS$2*100,"")</f>
        <v/>
      </c>
      <c r="AT164" s="102">
        <f>IF(AND(A164&lt;&gt;"",OR(ISNUMBER(W164),ISNUMBER(X164))),SUM(W164:X164,$AT$8)/$AT$2*100,"")</f>
        <v>101</v>
      </c>
      <c r="AU164" s="94">
        <f>AA164</f>
        <v>89.836065573770497</v>
      </c>
      <c r="AV164" s="94"/>
      <c r="AW164" s="99">
        <f>IF(A164&lt;&gt;"",AE164-AA164,"")</f>
        <v>11.163934426229503</v>
      </c>
      <c r="AY164" s="99" t="b">
        <f>S164&gt;R164</f>
        <v>0</v>
      </c>
      <c r="BA164" s="99" t="e">
        <f>AND(AA164&gt;$BA$3,(W164+$W$8)/$W$2&lt;$BB$3,(X164+$X$8)/$X$2&lt;$BB$3)</f>
        <v>#VALUE!</v>
      </c>
      <c r="BB164" s="99" t="e">
        <f>AND(AA164&lt;$BA$3,AND(W164/$W$2&gt;$BB$3,X164/$X$2&gt;$BB$3))</f>
        <v>#VALUE!</v>
      </c>
      <c r="BC164" s="99" t="e">
        <f>AND(AA164&lt;$BA$3,OR(W164/$W$2&gt;$BB$3,X164/$X$2&gt;$BB$3))</f>
        <v>#VALUE!</v>
      </c>
      <c r="BE164" s="100">
        <v>32</v>
      </c>
    </row>
    <row r="165" spans="1:57" s="27" customFormat="1" ht="12.75" customHeight="1" x14ac:dyDescent="0.2">
      <c r="A165" s="10">
        <v>314866</v>
      </c>
      <c r="B165" s="2">
        <v>24</v>
      </c>
      <c r="C165" s="10">
        <v>23</v>
      </c>
      <c r="D165" s="10">
        <v>25</v>
      </c>
      <c r="E165" s="10"/>
      <c r="F165" s="10"/>
      <c r="G165" s="10"/>
      <c r="H165" s="10"/>
      <c r="I165" s="10"/>
      <c r="J165" s="2">
        <v>30</v>
      </c>
      <c r="K165" s="10">
        <v>52</v>
      </c>
      <c r="L165" s="10">
        <v>52</v>
      </c>
      <c r="M165" s="10"/>
      <c r="N165" s="10"/>
      <c r="O165" s="12"/>
      <c r="P165" s="41">
        <v>101</v>
      </c>
      <c r="Q165" s="41"/>
      <c r="R165" s="2"/>
      <c r="S165" s="10"/>
      <c r="T165" s="13"/>
      <c r="U165" s="1">
        <f t="array" ref="U165">IF(AND(A165&lt;&gt;"",OR(ISNUMBER(B165:I165))),SUM(B165:I165),"")</f>
        <v>72</v>
      </c>
      <c r="V165" s="10">
        <f t="array" ref="V165">IF(AND(A165&lt;&gt;"",OR(ISNUMBER(J165:O165))),SUM(J165:O165),"")</f>
        <v>134</v>
      </c>
      <c r="W165" s="10">
        <f t="array" ref="W165">IF(AND(A165&lt;&gt;"",OR(ISNUMBER(P165),ISNUMBER(Q165))),SUM(MAX(P165:Q165),Q165),"")</f>
        <v>101</v>
      </c>
      <c r="X165" s="10" t="str">
        <f t="array" ref="X165">IF(AND(A165&lt;&gt;"",OR(ISNUMBER(S165),ISNUMBER(T165))),SUM(S165,T165),"")</f>
        <v/>
      </c>
      <c r="Y165" s="13">
        <v>1</v>
      </c>
      <c r="Z165" s="13">
        <f>IF(A165&lt;&gt;"",SUM(U165:Y165),"")</f>
        <v>308</v>
      </c>
      <c r="AA165" s="27">
        <f>IF(A165&lt;&gt;"",(Z165+Normalize_To_Add)/(Point_Total_So_Far)*100,"")</f>
        <v>100.98360655737706</v>
      </c>
      <c r="AB165" s="10">
        <f>IF(A165&lt;&gt;"",RANK(AA165,All_Student_XC),"")</f>
        <v>57</v>
      </c>
      <c r="AC165" s="32" t="str">
        <f>IF(A165&lt;&gt;"",CHOOSE(10-MIN(9,TRUNC((AA165+0.5)/10)),"A","B","C","D","F","F","F","F","F","F"),"")</f>
        <v>A</v>
      </c>
      <c r="AD165" s="32" t="str">
        <f>IF(A165&lt;&gt;"",IF(OR(AA165+0.5&gt;=93,AA165+0.5&lt;60),"",IF(MOD(AA165+0.5,10)&gt;=7,"+",IF(MOD(AA165+0.5,10)&lt;3,"-",""))),"")</f>
        <v/>
      </c>
      <c r="AE165" s="32">
        <f>IF(A165&lt;&gt;"",SUM(W165:X165,$W$8:$X$8)/SUM($W$2:$X$2)*100,"")</f>
        <v>101</v>
      </c>
      <c r="AF165" s="32" t="str">
        <f>IF(A165&lt;&gt;"",CHOOSE(10-MIN(9,TRUNC((AE165+0.5)/10)),"A","B","C","D","F","F","F","F","F","F"),"")</f>
        <v>A</v>
      </c>
      <c r="AG165" s="32" t="str">
        <f>IF(A165&lt;&gt;"",IF(OR(AE165+0.5&gt;=93,AE165+0.5&lt;60),"",IF(MOD(AE165+0.5,10)&gt;=7,"+",IF(MOD(AE165+0.5,10)&lt;3,"-",""))),"")</f>
        <v/>
      </c>
      <c r="AH165" s="36">
        <f>IF(A165&lt;&gt;"",MIN(MAX(AA165,AE165),AA165+$AH$8,AE165+$AH$8),"")</f>
        <v>101</v>
      </c>
      <c r="AI165" s="32" t="str">
        <f>IF(A165&lt;&gt;"",CHOOSE(10-MIN(9,TRUNC((AH165+0.5)/10)),"A","B","C","D","F","F","F","F","F","F"),"")</f>
        <v>A</v>
      </c>
      <c r="AJ165" s="32" t="str">
        <f>IF(A165&lt;&gt;"",IF(OR(AH165+0.5&gt;=93,AH165+0.5&lt;60),"",IF(MOD(AH165+0.5,10)&gt;=7,"+",IF(MOD(AH165+0.5,10)&lt;3,"-",""))),"")</f>
        <v/>
      </c>
      <c r="AK165" s="32" t="b">
        <f>IF(A165&lt;&gt;"",OR(AI165&lt;&gt;AC165,AJ165&lt;&gt;AD165),"")</f>
        <v>0</v>
      </c>
      <c r="AL165" s="84">
        <f>IF(AND(A165&lt;&gt;"",U165&lt;&gt;""),SUM(U165,$AL$8)/$AL$2*100,"")</f>
        <v>96</v>
      </c>
      <c r="AM165" s="24">
        <f>IF(AND(A165&lt;&gt;"",V165&lt;&gt;""),SUM(V165,$AM$8)/$AM$2*100,"")</f>
        <v>103.07692307692307</v>
      </c>
      <c r="AN165" s="24">
        <f>IF(AND(A165&lt;&gt;"",ISNUMBER(P165),P165&gt;=0),SUM(P165,$AN$8)/$AN$2*100,"")</f>
        <v>101</v>
      </c>
      <c r="AO165" s="24" t="str">
        <f>IF(AND(A165&lt;&gt;"",ISNUMBER(Q165),Q165&gt;=0),SUM(Q165,$AO$8)/$AO$2*100,"")</f>
        <v/>
      </c>
      <c r="AP165" s="24" t="str">
        <f>IF(AND(A165&lt;&gt;"",R165&lt;&gt;""),SUM(R165,$AP$8)/$AP$2*100,"")</f>
        <v/>
      </c>
      <c r="AQ165" s="24">
        <f>IF(AND(A165&lt;&gt;"",ISNUMBER(W165),W165&gt;=0),SUM(W165,$AQ$8)/$AQ$2*100,"")</f>
        <v>101</v>
      </c>
      <c r="AR165" s="24" t="str">
        <f>IF(AND(A165&lt;&gt;"",T165&gt;0,ISNUMBER(T165)),SUM(T165,$AR$8)/$AR$2*100,"")</f>
        <v/>
      </c>
      <c r="AS165" s="24" t="str">
        <f>IF(AND(A165&lt;&gt;"",X165&lt;&gt;""),SUM(X165,$AS$8)/$AS$2*100,"")</f>
        <v/>
      </c>
      <c r="AT165" s="89">
        <f>IF(AND(A165&lt;&gt;"",OR(ISNUMBER(W165),ISNUMBER(X165))),SUM(W165:X165,$AT$8)/$AT$2*100,"")</f>
        <v>101</v>
      </c>
      <c r="AU165" s="24">
        <f>AA165</f>
        <v>100.98360655737706</v>
      </c>
      <c r="AV165" s="24"/>
      <c r="AW165" s="27">
        <f>IF(A165&lt;&gt;"",AE165-AA165,"")</f>
        <v>1.6393442622941734E-2</v>
      </c>
      <c r="AY165" s="27" t="b">
        <f>S165&gt;R165</f>
        <v>0</v>
      </c>
      <c r="BA165" s="27" t="e">
        <f>AND(AA165&gt;$BA$3,(W165+$W$8)/$W$2&lt;$BB$3,(X165+$X$8)/$X$2&lt;$BB$3)</f>
        <v>#VALUE!</v>
      </c>
      <c r="BB165" s="27" t="e">
        <f>AND(AA165&lt;$BA$3,AND(W165/$W$2&gt;$BB$3,X165/$X$2&gt;$BB$3))</f>
        <v>#VALUE!</v>
      </c>
      <c r="BC165" s="27" t="e">
        <f>AND(AA165&lt;$BA$3,OR(W165/$W$2&gt;$BB$3,X165/$X$2&gt;$BB$3))</f>
        <v>#VALUE!</v>
      </c>
      <c r="BE165" s="32" t="s">
        <v>84</v>
      </c>
    </row>
    <row r="166" spans="1:57" s="27" customFormat="1" ht="12.75" customHeight="1" x14ac:dyDescent="0.2">
      <c r="A166" s="10">
        <v>317325</v>
      </c>
      <c r="B166" s="2">
        <v>23</v>
      </c>
      <c r="C166" s="10">
        <v>23</v>
      </c>
      <c r="D166" s="10">
        <v>25</v>
      </c>
      <c r="E166" s="10"/>
      <c r="F166" s="10"/>
      <c r="G166" s="10"/>
      <c r="H166" s="10"/>
      <c r="I166" s="10"/>
      <c r="J166" s="2">
        <v>32</v>
      </c>
      <c r="K166" s="10">
        <v>52</v>
      </c>
      <c r="L166" s="10">
        <v>50</v>
      </c>
      <c r="M166" s="10"/>
      <c r="N166" s="10"/>
      <c r="O166" s="12"/>
      <c r="P166" s="7">
        <v>101</v>
      </c>
      <c r="Q166" s="7"/>
      <c r="R166" s="2"/>
      <c r="S166" s="10"/>
      <c r="T166" s="13"/>
      <c r="U166" s="77">
        <f t="array" ref="U166">IF(AND(A166&lt;&gt;"",OR(ISNUMBER(B166:I166))),SUM(B166:I166),"")</f>
        <v>71</v>
      </c>
      <c r="V166" s="10">
        <f t="array" ref="V166">IF(AND(A166&lt;&gt;"",OR(ISNUMBER(J166:O166))),SUM(J166:O166),"")</f>
        <v>134</v>
      </c>
      <c r="W166" s="10">
        <f t="array" ref="W166">IF(AND(A166&lt;&gt;"",OR(ISNUMBER(P166),ISNUMBER(Q166))),SUM(MAX(P166:Q166),Q166),"")</f>
        <v>101</v>
      </c>
      <c r="X166" s="10" t="str">
        <f t="array" ref="X166">IF(AND(A166&lt;&gt;"",OR(ISNUMBER(S166),ISNUMBER(T166))),SUM(S166,T166),"")</f>
        <v/>
      </c>
      <c r="Y166" s="13">
        <v>1</v>
      </c>
      <c r="Z166" s="13">
        <f>IF(A166&lt;&gt;"",SUM(U166:Y166),"")</f>
        <v>307</v>
      </c>
      <c r="AA166" s="27">
        <f>IF(A166&lt;&gt;"",(Z166+Normalize_To_Add)/(Point_Total_So_Far)*100,"")</f>
        <v>100.65573770491802</v>
      </c>
      <c r="AB166" s="10">
        <f>IF(A166&lt;&gt;"",RANK(AA166,All_Student_XC),"")</f>
        <v>72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>
        <f>IF(A166&lt;&gt;"",SUM(W166:X166,$W$8:$X$8)/SUM($W$2:$X$2)*100,"")</f>
        <v>101</v>
      </c>
      <c r="AF166" s="32" t="str">
        <f>IF(A166&lt;&gt;"",CHOOSE(10-MIN(9,TRUNC((AE166+0.5)/10)),"A","B","C","D","F","F","F","F","F","F"),"")</f>
        <v>A</v>
      </c>
      <c r="AG166" s="32" t="str">
        <f>IF(A166&lt;&gt;"",IF(OR(AE166+0.5&gt;=93,AE166+0.5&lt;60),"",IF(MOD(AE166+0.5,10)&gt;=7,"+",IF(MOD(AE166+0.5,10)&lt;3,"-",""))),"")</f>
        <v/>
      </c>
      <c r="AH166" s="36">
        <f>IF(A166&lt;&gt;"",MIN(MAX(AA166,AE166),AA166+$AH$8,AE166+$AH$8),"")</f>
        <v>101</v>
      </c>
      <c r="AI166" s="32" t="str">
        <f>IF(A166&lt;&gt;"",CHOOSE(10-MIN(9,TRUNC((AH166+0.5)/10)),"A","B","C","D","F","F","F","F","F","F"),"")</f>
        <v>A</v>
      </c>
      <c r="AJ166" s="32" t="str">
        <f>IF(A166&lt;&gt;"",IF(OR(AH166+0.5&gt;=93,AH166+0.5&lt;60),"",IF(MOD(AH166+0.5,10)&gt;=7,"+",IF(MOD(AH166+0.5,10)&lt;3,"-",""))),"")</f>
        <v/>
      </c>
      <c r="AK166" s="32" t="b">
        <f>IF(A166&lt;&gt;"",OR(AI166&lt;&gt;AC166,AJ166&lt;&gt;AD166),"")</f>
        <v>0</v>
      </c>
      <c r="AL166" s="84">
        <f>IF(AND(A166&lt;&gt;"",U166&lt;&gt;""),SUM(U166,$AL$8)/$AL$2*100,"")</f>
        <v>94.666666666666671</v>
      </c>
      <c r="AM166" s="24">
        <f>IF(AND(A166&lt;&gt;"",V166&lt;&gt;""),SUM(V166,$AM$8)/$AM$2*100,"")</f>
        <v>103.07692307692307</v>
      </c>
      <c r="AN166" s="24">
        <f>IF(AND(A166&lt;&gt;"",ISNUMBER(P166),P166&gt;=0),SUM(P166,$AN$8)/$AN$2*100,"")</f>
        <v>101</v>
      </c>
      <c r="AO166" s="24" t="str">
        <f>IF(AND(A166&lt;&gt;"",ISNUMBER(Q166),Q166&gt;=0),SUM(Q166,$AO$8)/$AO$2*100,"")</f>
        <v/>
      </c>
      <c r="AP166" s="24" t="str">
        <f>IF(AND(A166&lt;&gt;"",R166&lt;&gt;""),SUM(R166,$AP$8)/$AP$2*100,"")</f>
        <v/>
      </c>
      <c r="AQ166" s="24">
        <f>IF(AND(A166&lt;&gt;"",ISNUMBER(W166),W166&gt;=0),SUM(W166,$AQ$8)/$AQ$2*100,"")</f>
        <v>101</v>
      </c>
      <c r="AR166" s="24" t="str">
        <f>IF(AND(A166&lt;&gt;"",T166&gt;0,ISNUMBER(T166)),SUM(T166,$AR$8)/$AR$2*100,"")</f>
        <v/>
      </c>
      <c r="AS166" s="24" t="str">
        <f>IF(AND(A166&lt;&gt;"",X166&lt;&gt;""),SUM(X166,$AS$8)/$AS$2*100,"")</f>
        <v/>
      </c>
      <c r="AT166" s="89">
        <f>IF(AND(A166&lt;&gt;"",OR(ISNUMBER(W166),ISNUMBER(X166))),SUM(W166:X166,$AT$8)/$AT$2*100,"")</f>
        <v>101</v>
      </c>
      <c r="AU166" s="24">
        <f>AA166</f>
        <v>100.65573770491802</v>
      </c>
      <c r="AV166" s="24"/>
      <c r="AW166" s="27">
        <f>IF(A166&lt;&gt;"",AE166-AA166,"")</f>
        <v>0.34426229508197537</v>
      </c>
      <c r="AY166" s="27" t="b">
        <f>S166&gt;R166</f>
        <v>0</v>
      </c>
      <c r="BA166" s="27" t="e">
        <f>AND(AA166&gt;$BA$3,(W166+$W$8)/$W$2&lt;$BB$3,(X166+$X$8)/$X$2&lt;$BB$3)</f>
        <v>#VALUE!</v>
      </c>
      <c r="BB166" s="27" t="e">
        <f>AND(AA166&lt;$BA$3,AND(W166/$W$2&gt;$BB$3,X166/$X$2&gt;$BB$3))</f>
        <v>#VALUE!</v>
      </c>
      <c r="BC166" s="27" t="e">
        <f>AND(AA166&lt;$BA$3,OR(W166/$W$2&gt;$BB$3,X166/$X$2&gt;$BB$3))</f>
        <v>#VALUE!</v>
      </c>
      <c r="BE166" s="32" t="s">
        <v>84</v>
      </c>
    </row>
    <row r="167" spans="1:57" s="27" customFormat="1" ht="12.75" customHeight="1" x14ac:dyDescent="0.2">
      <c r="A167" s="10">
        <v>321711</v>
      </c>
      <c r="B167" s="2">
        <v>25</v>
      </c>
      <c r="C167" s="10">
        <v>25</v>
      </c>
      <c r="D167" s="10">
        <v>25</v>
      </c>
      <c r="E167" s="10"/>
      <c r="F167" s="10"/>
      <c r="G167" s="10"/>
      <c r="H167" s="10"/>
      <c r="I167" s="10"/>
      <c r="J167" s="2">
        <v>31</v>
      </c>
      <c r="K167" s="10">
        <v>47</v>
      </c>
      <c r="L167" s="10">
        <v>52</v>
      </c>
      <c r="M167" s="10"/>
      <c r="N167" s="93"/>
      <c r="O167" s="13"/>
      <c r="P167" s="10">
        <v>101</v>
      </c>
      <c r="Q167" s="13"/>
      <c r="R167" s="2"/>
      <c r="S167" s="10"/>
      <c r="T167" s="13"/>
      <c r="U167" s="1">
        <f t="array" ref="U167">IF(AND(A167&lt;&gt;"",OR(ISNUMBER(B167:I167))),SUM(B167:I167),"")</f>
        <v>75</v>
      </c>
      <c r="V167" s="10">
        <f t="array" ref="V167">IF(AND(A167&lt;&gt;"",OR(ISNUMBER(J167:O167))),SUM(J167:O167),"")</f>
        <v>130</v>
      </c>
      <c r="W167" s="10">
        <f t="array" ref="W167">IF(AND(A167&lt;&gt;"",OR(ISNUMBER(P167),ISNUMBER(Q167))),SUM(MAX(P167:Q167),Q167),"")</f>
        <v>101</v>
      </c>
      <c r="X167" s="10" t="str">
        <f t="array" ref="X167">IF(AND(A167&lt;&gt;"",OR(ISNUMBER(S167),ISNUMBER(T167))),SUM(S167,T167),"")</f>
        <v/>
      </c>
      <c r="Y167" s="13">
        <v>1</v>
      </c>
      <c r="Z167" s="13">
        <f>IF(A167&lt;&gt;"",SUM(U167:Y167),"")</f>
        <v>307</v>
      </c>
      <c r="AA167" s="27">
        <f>IF(A167&lt;&gt;"",(Z167+Normalize_To_Add)/(Point_Total_So_Far)*100,"")</f>
        <v>100.65573770491802</v>
      </c>
      <c r="AB167" s="10">
        <f>IF(A167&lt;&gt;"",RANK(AA167,All_Student_XC),"")</f>
        <v>72</v>
      </c>
      <c r="AC167" s="32" t="str">
        <f>IF(A167&lt;&gt;"",CHOOSE(10-MIN(9,TRUNC((AA167+0.5)/10)),"A","B","C","D","F","F","F","F","F","F"),"")</f>
        <v>A</v>
      </c>
      <c r="AD167" s="31" t="str">
        <f>IF(A167&lt;&gt;"",IF(OR(AA167+0.5&gt;=93,AA167+0.5&lt;60),"",IF(MOD(AA167+0.5,10)&gt;=7,"+",IF(MOD(AA167+0.5,10)&lt;3,"-",""))),"")</f>
        <v/>
      </c>
      <c r="AE167" s="32">
        <f>IF(A167&lt;&gt;"",SUM(W167:X167,$W$8:$X$8)/SUM($W$2:$X$2)*100,"")</f>
        <v>101</v>
      </c>
      <c r="AF167" s="32" t="str">
        <f>IF(A167&lt;&gt;"",CHOOSE(10-MIN(9,TRUNC((AE167+0.5)/10)),"A","B","C","D","F","F","F","F","F","F"),"")</f>
        <v>A</v>
      </c>
      <c r="AG167" s="32" t="str">
        <f>IF(A167&lt;&gt;"",IF(OR(AE167+0.5&gt;=93,AE167+0.5&lt;60),"",IF(MOD(AE167+0.5,10)&gt;=7,"+",IF(MOD(AE167+0.5,10)&lt;3,"-",""))),"")</f>
        <v/>
      </c>
      <c r="AH167" s="36">
        <f>IF(A167&lt;&gt;"",MIN(MAX(AA167,AE167),AA167+$AH$8,AE167+$AH$8),"")</f>
        <v>101</v>
      </c>
      <c r="AI167" s="32" t="str">
        <f>IF(A167&lt;&gt;"",CHOOSE(10-MIN(9,TRUNC((AH167+0.5)/10)),"A","B","C","D","F","F","F","F","F","F"),"")</f>
        <v>A</v>
      </c>
      <c r="AJ167" s="32" t="str">
        <f>IF(A167&lt;&gt;"",IF(OR(AH167+0.5&gt;=93,AH167+0.5&lt;60),"",IF(MOD(AH167+0.5,10)&gt;=7,"+",IF(MOD(AH167+0.5,10)&lt;3,"-",""))),"")</f>
        <v/>
      </c>
      <c r="AK167" s="71" t="b">
        <f>IF(A167&lt;&gt;"",OR(AI167&lt;&gt;AC167,AJ167&lt;&gt;AD167),"")</f>
        <v>0</v>
      </c>
      <c r="AL167" s="86">
        <f>IF(AND(A167&lt;&gt;"",U167&lt;&gt;""),SUM(U167,$AL$8)/$AL$2*100,"")</f>
        <v>100</v>
      </c>
      <c r="AM167" s="71">
        <f>IF(AND(A167&lt;&gt;"",V167&lt;&gt;""),SUM(V167,$AM$8)/$AM$2*100,"")</f>
        <v>100</v>
      </c>
      <c r="AN167" s="71">
        <f>IF(AND(A167&lt;&gt;"",ISNUMBER(P167),P167&gt;=0),SUM(P167,$AN$8)/$AN$2*100,"")</f>
        <v>101</v>
      </c>
      <c r="AO167" s="71" t="str">
        <f>IF(AND(A167&lt;&gt;"",ISNUMBER(Q167),Q167&gt;=0),SUM(Q167,$AO$8)/$AO$2*100,"")</f>
        <v/>
      </c>
      <c r="AP167" s="24" t="str">
        <f>IF(AND(A167&lt;&gt;"",R167&lt;&gt;""),SUM(R167,$AP$8)/$AP$2*100,"")</f>
        <v/>
      </c>
      <c r="AQ167" s="24">
        <f>IF(AND(A167&lt;&gt;"",ISNUMBER(W167),W167&gt;=0),SUM(W167,$AQ$8)/$AQ$2*100,"")</f>
        <v>101</v>
      </c>
      <c r="AR167" s="24" t="str">
        <f>IF(AND(A167&lt;&gt;"",T167&gt;0,ISNUMBER(T167)),SUM(T167,$AR$8)/$AR$2*100,"")</f>
        <v/>
      </c>
      <c r="AS167" s="24" t="str">
        <f>IF(AND(A167&lt;&gt;"",X167&lt;&gt;""),SUM(X167,$AS$8)/$AS$2*100,"")</f>
        <v/>
      </c>
      <c r="AT167" s="89">
        <f>IF(AND(A167&lt;&gt;"",OR(ISNUMBER(W167),ISNUMBER(X167))),SUM(W167:X167,$AT$8)/$AT$2*100,"")</f>
        <v>101</v>
      </c>
      <c r="AU167" s="24">
        <f>AA167</f>
        <v>100.65573770491802</v>
      </c>
      <c r="AV167" s="71"/>
      <c r="AW167" s="27">
        <f>IF(A167&lt;&gt;"",AE167-AA167,"")</f>
        <v>0.34426229508197537</v>
      </c>
      <c r="AY167" s="27" t="b">
        <f>S167&gt;R167</f>
        <v>0</v>
      </c>
      <c r="BA167" s="27" t="e">
        <f>AND(AA167&gt;$BA$3,(W167+$W$8)/$W$2&lt;$BB$3,(X167+$X$8)/$X$2&lt;$BB$3)</f>
        <v>#VALUE!</v>
      </c>
      <c r="BB167" s="27" t="e">
        <f>AND(AA167&lt;$BA$3,AND(W167/$W$2&gt;$BB$3,X167/$X$2&gt;$BB$3))</f>
        <v>#VALUE!</v>
      </c>
      <c r="BC167" s="27" t="e">
        <f>AND(AA167&lt;$BA$3,OR(W167/$W$2&gt;$BB$3,X167/$X$2&gt;$BB$3))</f>
        <v>#VALUE!</v>
      </c>
      <c r="BE167" s="32" t="s">
        <v>84</v>
      </c>
    </row>
    <row r="168" spans="1:57" s="27" customFormat="1" ht="12.75" customHeight="1" x14ac:dyDescent="0.2">
      <c r="A168" s="10">
        <v>322291</v>
      </c>
      <c r="B168" s="2">
        <v>22</v>
      </c>
      <c r="C168" s="10">
        <v>24</v>
      </c>
      <c r="D168" s="10">
        <v>25</v>
      </c>
      <c r="E168" s="10"/>
      <c r="F168" s="10"/>
      <c r="G168" s="10"/>
      <c r="H168" s="10"/>
      <c r="I168" s="10"/>
      <c r="J168" s="2">
        <v>29</v>
      </c>
      <c r="K168" s="10">
        <v>39</v>
      </c>
      <c r="L168" s="10">
        <v>50</v>
      </c>
      <c r="M168" s="10"/>
      <c r="N168" s="93"/>
      <c r="O168" s="13"/>
      <c r="P168" s="10">
        <v>100</v>
      </c>
      <c r="Q168" s="10"/>
      <c r="R168" s="2"/>
      <c r="S168" s="10"/>
      <c r="T168" s="13"/>
      <c r="U168" s="1">
        <f t="array" ref="U168">IF(AND(A168&lt;&gt;"",OR(ISNUMBER(B168:I168))),SUM(B168:I168),"")</f>
        <v>71</v>
      </c>
      <c r="V168" s="10">
        <f t="array" ref="V168">IF(AND(A168&lt;&gt;"",OR(ISNUMBER(J168:O168))),SUM(J168:O168),"")</f>
        <v>118</v>
      </c>
      <c r="W168" s="10">
        <f t="array" ref="W168">IF(AND(A168&lt;&gt;"",OR(ISNUMBER(P168),ISNUMBER(Q168))),SUM(MAX(P168:Q168),Q168),"")</f>
        <v>100</v>
      </c>
      <c r="X168" s="10" t="str">
        <f t="array" ref="X168">IF(AND(A168&lt;&gt;"",OR(ISNUMBER(S168),ISNUMBER(T168))),SUM(S168,T168),"")</f>
        <v/>
      </c>
      <c r="Y168" s="13">
        <v>1</v>
      </c>
      <c r="Z168" s="13">
        <f>IF(A168&lt;&gt;"",SUM(U168:Y168),"")</f>
        <v>290</v>
      </c>
      <c r="AA168" s="27">
        <f>IF(A168&lt;&gt;"",(Z168+Normalize_To_Add)/(Point_Total_So_Far)*100,"")</f>
        <v>95.081967213114751</v>
      </c>
      <c r="AB168" s="10">
        <f>IF(A168&lt;&gt;"",RANK(AA168,All_Student_XC),"")</f>
        <v>269</v>
      </c>
      <c r="AC168" s="32" t="str">
        <f>IF(A168&lt;&gt;"",CHOOSE(10-MIN(9,TRUNC((AA168+0.5)/10)),"A","B","C","D","F","F","F","F","F","F"),"")</f>
        <v>A</v>
      </c>
      <c r="AD168" s="31" t="str">
        <f>IF(A168&lt;&gt;"",IF(OR(AA168+0.5&gt;=93,AA168+0.5&lt;60),"",IF(MOD(AA168+0.5,10)&gt;=7,"+",IF(MOD(AA168+0.5,10)&lt;3,"-",""))),"")</f>
        <v/>
      </c>
      <c r="AE168" s="32">
        <f>IF(A168&lt;&gt;"",SUM(W168:X168,$W$8:$X$8)/SUM($W$2:$X$2)*100,"")</f>
        <v>100</v>
      </c>
      <c r="AF168" s="32" t="str">
        <f>IF(A168&lt;&gt;"",CHOOSE(10-MIN(9,TRUNC((AE168+0.5)/10)),"A","B","C","D","F","F","F","F","F","F"),"")</f>
        <v>A</v>
      </c>
      <c r="AG168" s="32" t="str">
        <f>IF(A168&lt;&gt;"",IF(OR(AE168+0.5&gt;=93,AE168+0.5&lt;60),"",IF(MOD(AE168+0.5,10)&gt;=7,"+",IF(MOD(AE168+0.5,10)&lt;3,"-",""))),"")</f>
        <v/>
      </c>
      <c r="AH168" s="36">
        <f>IF(A168&lt;&gt;"",MIN(MAX(AA168,AE168),AA168+$AH$8,AE168+$AH$8),"")</f>
        <v>100</v>
      </c>
      <c r="AI168" s="32" t="str">
        <f>IF(A168&lt;&gt;"",CHOOSE(10-MIN(9,TRUNC((AH168+0.5)/10)),"A","B","C","D","F","F","F","F","F","F"),"")</f>
        <v>A</v>
      </c>
      <c r="AJ168" s="32" t="str">
        <f>IF(A168&lt;&gt;"",IF(OR(AH168+0.5&gt;=93,AH168+0.5&lt;60),"",IF(MOD(AH168+0.5,10)&gt;=7,"+",IF(MOD(AH168+0.5,10)&lt;3,"-",""))),"")</f>
        <v/>
      </c>
      <c r="AK168" s="71" t="b">
        <f>IF(A168&lt;&gt;"",OR(AI168&lt;&gt;AC168,AJ168&lt;&gt;AD168),"")</f>
        <v>0</v>
      </c>
      <c r="AL168" s="86">
        <f>IF(AND(A168&lt;&gt;"",U168&lt;&gt;""),SUM(U168,$AL$8)/$AL$2*100,"")</f>
        <v>94.666666666666671</v>
      </c>
      <c r="AM168" s="71">
        <f>IF(AND(A168&lt;&gt;"",V168&lt;&gt;""),SUM(V168,$AM$8)/$AM$2*100,"")</f>
        <v>90.769230769230774</v>
      </c>
      <c r="AN168" s="71">
        <f>IF(AND(A168&lt;&gt;"",ISNUMBER(P168),P168&gt;=0),SUM(P168,$AN$8)/$AN$2*100,"")</f>
        <v>100</v>
      </c>
      <c r="AO168" s="71" t="str">
        <f>IF(AND(A168&lt;&gt;"",ISNUMBER(Q168),Q168&gt;=0),SUM(Q168,$AO$8)/$AO$2*100,"")</f>
        <v/>
      </c>
      <c r="AP168" s="24" t="str">
        <f>IF(AND(A168&lt;&gt;"",R168&lt;&gt;""),SUM(R168,$AP$8)/$AP$2*100,"")</f>
        <v/>
      </c>
      <c r="AQ168" s="24">
        <f>IF(AND(A168&lt;&gt;"",ISNUMBER(W168),W168&gt;=0),SUM(W168,$AQ$8)/$AQ$2*100,"")</f>
        <v>100</v>
      </c>
      <c r="AR168" s="24" t="str">
        <f>IF(AND(A168&lt;&gt;"",T168&gt;0,ISNUMBER(T168)),SUM(T168,$AR$8)/$AR$2*100,"")</f>
        <v/>
      </c>
      <c r="AS168" s="24" t="str">
        <f>IF(AND(A168&lt;&gt;"",X168&lt;&gt;""),SUM(X168,$AS$8)/$AS$2*100,"")</f>
        <v/>
      </c>
      <c r="AT168" s="89">
        <f>IF(AND(A168&lt;&gt;"",OR(ISNUMBER(W168),ISNUMBER(X168))),SUM(W168:X168,$AT$8)/$AT$2*100,"")</f>
        <v>100</v>
      </c>
      <c r="AU168" s="24">
        <f>AA168</f>
        <v>95.081967213114751</v>
      </c>
      <c r="AV168" s="71"/>
      <c r="AW168" s="27">
        <f>IF(A168&lt;&gt;"",AE168-AA168,"")</f>
        <v>4.9180327868852487</v>
      </c>
      <c r="AY168" s="27" t="b">
        <f>S168&gt;R168</f>
        <v>0</v>
      </c>
      <c r="BA168" s="27" t="e">
        <f>AND(AA168&gt;$BA$3,(W168+$W$8)/$W$2&lt;$BB$3,(X168+$X$8)/$X$2&lt;$BB$3)</f>
        <v>#VALUE!</v>
      </c>
      <c r="BB168" s="27" t="e">
        <f>AND(AA168&lt;$BA$3,AND(W168/$W$2&gt;$BB$3,X168/$X$2&gt;$BB$3))</f>
        <v>#VALUE!</v>
      </c>
      <c r="BC168" s="27" t="e">
        <f>AND(AA168&lt;$BA$3,OR(W168/$W$2&gt;$BB$3,X168/$X$2&gt;$BB$3))</f>
        <v>#VALUE!</v>
      </c>
      <c r="BE168" s="32" t="s">
        <v>84</v>
      </c>
    </row>
    <row r="169" spans="1:57" s="27" customFormat="1" ht="12.75" customHeight="1" x14ac:dyDescent="0.2">
      <c r="A169" s="10">
        <v>322868</v>
      </c>
      <c r="B169" s="2">
        <v>23</v>
      </c>
      <c r="C169" s="10">
        <v>23</v>
      </c>
      <c r="D169" s="10">
        <v>22</v>
      </c>
      <c r="E169" s="56"/>
      <c r="F169" s="10"/>
      <c r="G169" s="3"/>
      <c r="H169" s="10"/>
      <c r="I169" s="10"/>
      <c r="J169" s="2">
        <v>28</v>
      </c>
      <c r="K169" s="10">
        <v>10</v>
      </c>
      <c r="L169" s="10">
        <v>1</v>
      </c>
      <c r="M169" s="10"/>
      <c r="N169" s="10"/>
      <c r="O169" s="12"/>
      <c r="P169" s="41">
        <v>80</v>
      </c>
      <c r="Q169" s="41"/>
      <c r="R169" s="2"/>
      <c r="S169" s="10"/>
      <c r="T169" s="13"/>
      <c r="U169" s="77">
        <f t="array" ref="U169">IF(AND(A169&lt;&gt;"",OR(ISNUMBER(B169:I169))),SUM(B169:I169),"")</f>
        <v>68</v>
      </c>
      <c r="V169" s="10">
        <f t="array" ref="V169">IF(AND(A169&lt;&gt;"",OR(ISNUMBER(J169:O169))),SUM(J169:O169),"")</f>
        <v>39</v>
      </c>
      <c r="W169" s="10">
        <f t="array" ref="W169">IF(AND(A169&lt;&gt;"",OR(ISNUMBER(P169),ISNUMBER(Q169))),SUM(MAX(P169:Q169),Q169),"")</f>
        <v>80</v>
      </c>
      <c r="X169" s="10" t="str">
        <f t="array" ref="X169">IF(AND(A169&lt;&gt;"",OR(ISNUMBER(S169),ISNUMBER(T169))),SUM(S169,T169),"")</f>
        <v/>
      </c>
      <c r="Y169" s="13">
        <v>1</v>
      </c>
      <c r="Z169" s="13">
        <f>IF(A169&lt;&gt;"",SUM(U169:Y169),"")</f>
        <v>188</v>
      </c>
      <c r="AA169" s="27">
        <f>IF(A169&lt;&gt;"",(Z169+Normalize_To_Add)/(Point_Total_So_Far)*100,"")</f>
        <v>61.639344262295083</v>
      </c>
      <c r="AB169" s="10">
        <f>IF(A169&lt;&gt;"",RANK(AA169,All_Student_XC),"")</f>
        <v>473</v>
      </c>
      <c r="AC169" s="32" t="str">
        <f>IF(A169&lt;&gt;"",CHOOSE(10-MIN(9,TRUNC((AA169+0.5)/10)),"A","B","C","D","F","F","F","F","F","F"),"")</f>
        <v>D</v>
      </c>
      <c r="AD169" s="32" t="str">
        <f>IF(A169&lt;&gt;"",IF(OR(AA169+0.5&gt;=93,AA169+0.5&lt;60),"",IF(MOD(AA169+0.5,10)&gt;=7,"+",IF(MOD(AA169+0.5,10)&lt;3,"-",""))),"")</f>
        <v>-</v>
      </c>
      <c r="AE169" s="32">
        <f>IF(A169&lt;&gt;"",SUM(W169:X169,$W$8:$X$8)/SUM($W$2:$X$2)*100,"")</f>
        <v>80</v>
      </c>
      <c r="AF169" s="32" t="str">
        <f>IF(A169&lt;&gt;"",CHOOSE(10-MIN(9,TRUNC((AE169+0.5)/10)),"A","B","C","D","F","F","F","F","F","F"),"")</f>
        <v>B</v>
      </c>
      <c r="AG169" s="32" t="str">
        <f>IF(A169&lt;&gt;"",IF(OR(AE169+0.5&gt;=93,AE169+0.5&lt;60),"",IF(MOD(AE169+0.5,10)&gt;=7,"+",IF(MOD(AE169+0.5,10)&lt;3,"-",""))),"")</f>
        <v>-</v>
      </c>
      <c r="AH169" s="36">
        <f>IF(A169&lt;&gt;"",MIN(MAX(AA169,AE169),AA169+$AH$8,AE169+$AH$8),"")</f>
        <v>80</v>
      </c>
      <c r="AI169" s="32" t="str">
        <f>IF(A169&lt;&gt;"",CHOOSE(10-MIN(9,TRUNC((AH169+0.5)/10)),"A","B","C","D","F","F","F","F","F","F"),"")</f>
        <v>B</v>
      </c>
      <c r="AJ169" s="32" t="str">
        <f>IF(A169&lt;&gt;"",IF(OR(AH169+0.5&gt;=93,AH169+0.5&lt;60),"",IF(MOD(AH169+0.5,10)&gt;=7,"+",IF(MOD(AH169+0.5,10)&lt;3,"-",""))),"")</f>
        <v>-</v>
      </c>
      <c r="AK169" s="32" t="b">
        <f>IF(A169&lt;&gt;"",OR(AI169&lt;&gt;AC169,AJ169&lt;&gt;AD169),"")</f>
        <v>1</v>
      </c>
      <c r="AL169" s="84">
        <f>IF(AND(A169&lt;&gt;"",U169&lt;&gt;""),SUM(U169,$AL$8)/$AL$2*100,"")</f>
        <v>90.666666666666657</v>
      </c>
      <c r="AM169" s="24">
        <f>IF(AND(A169&lt;&gt;"",V169&lt;&gt;""),SUM(V169,$AM$8)/$AM$2*100,"")</f>
        <v>30</v>
      </c>
      <c r="AN169" s="24">
        <f>IF(AND(A169&lt;&gt;"",ISNUMBER(P169),P169&gt;=0),SUM(P169,$AN$8)/$AN$2*100,"")</f>
        <v>80</v>
      </c>
      <c r="AO169" s="24" t="str">
        <f>IF(AND(A169&lt;&gt;"",ISNUMBER(Q169),Q169&gt;=0),SUM(Q169,$AO$8)/$AO$2*100,"")</f>
        <v/>
      </c>
      <c r="AP169" s="24" t="str">
        <f>IF(AND(A169&lt;&gt;"",R169&lt;&gt;""),SUM(R169,$AP$8)/$AP$2*100,"")</f>
        <v/>
      </c>
      <c r="AQ169" s="24">
        <f>IF(AND(A169&lt;&gt;"",ISNUMBER(W169),W169&gt;=0),SUM(W169,$AQ$8)/$AQ$2*100,"")</f>
        <v>80</v>
      </c>
      <c r="AR169" s="24" t="str">
        <f>IF(AND(A169&lt;&gt;"",T169&gt;0,ISNUMBER(T169)),SUM(T169,$AR$8)/$AR$2*100,"")</f>
        <v/>
      </c>
      <c r="AS169" s="24" t="str">
        <f>IF(AND(A169&lt;&gt;"",X169&lt;&gt;""),SUM(X169,$AS$8)/$AS$2*100,"")</f>
        <v/>
      </c>
      <c r="AT169" s="89">
        <f>IF(AND(A169&lt;&gt;"",OR(ISNUMBER(W169),ISNUMBER(X169))),SUM(W169:X169,$AT$8)/$AT$2*100,"")</f>
        <v>80</v>
      </c>
      <c r="AU169" s="24">
        <f>AA169</f>
        <v>61.639344262295083</v>
      </c>
      <c r="AV169" s="24"/>
      <c r="AW169" s="27">
        <f>IF(A169&lt;&gt;"",AE169-AA169,"")</f>
        <v>18.360655737704917</v>
      </c>
      <c r="AY169" s="27" t="b">
        <f>S169&gt;R169</f>
        <v>0</v>
      </c>
      <c r="BA169" s="27" t="e">
        <f>AND(AA169&gt;$BA$3,(W169+$W$8)/$W$2&lt;$BB$3,(X169+$X$8)/$X$2&lt;$BB$3)</f>
        <v>#VALUE!</v>
      </c>
      <c r="BB169" s="27" t="e">
        <f>AND(AA169&lt;$BA$3,AND(W169/$W$2&gt;$BB$3,X169/$X$2&gt;$BB$3))</f>
        <v>#VALUE!</v>
      </c>
      <c r="BC169" s="27" t="e">
        <f>AND(AA169&lt;$BA$3,OR(W169/$W$2&gt;$BB$3,X169/$X$2&gt;$BB$3))</f>
        <v>#VALUE!</v>
      </c>
      <c r="BE169" s="32">
        <v>32</v>
      </c>
    </row>
    <row r="170" spans="1:57" s="27" customFormat="1" ht="12.75" customHeight="1" x14ac:dyDescent="0.2">
      <c r="A170" s="10">
        <v>324224</v>
      </c>
      <c r="B170" s="2">
        <v>15</v>
      </c>
      <c r="C170" s="10">
        <v>14</v>
      </c>
      <c r="D170" s="10">
        <v>18</v>
      </c>
      <c r="E170" s="10"/>
      <c r="F170" s="10"/>
      <c r="G170" s="3"/>
      <c r="H170" s="10"/>
      <c r="I170" s="10"/>
      <c r="J170" s="2">
        <v>27</v>
      </c>
      <c r="K170" s="10">
        <v>33</v>
      </c>
      <c r="L170" s="10">
        <v>31</v>
      </c>
      <c r="M170" s="10"/>
      <c r="N170" s="10"/>
      <c r="O170" s="12"/>
      <c r="P170" s="41">
        <v>101</v>
      </c>
      <c r="Q170" s="41"/>
      <c r="R170" s="2"/>
      <c r="S170" s="10"/>
      <c r="T170" s="13"/>
      <c r="U170" s="1">
        <f t="array" ref="U170">IF(AND(A170&lt;&gt;"",OR(ISNUMBER(B170:I170))),SUM(B170:I170),"")</f>
        <v>47</v>
      </c>
      <c r="V170" s="10">
        <f t="array" ref="V170">IF(AND(A170&lt;&gt;"",OR(ISNUMBER(J170:O170))),SUM(J170:O170),"")</f>
        <v>91</v>
      </c>
      <c r="W170" s="10">
        <f t="array" ref="W170">IF(AND(A170&lt;&gt;"",OR(ISNUMBER(P170),ISNUMBER(Q170))),SUM(MAX(P170:Q170),Q170),"")</f>
        <v>101</v>
      </c>
      <c r="X170" s="10" t="str">
        <f t="array" ref="X170">IF(AND(A170&lt;&gt;"",OR(ISNUMBER(S170),ISNUMBER(T170))),SUM(S170,T170),"")</f>
        <v/>
      </c>
      <c r="Y170" s="13">
        <v>1</v>
      </c>
      <c r="Z170" s="13">
        <f>IF(A170&lt;&gt;"",SUM(U170:Y170),"")</f>
        <v>240</v>
      </c>
      <c r="AA170" s="27">
        <f>IF(A170&lt;&gt;"",(Z170+Normalize_To_Add)/(Point_Total_So_Far)*100,"")</f>
        <v>78.688524590163937</v>
      </c>
      <c r="AB170" s="10">
        <f>IF(A170&lt;&gt;"",RANK(AA170,All_Student_XC),"")</f>
        <v>418</v>
      </c>
      <c r="AC170" s="32" t="str">
        <f>IF(A170&lt;&gt;"",CHOOSE(10-MIN(9,TRUNC((AA170+0.5)/10)),"A","B","C","D","F","F","F","F","F","F"),"")</f>
        <v>C</v>
      </c>
      <c r="AD170" s="32" t="str">
        <f>IF(A170&lt;&gt;"",IF(OR(AA170+0.5&gt;=93,AA170+0.5&lt;60),"",IF(MOD(AA170+0.5,10)&gt;=7,"+",IF(MOD(AA170+0.5,10)&lt;3,"-",""))),"")</f>
        <v>+</v>
      </c>
      <c r="AE170" s="32">
        <f>IF(A170&lt;&gt;"",SUM(W170:X170,$W$8:$X$8)/SUM($W$2:$X$2)*100,"")</f>
        <v>101</v>
      </c>
      <c r="AF170" s="32" t="str">
        <f>IF(A170&lt;&gt;"",CHOOSE(10-MIN(9,TRUNC((AE170+0.5)/10)),"A","B","C","D","F","F","F","F","F","F"),"")</f>
        <v>A</v>
      </c>
      <c r="AG170" s="32" t="str">
        <f>IF(A170&lt;&gt;"",IF(OR(AE170+0.5&gt;=93,AE170+0.5&lt;60),"",IF(MOD(AE170+0.5,10)&gt;=7,"+",IF(MOD(AE170+0.5,10)&lt;3,"-",""))),"")</f>
        <v/>
      </c>
      <c r="AH170" s="36">
        <f>IF(A170&lt;&gt;"",MIN(MAX(AA170,AE170),AA170+$AH$8,AE170+$AH$8),"")</f>
        <v>101</v>
      </c>
      <c r="AI170" s="32" t="str">
        <f>IF(A170&lt;&gt;"",CHOOSE(10-MIN(9,TRUNC((AH170+0.5)/10)),"A","B","C","D","F","F","F","F","F","F"),"")</f>
        <v>A</v>
      </c>
      <c r="AJ170" s="32" t="str">
        <f>IF(A170&lt;&gt;"",IF(OR(AH170+0.5&gt;=93,AH170+0.5&lt;60),"",IF(MOD(AH170+0.5,10)&gt;=7,"+",IF(MOD(AH170+0.5,10)&lt;3,"-",""))),"")</f>
        <v/>
      </c>
      <c r="AK170" s="32" t="b">
        <f>IF(A170&lt;&gt;"",OR(AI170&lt;&gt;AC170,AJ170&lt;&gt;AD170),"")</f>
        <v>1</v>
      </c>
      <c r="AL170" s="84">
        <f>IF(AND(A170&lt;&gt;"",U170&lt;&gt;""),SUM(U170,$AL$8)/$AL$2*100,"")</f>
        <v>62.666666666666671</v>
      </c>
      <c r="AM170" s="24">
        <f>IF(AND(A170&lt;&gt;"",V170&lt;&gt;""),SUM(V170,$AM$8)/$AM$2*100,"")</f>
        <v>70</v>
      </c>
      <c r="AN170" s="24">
        <f>IF(AND(A170&lt;&gt;"",ISNUMBER(P170),P170&gt;=0),SUM(P170,$AN$8)/$AN$2*100,"")</f>
        <v>101</v>
      </c>
      <c r="AO170" s="24" t="str">
        <f>IF(AND(A170&lt;&gt;"",ISNUMBER(Q170),Q170&gt;=0),SUM(Q170,$AO$8)/$AO$2*100,"")</f>
        <v/>
      </c>
      <c r="AP170" s="24" t="str">
        <f>IF(AND(A170&lt;&gt;"",R170&lt;&gt;""),SUM(R170,$AP$8)/$AP$2*100,"")</f>
        <v/>
      </c>
      <c r="AQ170" s="24">
        <f>IF(AND(A170&lt;&gt;"",ISNUMBER(W170),W170&gt;=0),SUM(W170,$AQ$8)/$AQ$2*100,"")</f>
        <v>101</v>
      </c>
      <c r="AR170" s="24" t="str">
        <f>IF(AND(A170&lt;&gt;"",T170&gt;0,ISNUMBER(T170)),SUM(T170,$AR$8)/$AR$2*100,"")</f>
        <v/>
      </c>
      <c r="AS170" s="24" t="str">
        <f>IF(AND(A170&lt;&gt;"",X170&lt;&gt;""),SUM(X170,$AS$8)/$AS$2*100,"")</f>
        <v/>
      </c>
      <c r="AT170" s="89">
        <f>IF(AND(A170&lt;&gt;"",OR(ISNUMBER(W170),ISNUMBER(X170))),SUM(W170:X170,$AT$8)/$AT$2*100,"")</f>
        <v>101</v>
      </c>
      <c r="AU170" s="24">
        <f>AA170</f>
        <v>78.688524590163937</v>
      </c>
      <c r="AV170" s="24"/>
      <c r="AW170" s="27">
        <f>IF(A170&lt;&gt;"",AE170-AA170,"")</f>
        <v>22.311475409836063</v>
      </c>
      <c r="AY170" s="27" t="b">
        <f>S170&gt;R170</f>
        <v>0</v>
      </c>
      <c r="BA170" s="27" t="e">
        <f>AND(AA170&gt;$BA$3,(W170+$W$8)/$W$2&lt;$BB$3,(X170+$X$8)/$X$2&lt;$BB$3)</f>
        <v>#VALUE!</v>
      </c>
      <c r="BB170" s="27" t="e">
        <f>AND(AA170&lt;$BA$3,AND(W170/$W$2&gt;$BB$3,X170/$X$2&gt;$BB$3))</f>
        <v>#VALUE!</v>
      </c>
      <c r="BC170" s="27" t="e">
        <f>AND(AA170&lt;$BA$3,OR(W170/$W$2&gt;$BB$3,X170/$X$2&gt;$BB$3))</f>
        <v>#VALUE!</v>
      </c>
      <c r="BE170" s="32">
        <v>32</v>
      </c>
    </row>
    <row r="171" spans="1:57" s="27" customFormat="1" ht="12.75" customHeight="1" x14ac:dyDescent="0.2">
      <c r="A171" s="10">
        <v>326428</v>
      </c>
      <c r="B171" s="2">
        <v>23</v>
      </c>
      <c r="C171" s="10">
        <v>19</v>
      </c>
      <c r="D171" s="10">
        <v>25</v>
      </c>
      <c r="E171" s="10"/>
      <c r="F171" s="10"/>
      <c r="G171" s="10"/>
      <c r="H171" s="10"/>
      <c r="I171" s="10"/>
      <c r="J171" s="2">
        <v>28</v>
      </c>
      <c r="K171" s="10">
        <v>50</v>
      </c>
      <c r="L171" s="10">
        <v>50</v>
      </c>
      <c r="M171" s="10"/>
      <c r="N171" s="10"/>
      <c r="O171" s="12"/>
      <c r="P171" s="41">
        <v>101</v>
      </c>
      <c r="Q171" s="41"/>
      <c r="R171" s="2"/>
      <c r="S171" s="10"/>
      <c r="T171" s="13"/>
      <c r="U171" s="1">
        <f t="array" ref="U171">IF(AND(A171&lt;&gt;"",OR(ISNUMBER(B171:I171))),SUM(B171:I171),"")</f>
        <v>67</v>
      </c>
      <c r="V171" s="10">
        <f t="array" ref="V171">IF(AND(A171&lt;&gt;"",OR(ISNUMBER(J171:O171))),SUM(J171:O171),"")</f>
        <v>128</v>
      </c>
      <c r="W171" s="10">
        <f t="array" ref="W171">IF(AND(A171&lt;&gt;"",OR(ISNUMBER(P171),ISNUMBER(Q171))),SUM(MAX(P171:Q171),Q171),"")</f>
        <v>101</v>
      </c>
      <c r="X171" s="10" t="str">
        <f t="array" ref="X171">IF(AND(A171&lt;&gt;"",OR(ISNUMBER(S171),ISNUMBER(T171))),SUM(S171,T171),"")</f>
        <v/>
      </c>
      <c r="Y171" s="13">
        <v>1</v>
      </c>
      <c r="Z171" s="13">
        <f>IF(A171&lt;&gt;"",SUM(U171:Y171),"")</f>
        <v>297</v>
      </c>
      <c r="AA171" s="27">
        <f>IF(A171&lt;&gt;"",(Z171+Normalize_To_Add)/(Point_Total_So_Far)*100,"")</f>
        <v>97.377049180327873</v>
      </c>
      <c r="AB171" s="10">
        <f>IF(A171&lt;&gt;"",RANK(AA171,All_Student_XC),"")</f>
        <v>224</v>
      </c>
      <c r="AC171" s="32" t="str">
        <f>IF(A171&lt;&gt;"",CHOOSE(10-MIN(9,TRUNC((AA171+0.5)/10)),"A","B","C","D","F","F","F","F","F","F"),"")</f>
        <v>A</v>
      </c>
      <c r="AD171" s="32" t="str">
        <f>IF(A171&lt;&gt;"",IF(OR(AA171+0.5&gt;=93,AA171+0.5&lt;60),"",IF(MOD(AA171+0.5,10)&gt;=7,"+",IF(MOD(AA171+0.5,10)&lt;3,"-",""))),"")</f>
        <v/>
      </c>
      <c r="AE171" s="32">
        <f>IF(A171&lt;&gt;"",SUM(W171:X171,$W$8:$X$8)/SUM($W$2:$X$2)*100,"")</f>
        <v>101</v>
      </c>
      <c r="AF171" s="32" t="str">
        <f>IF(A171&lt;&gt;"",CHOOSE(10-MIN(9,TRUNC((AE171+0.5)/10)),"A","B","C","D","F","F","F","F","F","F"),"")</f>
        <v>A</v>
      </c>
      <c r="AG171" s="32" t="str">
        <f>IF(A171&lt;&gt;"",IF(OR(AE171+0.5&gt;=93,AE171+0.5&lt;60),"",IF(MOD(AE171+0.5,10)&gt;=7,"+",IF(MOD(AE171+0.5,10)&lt;3,"-",""))),"")</f>
        <v/>
      </c>
      <c r="AH171" s="36">
        <f>IF(A171&lt;&gt;"",MIN(MAX(AA171,AE171),AA171+$AH$8,AE171+$AH$8),"")</f>
        <v>101</v>
      </c>
      <c r="AI171" s="32" t="str">
        <f>IF(A171&lt;&gt;"",CHOOSE(10-MIN(9,TRUNC((AH171+0.5)/10)),"A","B","C","D","F","F","F","F","F","F"),"")</f>
        <v>A</v>
      </c>
      <c r="AJ171" s="32" t="str">
        <f>IF(A171&lt;&gt;"",IF(OR(AH171+0.5&gt;=93,AH171+0.5&lt;60),"",IF(MOD(AH171+0.5,10)&gt;=7,"+",IF(MOD(AH171+0.5,10)&lt;3,"-",""))),"")</f>
        <v/>
      </c>
      <c r="AK171" s="32" t="b">
        <f>IF(A171&lt;&gt;"",OR(AI171&lt;&gt;AC171,AJ171&lt;&gt;AD171),"")</f>
        <v>0</v>
      </c>
      <c r="AL171" s="84">
        <f>IF(AND(A171&lt;&gt;"",U171&lt;&gt;""),SUM(U171,$AL$8)/$AL$2*100,"")</f>
        <v>89.333333333333329</v>
      </c>
      <c r="AM171" s="24">
        <f>IF(AND(A171&lt;&gt;"",V171&lt;&gt;""),SUM(V171,$AM$8)/$AM$2*100,"")</f>
        <v>98.461538461538467</v>
      </c>
      <c r="AN171" s="24">
        <f>IF(AND(A171&lt;&gt;"",ISNUMBER(P171),P171&gt;=0),SUM(P171,$AN$8)/$AN$2*100,"")</f>
        <v>101</v>
      </c>
      <c r="AO171" s="24" t="str">
        <f>IF(AND(A171&lt;&gt;"",ISNUMBER(Q171),Q171&gt;=0),SUM(Q171,$AO$8)/$AO$2*100,"")</f>
        <v/>
      </c>
      <c r="AP171" s="24" t="str">
        <f>IF(AND(A171&lt;&gt;"",R171&lt;&gt;""),SUM(R171,$AP$8)/$AP$2*100,"")</f>
        <v/>
      </c>
      <c r="AQ171" s="24">
        <f>IF(AND(A171&lt;&gt;"",ISNUMBER(W171),W171&gt;=0),SUM(W171,$AQ$8)/$AQ$2*100,"")</f>
        <v>101</v>
      </c>
      <c r="AR171" s="24" t="str">
        <f>IF(AND(A171&lt;&gt;"",T171&gt;0,ISNUMBER(T171)),SUM(T171,$AR$8)/$AR$2*100,"")</f>
        <v/>
      </c>
      <c r="AS171" s="24" t="str">
        <f>IF(AND(A171&lt;&gt;"",X171&lt;&gt;""),SUM(X171,$AS$8)/$AS$2*100,"")</f>
        <v/>
      </c>
      <c r="AT171" s="89">
        <f>IF(AND(A171&lt;&gt;"",OR(ISNUMBER(W171),ISNUMBER(X171))),SUM(W171:X171,$AT$8)/$AT$2*100,"")</f>
        <v>101</v>
      </c>
      <c r="AU171" s="24">
        <f>AA171</f>
        <v>97.377049180327873</v>
      </c>
      <c r="AV171" s="24"/>
      <c r="AW171" s="27">
        <f>IF(A171&lt;&gt;"",AE171-AA171,"")</f>
        <v>3.622950819672127</v>
      </c>
      <c r="AY171" s="27" t="b">
        <f>S171&gt;R171</f>
        <v>0</v>
      </c>
      <c r="BA171" s="27" t="e">
        <f>AND(AA171&gt;$BA$3,(W171+$W$8)/$W$2&lt;$BB$3,(X171+$X$8)/$X$2&lt;$BB$3)</f>
        <v>#VALUE!</v>
      </c>
      <c r="BB171" s="27" t="e">
        <f>AND(AA171&lt;$BA$3,AND(W171/$W$2&gt;$BB$3,X171/$X$2&gt;$BB$3))</f>
        <v>#VALUE!</v>
      </c>
      <c r="BC171" s="27" t="e">
        <f>AND(AA171&lt;$BA$3,OR(W171/$W$2&gt;$BB$3,X171/$X$2&gt;$BB$3))</f>
        <v>#VALUE!</v>
      </c>
      <c r="BE171" s="32" t="s">
        <v>84</v>
      </c>
    </row>
    <row r="172" spans="1:57" s="27" customFormat="1" ht="12.75" customHeight="1" x14ac:dyDescent="0.2">
      <c r="A172" s="10">
        <v>328092</v>
      </c>
      <c r="B172" s="2">
        <v>22</v>
      </c>
      <c r="C172" s="10">
        <v>24</v>
      </c>
      <c r="D172" s="10">
        <v>25</v>
      </c>
      <c r="E172" s="10"/>
      <c r="F172" s="10"/>
      <c r="G172" s="3"/>
      <c r="H172" s="10"/>
      <c r="I172" s="10"/>
      <c r="J172" s="2">
        <v>31</v>
      </c>
      <c r="K172" s="10">
        <v>51</v>
      </c>
      <c r="L172" s="10">
        <v>50</v>
      </c>
      <c r="M172" s="10"/>
      <c r="N172" s="10"/>
      <c r="O172" s="12"/>
      <c r="P172" s="41">
        <v>101</v>
      </c>
      <c r="Q172" s="41"/>
      <c r="R172" s="2"/>
      <c r="S172" s="10"/>
      <c r="T172" s="13"/>
      <c r="U172" s="1">
        <f t="array" ref="U172">IF(AND(A172&lt;&gt;"",OR(ISNUMBER(B172:I172))),SUM(B172:I172),"")</f>
        <v>71</v>
      </c>
      <c r="V172" s="10">
        <f t="array" ref="V172">IF(AND(A172&lt;&gt;"",OR(ISNUMBER(J172:O172))),SUM(J172:O172),"")</f>
        <v>132</v>
      </c>
      <c r="W172" s="10">
        <f t="array" ref="W172">IF(AND(A172&lt;&gt;"",OR(ISNUMBER(P172),ISNUMBER(Q172))),SUM(MAX(P172:Q172),Q172),"")</f>
        <v>101</v>
      </c>
      <c r="X172" s="10" t="str">
        <f t="array" ref="X172">IF(AND(A172&lt;&gt;"",OR(ISNUMBER(S172),ISNUMBER(T172))),SUM(S172,T172),"")</f>
        <v/>
      </c>
      <c r="Y172" s="13">
        <v>1</v>
      </c>
      <c r="Z172" s="13">
        <f>IF(A172&lt;&gt;"",SUM(U172:Y172),"")</f>
        <v>305</v>
      </c>
      <c r="AA172" s="27">
        <f>IF(A172&lt;&gt;"",(Z172+Normalize_To_Add)/(Point_Total_So_Far)*100,"")</f>
        <v>100</v>
      </c>
      <c r="AB172" s="10">
        <f>IF(A172&lt;&gt;"",RANK(AA172,All_Student_XC),"")</f>
        <v>109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>
        <f>IF(A172&lt;&gt;"",SUM(W172:X172,$W$8:$X$8)/SUM($W$2:$X$2)*100,"")</f>
        <v>101</v>
      </c>
      <c r="AF172" s="32" t="str">
        <f>IF(A172&lt;&gt;"",CHOOSE(10-MIN(9,TRUNC((AE172+0.5)/10)),"A","B","C","D","F","F","F","F","F","F"),"")</f>
        <v>A</v>
      </c>
      <c r="AG172" s="32" t="str">
        <f>IF(A172&lt;&gt;"",IF(OR(AE172+0.5&gt;=93,AE172+0.5&lt;60),"",IF(MOD(AE172+0.5,10)&gt;=7,"+",IF(MOD(AE172+0.5,10)&lt;3,"-",""))),"")</f>
        <v/>
      </c>
      <c r="AH172" s="36">
        <f>IF(A172&lt;&gt;"",MIN(MAX(AA172,AE172),AA172+$AH$8,AE172+$AH$8),"")</f>
        <v>101</v>
      </c>
      <c r="AI172" s="32" t="str">
        <f>IF(A172&lt;&gt;"",CHOOSE(10-MIN(9,TRUNC((AH172+0.5)/10)),"A","B","C","D","F","F","F","F","F","F"),"")</f>
        <v>A</v>
      </c>
      <c r="AJ172" s="32" t="str">
        <f>IF(A172&lt;&gt;"",IF(OR(AH172+0.5&gt;=93,AH172+0.5&lt;60),"",IF(MOD(AH172+0.5,10)&gt;=7,"+",IF(MOD(AH172+0.5,10)&lt;3,"-",""))),"")</f>
        <v/>
      </c>
      <c r="AK172" s="32" t="b">
        <f>IF(A172&lt;&gt;"",OR(AI172&lt;&gt;AC172,AJ172&lt;&gt;AD172),"")</f>
        <v>0</v>
      </c>
      <c r="AL172" s="84">
        <f>IF(AND(A172&lt;&gt;"",U172&lt;&gt;""),SUM(U172,$AL$8)/$AL$2*100,"")</f>
        <v>94.666666666666671</v>
      </c>
      <c r="AM172" s="24">
        <f>IF(AND(A172&lt;&gt;"",V172&lt;&gt;""),SUM(V172,$AM$8)/$AM$2*100,"")</f>
        <v>101.53846153846153</v>
      </c>
      <c r="AN172" s="24">
        <f>IF(AND(A172&lt;&gt;"",ISNUMBER(P172),P172&gt;=0),SUM(P172,$AN$8)/$AN$2*100,"")</f>
        <v>101</v>
      </c>
      <c r="AO172" s="24" t="str">
        <f>IF(AND(A172&lt;&gt;"",ISNUMBER(Q172),Q172&gt;=0),SUM(Q172,$AO$8)/$AO$2*100,"")</f>
        <v/>
      </c>
      <c r="AP172" s="24" t="str">
        <f>IF(AND(A172&lt;&gt;"",R172&lt;&gt;""),SUM(R172,$AP$8)/$AP$2*100,"")</f>
        <v/>
      </c>
      <c r="AQ172" s="24">
        <f>IF(AND(A172&lt;&gt;"",ISNUMBER(W172),W172&gt;=0),SUM(W172,$AQ$8)/$AQ$2*100,"")</f>
        <v>101</v>
      </c>
      <c r="AR172" s="24" t="str">
        <f>IF(AND(A172&lt;&gt;"",T172&gt;0,ISNUMBER(T172)),SUM(T172,$AR$8)/$AR$2*100,"")</f>
        <v/>
      </c>
      <c r="AS172" s="24" t="str">
        <f>IF(AND(A172&lt;&gt;"",X172&lt;&gt;""),SUM(X172,$AS$8)/$AS$2*100,"")</f>
        <v/>
      </c>
      <c r="AT172" s="89">
        <f>IF(AND(A172&lt;&gt;"",OR(ISNUMBER(W172),ISNUMBER(X172))),SUM(W172:X172,$AT$8)/$AT$2*100,"")</f>
        <v>101</v>
      </c>
      <c r="AU172" s="24">
        <f>AA172</f>
        <v>100</v>
      </c>
      <c r="AV172" s="24"/>
      <c r="AW172" s="27">
        <f>IF(A172&lt;&gt;"",AE172-AA172,"")</f>
        <v>1</v>
      </c>
      <c r="AY172" s="27" t="b">
        <f>S172&gt;R172</f>
        <v>0</v>
      </c>
      <c r="BA172" s="27" t="e">
        <f>AND(AA172&gt;$BA$3,(W172+$W$8)/$W$2&lt;$BB$3,(X172+$X$8)/$X$2&lt;$BB$3)</f>
        <v>#VALUE!</v>
      </c>
      <c r="BB172" s="27" t="e">
        <f>AND(AA172&lt;$BA$3,AND(W172/$W$2&gt;$BB$3,X172/$X$2&gt;$BB$3))</f>
        <v>#VALUE!</v>
      </c>
      <c r="BC172" s="27" t="e">
        <f>AND(AA172&lt;$BA$3,OR(W172/$W$2&gt;$BB$3,X172/$X$2&gt;$BB$3))</f>
        <v>#VALUE!</v>
      </c>
      <c r="BE172" s="32" t="s">
        <v>84</v>
      </c>
    </row>
    <row r="173" spans="1:57" s="27" customFormat="1" ht="12.75" customHeight="1" x14ac:dyDescent="0.2">
      <c r="A173" s="10">
        <v>337565</v>
      </c>
      <c r="B173" s="2">
        <v>23</v>
      </c>
      <c r="C173" s="10">
        <v>21</v>
      </c>
      <c r="D173" s="10">
        <v>25</v>
      </c>
      <c r="E173" s="10"/>
      <c r="F173" s="10"/>
      <c r="G173" s="10"/>
      <c r="H173" s="10"/>
      <c r="I173" s="10"/>
      <c r="J173" s="2">
        <v>29</v>
      </c>
      <c r="K173" s="10">
        <v>52</v>
      </c>
      <c r="L173" s="10">
        <v>52</v>
      </c>
      <c r="M173" s="10"/>
      <c r="N173" s="93"/>
      <c r="O173" s="13"/>
      <c r="P173" s="10">
        <v>101</v>
      </c>
      <c r="Q173" s="10"/>
      <c r="R173" s="2"/>
      <c r="S173" s="10"/>
      <c r="T173" s="13"/>
      <c r="U173" s="1">
        <f t="array" ref="U173">IF(AND(A173&lt;&gt;"",OR(ISNUMBER(B173:I173))),SUM(B173:I173),"")</f>
        <v>69</v>
      </c>
      <c r="V173" s="10">
        <f t="array" ref="V173">IF(AND(A173&lt;&gt;"",OR(ISNUMBER(J173:O173))),SUM(J173:O173),"")</f>
        <v>133</v>
      </c>
      <c r="W173" s="10">
        <f t="array" ref="W173">IF(AND(A173&lt;&gt;"",OR(ISNUMBER(P173),ISNUMBER(Q173))),SUM(MAX(P173:Q173),Q173),"")</f>
        <v>101</v>
      </c>
      <c r="X173" s="10" t="str">
        <f t="array" ref="X173">IF(AND(A173&lt;&gt;"",OR(ISNUMBER(S173),ISNUMBER(T173))),SUM(S173,T173),"")</f>
        <v/>
      </c>
      <c r="Y173" s="13">
        <v>1</v>
      </c>
      <c r="Z173" s="13">
        <f>IF(A173&lt;&gt;"",SUM(U173:Y173),"")</f>
        <v>304</v>
      </c>
      <c r="AA173" s="27">
        <f>IF(A173&lt;&gt;"",(Z173+Normalize_To_Add)/(Point_Total_So_Far)*100,"")</f>
        <v>99.672131147540995</v>
      </c>
      <c r="AB173" s="10">
        <f>IF(A173&lt;&gt;"",RANK(AA173,All_Student_XC),"")</f>
        <v>124</v>
      </c>
      <c r="AC173" s="32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2">
        <f>IF(A173&lt;&gt;"",SUM(W173:X173,$W$8:$X$8)/SUM($W$2:$X$2)*100,"")</f>
        <v>101</v>
      </c>
      <c r="AF173" s="32" t="str">
        <f>IF(A173&lt;&gt;"",CHOOSE(10-MIN(9,TRUNC((AE173+0.5)/10)),"A","B","C","D","F","F","F","F","F","F"),"")</f>
        <v>A</v>
      </c>
      <c r="AG173" s="32" t="str">
        <f>IF(A173&lt;&gt;"",IF(OR(AE173+0.5&gt;=93,AE173+0.5&lt;60),"",IF(MOD(AE173+0.5,10)&gt;=7,"+",IF(MOD(AE173+0.5,10)&lt;3,"-",""))),"")</f>
        <v/>
      </c>
      <c r="AH173" s="36">
        <f>IF(A173&lt;&gt;"",MIN(MAX(AA173,AE173),AA173+$AH$8,AE173+$AH$8),"")</f>
        <v>101</v>
      </c>
      <c r="AI173" s="32" t="str">
        <f>IF(A173&lt;&gt;"",CHOOSE(10-MIN(9,TRUNC((AH173+0.5)/10)),"A","B","C","D","F","F","F","F","F","F"),"")</f>
        <v>A</v>
      </c>
      <c r="AJ173" s="32" t="str">
        <f>IF(A173&lt;&gt;"",IF(OR(AH173+0.5&gt;=93,AH173+0.5&lt;60),"",IF(MOD(AH173+0.5,10)&gt;=7,"+",IF(MOD(AH173+0.5,10)&lt;3,"-",""))),"")</f>
        <v/>
      </c>
      <c r="AK173" s="71" t="b">
        <f>IF(A173&lt;&gt;"",OR(AI173&lt;&gt;AC173,AJ173&lt;&gt;AD173),"")</f>
        <v>0</v>
      </c>
      <c r="AL173" s="86">
        <f>IF(AND(A173&lt;&gt;"",U173&lt;&gt;""),SUM(U173,$AL$8)/$AL$2*100,"")</f>
        <v>92</v>
      </c>
      <c r="AM173" s="71">
        <f>IF(AND(A173&lt;&gt;"",V173&lt;&gt;""),SUM(V173,$AM$8)/$AM$2*100,"")</f>
        <v>102.30769230769229</v>
      </c>
      <c r="AN173" s="71">
        <f>IF(AND(A173&lt;&gt;"",ISNUMBER(P173),P173&gt;=0),SUM(P173,$AN$8)/$AN$2*100,"")</f>
        <v>101</v>
      </c>
      <c r="AO173" s="71" t="str">
        <f>IF(AND(A173&lt;&gt;"",ISNUMBER(Q173),Q173&gt;=0),SUM(Q173,$AO$8)/$AO$2*100,"")</f>
        <v/>
      </c>
      <c r="AP173" s="24" t="str">
        <f>IF(AND(A173&lt;&gt;"",R173&lt;&gt;""),SUM(R173,$AP$8)/$AP$2*100,"")</f>
        <v/>
      </c>
      <c r="AQ173" s="24">
        <f>IF(AND(A173&lt;&gt;"",ISNUMBER(W173),W173&gt;=0),SUM(W173,$AQ$8)/$AQ$2*100,"")</f>
        <v>101</v>
      </c>
      <c r="AR173" s="24" t="str">
        <f>IF(AND(A173&lt;&gt;"",T173&gt;0,ISNUMBER(T173)),SUM(T173,$AR$8)/$AR$2*100,"")</f>
        <v/>
      </c>
      <c r="AS173" s="24" t="str">
        <f>IF(AND(A173&lt;&gt;"",X173&lt;&gt;""),SUM(X173,$AS$8)/$AS$2*100,"")</f>
        <v/>
      </c>
      <c r="AT173" s="89">
        <f>IF(AND(A173&lt;&gt;"",OR(ISNUMBER(W173),ISNUMBER(X173))),SUM(W173:X173,$AT$8)/$AT$2*100,"")</f>
        <v>101</v>
      </c>
      <c r="AU173" s="24">
        <f>AA173</f>
        <v>99.672131147540995</v>
      </c>
      <c r="AV173" s="71"/>
      <c r="AW173" s="27">
        <f>IF(A173&lt;&gt;"",AE173-AA173,"")</f>
        <v>1.3278688524590052</v>
      </c>
      <c r="AY173" s="27" t="b">
        <f>S173&gt;R173</f>
        <v>0</v>
      </c>
      <c r="BA173" s="27" t="e">
        <f>AND(AA173&gt;$BA$3,(W173+$W$8)/$W$2&lt;$BB$3,(X173+$X$8)/$X$2&lt;$BB$3)</f>
        <v>#VALUE!</v>
      </c>
      <c r="BB173" s="27" t="e">
        <f>AND(AA173&lt;$BA$3,AND(W173/$W$2&gt;$BB$3,X173/$X$2&gt;$BB$3))</f>
        <v>#VALUE!</v>
      </c>
      <c r="BC173" s="27" t="e">
        <f>AND(AA173&lt;$BA$3,OR(W173/$W$2&gt;$BB$3,X173/$X$2&gt;$BB$3))</f>
        <v>#VALUE!</v>
      </c>
      <c r="BE173" s="32" t="s">
        <v>84</v>
      </c>
    </row>
    <row r="174" spans="1:57" s="27" customFormat="1" ht="12.75" customHeight="1" x14ac:dyDescent="0.2">
      <c r="A174" s="10">
        <v>338510</v>
      </c>
      <c r="B174" s="2">
        <v>23</v>
      </c>
      <c r="C174" s="10">
        <v>23</v>
      </c>
      <c r="D174" s="10">
        <v>25</v>
      </c>
      <c r="E174" s="10"/>
      <c r="F174" s="10"/>
      <c r="G174" s="10"/>
      <c r="H174" s="10"/>
      <c r="I174" s="10"/>
      <c r="J174" s="2">
        <v>25</v>
      </c>
      <c r="K174" s="10">
        <v>52</v>
      </c>
      <c r="L174" s="10">
        <v>52</v>
      </c>
      <c r="M174" s="10"/>
      <c r="N174" s="10"/>
      <c r="O174" s="12"/>
      <c r="P174" s="35">
        <v>101</v>
      </c>
      <c r="Q174" s="7"/>
      <c r="R174" s="2"/>
      <c r="S174" s="10"/>
      <c r="T174" s="13"/>
      <c r="U174" s="77">
        <f t="array" ref="U174">IF(AND(A174&lt;&gt;"",OR(ISNUMBER(B174:I174))),SUM(B174:I174),"")</f>
        <v>71</v>
      </c>
      <c r="V174" s="10">
        <f t="array" ref="V174">IF(AND(A174&lt;&gt;"",OR(ISNUMBER(J174:O174))),SUM(J174:O174),"")</f>
        <v>129</v>
      </c>
      <c r="W174" s="10">
        <f t="array" ref="W174">IF(AND(A174&lt;&gt;"",OR(ISNUMBER(P174),ISNUMBER(Q174))),SUM(MAX(P174:Q174),Q174),"")</f>
        <v>101</v>
      </c>
      <c r="X174" s="10" t="str">
        <f t="array" ref="X174">IF(AND(A174&lt;&gt;"",OR(ISNUMBER(S174),ISNUMBER(T174))),SUM(S174,T174),"")</f>
        <v/>
      </c>
      <c r="Y174" s="13">
        <v>1</v>
      </c>
      <c r="Z174" s="13">
        <f>IF(A174&lt;&gt;"",SUM(U174:Y174),"")</f>
        <v>302</v>
      </c>
      <c r="AA174" s="27">
        <f>IF(A174&lt;&gt;"",(Z174+Normalize_To_Add)/(Point_Total_So_Far)*100,"")</f>
        <v>99.016393442622956</v>
      </c>
      <c r="AB174" s="10">
        <f>IF(A174&lt;&gt;"",RANK(AA174,All_Student_XC),"")</f>
        <v>164</v>
      </c>
      <c r="AC174" s="32" t="str">
        <f>IF(A174&lt;&gt;"",CHOOSE(10-MIN(9,TRUNC((AA174+0.5)/10)),"A","B","C","D","F","F","F","F","F","F"),"")</f>
        <v>A</v>
      </c>
      <c r="AD174" s="32" t="str">
        <f>IF(A174&lt;&gt;"",IF(OR(AA174+0.5&gt;=93,AA174+0.5&lt;60),"",IF(MOD(AA174+0.5,10)&gt;=7,"+",IF(MOD(AA174+0.5,10)&lt;3,"-",""))),"")</f>
        <v/>
      </c>
      <c r="AE174" s="32">
        <f>IF(A174&lt;&gt;"",SUM(W174:X174,$W$8:$X$8)/SUM($W$2:$X$2)*100,"")</f>
        <v>101</v>
      </c>
      <c r="AF174" s="32" t="str">
        <f>IF(A174&lt;&gt;"",CHOOSE(10-MIN(9,TRUNC((AE174+0.5)/10)),"A","B","C","D","F","F","F","F","F","F"),"")</f>
        <v>A</v>
      </c>
      <c r="AG174" s="32" t="str">
        <f>IF(A174&lt;&gt;"",IF(OR(AE174+0.5&gt;=93,AE174+0.5&lt;60),"",IF(MOD(AE174+0.5,10)&gt;=7,"+",IF(MOD(AE174+0.5,10)&lt;3,"-",""))),"")</f>
        <v/>
      </c>
      <c r="AH174" s="36">
        <f>IF(A174&lt;&gt;"",MIN(MAX(AA174,AE174),AA174+$AH$8,AE174+$AH$8),"")</f>
        <v>101</v>
      </c>
      <c r="AI174" s="32" t="str">
        <f>IF(A174&lt;&gt;"",CHOOSE(10-MIN(9,TRUNC((AH174+0.5)/10)),"A","B","C","D","F","F","F","F","F","F"),"")</f>
        <v>A</v>
      </c>
      <c r="AJ174" s="32" t="str">
        <f>IF(A174&lt;&gt;"",IF(OR(AH174+0.5&gt;=93,AH174+0.5&lt;60),"",IF(MOD(AH174+0.5,10)&gt;=7,"+",IF(MOD(AH174+0.5,10)&lt;3,"-",""))),"")</f>
        <v/>
      </c>
      <c r="AK174" s="32" t="b">
        <f>IF(A174&lt;&gt;"",OR(AI174&lt;&gt;AC174,AJ174&lt;&gt;AD174),"")</f>
        <v>0</v>
      </c>
      <c r="AL174" s="84">
        <f>IF(AND(A174&lt;&gt;"",U174&lt;&gt;""),SUM(U174,$AL$8)/$AL$2*100,"")</f>
        <v>94.666666666666671</v>
      </c>
      <c r="AM174" s="24">
        <f>IF(AND(A174&lt;&gt;"",V174&lt;&gt;""),SUM(V174,$AM$8)/$AM$2*100,"")</f>
        <v>99.230769230769226</v>
      </c>
      <c r="AN174" s="24">
        <f>IF(AND(A174&lt;&gt;"",ISNUMBER(P174),P174&gt;=0),SUM(P174,$AN$8)/$AN$2*100,"")</f>
        <v>101</v>
      </c>
      <c r="AO174" s="24" t="str">
        <f>IF(AND(A174&lt;&gt;"",ISNUMBER(Q174),Q174&gt;=0),SUM(Q174,$AO$8)/$AO$2*100,"")</f>
        <v/>
      </c>
      <c r="AP174" s="24" t="str">
        <f>IF(AND(A174&lt;&gt;"",R174&lt;&gt;""),SUM(R174,$AP$8)/$AP$2*100,"")</f>
        <v/>
      </c>
      <c r="AQ174" s="24">
        <f>IF(AND(A174&lt;&gt;"",ISNUMBER(W174),W174&gt;=0),SUM(W174,$AQ$8)/$AQ$2*100,"")</f>
        <v>101</v>
      </c>
      <c r="AR174" s="24" t="str">
        <f>IF(AND(A174&lt;&gt;"",T174&gt;0,ISNUMBER(T174)),SUM(T174,$AR$8)/$AR$2*100,"")</f>
        <v/>
      </c>
      <c r="AS174" s="24" t="str">
        <f>IF(AND(A174&lt;&gt;"",X174&lt;&gt;""),SUM(X174,$AS$8)/$AS$2*100,"")</f>
        <v/>
      </c>
      <c r="AT174" s="89">
        <f>IF(AND(A174&lt;&gt;"",OR(ISNUMBER(W174),ISNUMBER(X174))),SUM(W174:X174,$AT$8)/$AT$2*100,"")</f>
        <v>101</v>
      </c>
      <c r="AU174" s="24">
        <f>AA174</f>
        <v>99.016393442622956</v>
      </c>
      <c r="AV174" s="24"/>
      <c r="AW174" s="27">
        <f>IF(A174&lt;&gt;"",AE174-AA174,"")</f>
        <v>1.9836065573770441</v>
      </c>
      <c r="AY174" s="27" t="b">
        <f>S174&gt;R174</f>
        <v>0</v>
      </c>
      <c r="BA174" s="27" t="e">
        <f>AND(AA174&gt;$BA$3,(W174+$W$8)/$W$2&lt;$BB$3,(X174+$X$8)/$X$2&lt;$BB$3)</f>
        <v>#VALUE!</v>
      </c>
      <c r="BB174" s="27" t="e">
        <f>AND(AA174&lt;$BA$3,AND(W174/$W$2&gt;$BB$3,X174/$X$2&gt;$BB$3))</f>
        <v>#VALUE!</v>
      </c>
      <c r="BC174" s="27" t="e">
        <f>AND(AA174&lt;$BA$3,OR(W174/$W$2&gt;$BB$3,X174/$X$2&gt;$BB$3))</f>
        <v>#VALUE!</v>
      </c>
      <c r="BE174" s="32" t="s">
        <v>84</v>
      </c>
    </row>
    <row r="175" spans="1:57" s="27" customFormat="1" ht="12.75" customHeight="1" x14ac:dyDescent="0.2">
      <c r="A175" s="10">
        <v>339009</v>
      </c>
      <c r="B175" s="2">
        <v>25</v>
      </c>
      <c r="C175" s="10">
        <v>24</v>
      </c>
      <c r="D175" s="10">
        <v>25</v>
      </c>
      <c r="E175" s="10"/>
      <c r="F175" s="10"/>
      <c r="G175" s="10"/>
      <c r="H175" s="10"/>
      <c r="I175" s="10"/>
      <c r="J175" s="2">
        <v>30</v>
      </c>
      <c r="K175" s="10">
        <v>52</v>
      </c>
      <c r="L175" s="10">
        <v>52</v>
      </c>
      <c r="M175" s="10"/>
      <c r="N175" s="93"/>
      <c r="O175" s="13"/>
      <c r="P175" s="10">
        <v>101</v>
      </c>
      <c r="Q175" s="10"/>
      <c r="R175" s="2"/>
      <c r="S175" s="10"/>
      <c r="T175" s="13"/>
      <c r="U175" s="1">
        <f t="array" ref="U175">IF(AND(A175&lt;&gt;"",OR(ISNUMBER(B175:I175))),SUM(B175:I175),"")</f>
        <v>74</v>
      </c>
      <c r="V175" s="10">
        <f t="array" ref="V175">IF(AND(A175&lt;&gt;"",OR(ISNUMBER(J175:O175))),SUM(J175:O175),"")</f>
        <v>134</v>
      </c>
      <c r="W175" s="10">
        <f t="array" ref="W175">IF(AND(A175&lt;&gt;"",OR(ISNUMBER(P175),ISNUMBER(Q175))),SUM(MAX(P175:Q175),Q175),"")</f>
        <v>101</v>
      </c>
      <c r="X175" s="10" t="str">
        <f t="array" ref="X175">IF(AND(A175&lt;&gt;"",OR(ISNUMBER(S175),ISNUMBER(T175))),SUM(S175,T175),"")</f>
        <v/>
      </c>
      <c r="Y175" s="13">
        <v>1</v>
      </c>
      <c r="Z175" s="13">
        <f>IF(A175&lt;&gt;"",SUM(U175:Y175),"")</f>
        <v>310</v>
      </c>
      <c r="AA175" s="27">
        <f>IF(A175&lt;&gt;"",(Z175+Normalize_To_Add)/(Point_Total_So_Far)*100,"")</f>
        <v>101.63934426229508</v>
      </c>
      <c r="AB175" s="10">
        <f>IF(A175&lt;&gt;"",RANK(AA175,All_Student_XC),"")</f>
        <v>19</v>
      </c>
      <c r="AC175" s="32" t="str">
        <f>IF(A175&lt;&gt;"",CHOOSE(10-MIN(9,TRUNC((AA175+0.5)/10)),"A","B","C","D","F","F","F","F","F","F"),"")</f>
        <v>A</v>
      </c>
      <c r="AD175" s="31" t="str">
        <f>IF(A175&lt;&gt;"",IF(OR(AA175+0.5&gt;=93,AA175+0.5&lt;60),"",IF(MOD(AA175+0.5,10)&gt;=7,"+",IF(MOD(AA175+0.5,10)&lt;3,"-",""))),"")</f>
        <v/>
      </c>
      <c r="AE175" s="32">
        <f>IF(A175&lt;&gt;"",SUM(W175:X175,$W$8:$X$8)/SUM($W$2:$X$2)*100,"")</f>
        <v>101</v>
      </c>
      <c r="AF175" s="32" t="str">
        <f>IF(A175&lt;&gt;"",CHOOSE(10-MIN(9,TRUNC((AE175+0.5)/10)),"A","B","C","D","F","F","F","F","F","F"),"")</f>
        <v>A</v>
      </c>
      <c r="AG175" s="32" t="str">
        <f>IF(A175&lt;&gt;"",IF(OR(AE175+0.5&gt;=93,AE175+0.5&lt;60),"",IF(MOD(AE175+0.5,10)&gt;=7,"+",IF(MOD(AE175+0.5,10)&lt;3,"-",""))),"")</f>
        <v/>
      </c>
      <c r="AH175" s="36">
        <f>IF(A175&lt;&gt;"",MIN(MAX(AA175,AE175),AA175+$AH$8,AE175+$AH$8),"")</f>
        <v>101.63934426229508</v>
      </c>
      <c r="AI175" s="32" t="str">
        <f>IF(A175&lt;&gt;"",CHOOSE(10-MIN(9,TRUNC((AH175+0.5)/10)),"A","B","C","D","F","F","F","F","F","F"),"")</f>
        <v>A</v>
      </c>
      <c r="AJ175" s="32" t="str">
        <f>IF(A175&lt;&gt;"",IF(OR(AH175+0.5&gt;=93,AH175+0.5&lt;60),"",IF(MOD(AH175+0.5,10)&gt;=7,"+",IF(MOD(AH175+0.5,10)&lt;3,"-",""))),"")</f>
        <v/>
      </c>
      <c r="AK175" s="71" t="b">
        <f>IF(A175&lt;&gt;"",OR(AI175&lt;&gt;AC175,AJ175&lt;&gt;AD175),"")</f>
        <v>0</v>
      </c>
      <c r="AL175" s="86">
        <f>IF(AND(A175&lt;&gt;"",U175&lt;&gt;""),SUM(U175,$AL$8)/$AL$2*100,"")</f>
        <v>98.666666666666671</v>
      </c>
      <c r="AM175" s="71">
        <f>IF(AND(A175&lt;&gt;"",V175&lt;&gt;""),SUM(V175,$AM$8)/$AM$2*100,"")</f>
        <v>103.07692307692307</v>
      </c>
      <c r="AN175" s="71">
        <f>IF(AND(A175&lt;&gt;"",ISNUMBER(P175),P175&gt;=0),SUM(P175,$AN$8)/$AN$2*100,"")</f>
        <v>101</v>
      </c>
      <c r="AO175" s="71" t="str">
        <f>IF(AND(A175&lt;&gt;"",ISNUMBER(Q175),Q175&gt;=0),SUM(Q175,$AO$8)/$AO$2*100,"")</f>
        <v/>
      </c>
      <c r="AP175" s="24" t="str">
        <f>IF(AND(A175&lt;&gt;"",R175&lt;&gt;""),SUM(R175,$AP$8)/$AP$2*100,"")</f>
        <v/>
      </c>
      <c r="AQ175" s="24">
        <f>IF(AND(A175&lt;&gt;"",ISNUMBER(W175),W175&gt;=0),SUM(W175,$AQ$8)/$AQ$2*100,"")</f>
        <v>101</v>
      </c>
      <c r="AR175" s="24" t="str">
        <f>IF(AND(A175&lt;&gt;"",T175&gt;0,ISNUMBER(T175)),SUM(T175,$AR$8)/$AR$2*100,"")</f>
        <v/>
      </c>
      <c r="AS175" s="24" t="str">
        <f>IF(AND(A175&lt;&gt;"",X175&lt;&gt;""),SUM(X175,$AS$8)/$AS$2*100,"")</f>
        <v/>
      </c>
      <c r="AT175" s="89">
        <f>IF(AND(A175&lt;&gt;"",OR(ISNUMBER(W175),ISNUMBER(X175))),SUM(W175:X175,$AT$8)/$AT$2*100,"")</f>
        <v>101</v>
      </c>
      <c r="AU175" s="24">
        <f>AA175</f>
        <v>101.63934426229508</v>
      </c>
      <c r="AV175" s="71"/>
      <c r="AW175" s="27">
        <f>IF(A175&lt;&gt;"",AE175-AA175,"")</f>
        <v>-0.6393442622950829</v>
      </c>
      <c r="AY175" s="27" t="b">
        <f>S175&gt;R175</f>
        <v>0</v>
      </c>
      <c r="BA175" s="27" t="e">
        <f>AND(AA175&gt;$BA$3,(W175+$W$8)/$W$2&lt;$BB$3,(X175+$X$8)/$X$2&lt;$BB$3)</f>
        <v>#VALUE!</v>
      </c>
      <c r="BB175" s="27" t="e">
        <f>AND(AA175&lt;$BA$3,AND(W175/$W$2&gt;$BB$3,X175/$X$2&gt;$BB$3))</f>
        <v>#VALUE!</v>
      </c>
      <c r="BC175" s="27" t="e">
        <f>AND(AA175&lt;$BA$3,OR(W175/$W$2&gt;$BB$3,X175/$X$2&gt;$BB$3))</f>
        <v>#VALUE!</v>
      </c>
      <c r="BE175" s="32">
        <v>32</v>
      </c>
    </row>
    <row r="176" spans="1:57" s="27" customFormat="1" ht="12.75" customHeight="1" x14ac:dyDescent="0.2">
      <c r="A176" s="10">
        <v>339089</v>
      </c>
      <c r="B176" s="2">
        <v>21</v>
      </c>
      <c r="C176" s="10">
        <v>23</v>
      </c>
      <c r="D176" s="10">
        <v>25</v>
      </c>
      <c r="E176" s="10"/>
      <c r="F176" s="10"/>
      <c r="G176" s="10"/>
      <c r="H176" s="10"/>
      <c r="I176" s="10"/>
      <c r="J176" s="2">
        <v>32</v>
      </c>
      <c r="K176" s="10">
        <v>52</v>
      </c>
      <c r="L176" s="10">
        <v>52</v>
      </c>
      <c r="M176" s="10"/>
      <c r="N176" s="93"/>
      <c r="O176" s="13"/>
      <c r="P176" s="10">
        <v>101</v>
      </c>
      <c r="Q176" s="10"/>
      <c r="R176" s="2"/>
      <c r="S176" s="10"/>
      <c r="T176" s="13"/>
      <c r="U176" s="1">
        <f t="array" ref="U176">IF(AND(A176&lt;&gt;"",OR(ISNUMBER(B176:I176))),SUM(B176:I176),"")</f>
        <v>69</v>
      </c>
      <c r="V176" s="10">
        <f t="array" ref="V176">IF(AND(A176&lt;&gt;"",OR(ISNUMBER(J176:O176))),SUM(J176:O176),"")</f>
        <v>136</v>
      </c>
      <c r="W176" s="10">
        <f t="array" ref="W176">IF(AND(A176&lt;&gt;"",OR(ISNUMBER(P176),ISNUMBER(Q176))),SUM(MAX(P176:Q176),Q176),"")</f>
        <v>101</v>
      </c>
      <c r="X176" s="10" t="str">
        <f t="array" ref="X176">IF(AND(A176&lt;&gt;"",OR(ISNUMBER(S176),ISNUMBER(T176))),SUM(S176,T176),"")</f>
        <v/>
      </c>
      <c r="Y176" s="13">
        <v>1</v>
      </c>
      <c r="Z176" s="13">
        <f>IF(A176&lt;&gt;"",SUM(U176:Y176),"")</f>
        <v>307</v>
      </c>
      <c r="AA176" s="27">
        <f>IF(A176&lt;&gt;"",(Z176+Normalize_To_Add)/(Point_Total_So_Far)*100,"")</f>
        <v>100.65573770491802</v>
      </c>
      <c r="AB176" s="10">
        <f>IF(A176&lt;&gt;"",RANK(AA176,All_Student_XC),"")</f>
        <v>72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>
        <f>IF(A176&lt;&gt;"",SUM(W176:X176,$W$8:$X$8)/SUM($W$2:$X$2)*100,"")</f>
        <v>101</v>
      </c>
      <c r="AF176" s="32" t="str">
        <f>IF(A176&lt;&gt;"",CHOOSE(10-MIN(9,TRUNC((AE176+0.5)/10)),"A","B","C","D","F","F","F","F","F","F"),"")</f>
        <v>A</v>
      </c>
      <c r="AG176" s="32" t="str">
        <f>IF(A176&lt;&gt;"",IF(OR(AE176+0.5&gt;=93,AE176+0.5&lt;60),"",IF(MOD(AE176+0.5,10)&gt;=7,"+",IF(MOD(AE176+0.5,10)&lt;3,"-",""))),"")</f>
        <v/>
      </c>
      <c r="AH176" s="36">
        <f>IF(A176&lt;&gt;"",MIN(MAX(AA176,AE176),AA176+$AH$8,AE176+$AH$8),"")</f>
        <v>101</v>
      </c>
      <c r="AI176" s="32" t="str">
        <f>IF(A176&lt;&gt;"",CHOOSE(10-MIN(9,TRUNC((AH176+0.5)/10)),"A","B","C","D","F","F","F","F","F","F"),"")</f>
        <v>A</v>
      </c>
      <c r="AJ176" s="32" t="str">
        <f>IF(A176&lt;&gt;"",IF(OR(AH176+0.5&gt;=93,AH176+0.5&lt;60),"",IF(MOD(AH176+0.5,10)&gt;=7,"+",IF(MOD(AH176+0.5,10)&lt;3,"-",""))),"")</f>
        <v/>
      </c>
      <c r="AK176" s="71" t="b">
        <f>IF(A176&lt;&gt;"",OR(AI176&lt;&gt;AC176,AJ176&lt;&gt;AD176),"")</f>
        <v>0</v>
      </c>
      <c r="AL176" s="86">
        <f>IF(AND(A176&lt;&gt;"",U176&lt;&gt;""),SUM(U176,$AL$8)/$AL$2*100,"")</f>
        <v>92</v>
      </c>
      <c r="AM176" s="71">
        <f>IF(AND(A176&lt;&gt;"",V176&lt;&gt;""),SUM(V176,$AM$8)/$AM$2*100,"")</f>
        <v>104.61538461538463</v>
      </c>
      <c r="AN176" s="71">
        <f>IF(AND(A176&lt;&gt;"",ISNUMBER(P176),P176&gt;=0),SUM(P176,$AN$8)/$AN$2*100,"")</f>
        <v>101</v>
      </c>
      <c r="AO176" s="71" t="str">
        <f>IF(AND(A176&lt;&gt;"",ISNUMBER(Q176),Q176&gt;=0),SUM(Q176,$AO$8)/$AO$2*100,"")</f>
        <v/>
      </c>
      <c r="AP176" s="24" t="str">
        <f>IF(AND(A176&lt;&gt;"",R176&lt;&gt;""),SUM(R176,$AP$8)/$AP$2*100,"")</f>
        <v/>
      </c>
      <c r="AQ176" s="24">
        <f>IF(AND(A176&lt;&gt;"",ISNUMBER(W176),W176&gt;=0),SUM(W176,$AQ$8)/$AQ$2*100,"")</f>
        <v>101</v>
      </c>
      <c r="AR176" s="24" t="str">
        <f>IF(AND(A176&lt;&gt;"",T176&gt;0,ISNUMBER(T176)),SUM(T176,$AR$8)/$AR$2*100,"")</f>
        <v/>
      </c>
      <c r="AS176" s="24" t="str">
        <f>IF(AND(A176&lt;&gt;"",X176&lt;&gt;""),SUM(X176,$AS$8)/$AS$2*100,"")</f>
        <v/>
      </c>
      <c r="AT176" s="89">
        <f>IF(AND(A176&lt;&gt;"",OR(ISNUMBER(W176),ISNUMBER(X176))),SUM(W176:X176,$AT$8)/$AT$2*100,"")</f>
        <v>101</v>
      </c>
      <c r="AU176" s="24">
        <f>AA176</f>
        <v>100.65573770491802</v>
      </c>
      <c r="AV176" s="71"/>
      <c r="AW176" s="27">
        <f>IF(A176&lt;&gt;"",AE176-AA176,"")</f>
        <v>0.34426229508197537</v>
      </c>
      <c r="AY176" s="27" t="b">
        <f>S176&gt;R176</f>
        <v>0</v>
      </c>
      <c r="BA176" s="27" t="e">
        <f>AND(AA176&gt;$BA$3,(W176+$W$8)/$W$2&lt;$BB$3,(X176+$X$8)/$X$2&lt;$BB$3)</f>
        <v>#VALUE!</v>
      </c>
      <c r="BB176" s="27" t="e">
        <f>AND(AA176&lt;$BA$3,AND(W176/$W$2&gt;$BB$3,X176/$X$2&gt;$BB$3))</f>
        <v>#VALUE!</v>
      </c>
      <c r="BC176" s="27" t="e">
        <f>AND(AA176&lt;$BA$3,OR(W176/$W$2&gt;$BB$3,X176/$X$2&gt;$BB$3))</f>
        <v>#VALUE!</v>
      </c>
      <c r="BE176" s="32" t="s">
        <v>84</v>
      </c>
    </row>
    <row r="177" spans="1:57" s="27" customFormat="1" ht="12.75" customHeight="1" x14ac:dyDescent="0.2">
      <c r="A177" s="10">
        <v>339663</v>
      </c>
      <c r="B177" s="2">
        <v>23</v>
      </c>
      <c r="C177" s="10">
        <v>24</v>
      </c>
      <c r="D177" s="10">
        <v>25</v>
      </c>
      <c r="E177" s="10"/>
      <c r="F177" s="10"/>
      <c r="G177" s="10"/>
      <c r="H177" s="10"/>
      <c r="I177" s="10"/>
      <c r="J177" s="2">
        <v>30</v>
      </c>
      <c r="K177" s="10">
        <v>50</v>
      </c>
      <c r="L177" s="10">
        <v>50</v>
      </c>
      <c r="M177" s="10"/>
      <c r="N177" s="93"/>
      <c r="O177" s="12"/>
      <c r="P177" s="10">
        <v>101</v>
      </c>
      <c r="Q177" s="41"/>
      <c r="R177" s="2"/>
      <c r="S177" s="10"/>
      <c r="T177" s="13"/>
      <c r="U177" s="1">
        <f t="array" ref="U177">IF(AND(A177&lt;&gt;"",OR(ISNUMBER(B177:I177))),SUM(B177:I177),"")</f>
        <v>72</v>
      </c>
      <c r="V177" s="10">
        <f t="array" ref="V177">IF(AND(A177&lt;&gt;"",OR(ISNUMBER(J177:O177))),SUM(J177:O177),"")</f>
        <v>130</v>
      </c>
      <c r="W177" s="10">
        <f t="array" ref="W177">IF(AND(A177&lt;&gt;"",OR(ISNUMBER(P177),ISNUMBER(Q177))),SUM(MAX(P177:Q177),Q177),"")</f>
        <v>101</v>
      </c>
      <c r="X177" s="10" t="str">
        <f t="array" ref="X177">IF(AND(A177&lt;&gt;"",OR(ISNUMBER(S177),ISNUMBER(T177))),SUM(S177,T177),"")</f>
        <v/>
      </c>
      <c r="Y177" s="13">
        <v>1</v>
      </c>
      <c r="Z177" s="13">
        <f>IF(A177&lt;&gt;"",SUM(U177:Y177),"")</f>
        <v>304</v>
      </c>
      <c r="AA177" s="27">
        <f>IF(A177&lt;&gt;"",(Z177+Normalize_To_Add)/(Point_Total_So_Far)*100,"")</f>
        <v>99.672131147540995</v>
      </c>
      <c r="AB177" s="10">
        <f>IF(A177&lt;&gt;"",RANK(AA177,All_Student_XC),"")</f>
        <v>124</v>
      </c>
      <c r="AC177" s="32" t="str">
        <f>IF(A177&lt;&gt;"",CHOOSE(10-MIN(9,TRUNC((AA177+0.5)/10)),"A","B","C","D","F","F","F","F","F","F"),"")</f>
        <v>A</v>
      </c>
      <c r="AD177" s="32" t="str">
        <f>IF(A177&lt;&gt;"",IF(OR(AA177+0.5&gt;=93,AA177+0.5&lt;60),"",IF(MOD(AA177+0.5,10)&gt;=7,"+",IF(MOD(AA177+0.5,10)&lt;3,"-",""))),"")</f>
        <v/>
      </c>
      <c r="AE177" s="32">
        <f>IF(A177&lt;&gt;"",SUM(W177:X177,$W$8:$X$8)/SUM($W$2:$X$2)*100,"")</f>
        <v>101</v>
      </c>
      <c r="AF177" s="44" t="str">
        <f>IF(A177&lt;&gt;"",CHOOSE(10-MIN(9,TRUNC((AE177+0.5)/10)),"A","B","C","D","F","F","F","F","F","F"),"")</f>
        <v>A</v>
      </c>
      <c r="AG177" s="44" t="str">
        <f>IF(A177&lt;&gt;"",IF(OR(AE177+0.5&gt;=93,AE177+0.5&lt;60),"",IF(MOD(AE177+0.5,10)&gt;=7,"+",IF(MOD(AE177+0.5,10)&lt;3,"-",""))),"")</f>
        <v/>
      </c>
      <c r="AH177" s="36">
        <f>IF(A177&lt;&gt;"",MIN(MAX(AA177,AE177),AA177+$AH$8,AE177+$AH$8),"")</f>
        <v>101</v>
      </c>
      <c r="AI177" s="32" t="str">
        <f>IF(A177&lt;&gt;"",CHOOSE(10-MIN(9,TRUNC((AH177+0.5)/10)),"A","B","C","D","F","F","F","F","F","F"),"")</f>
        <v>A</v>
      </c>
      <c r="AJ177" s="32" t="str">
        <f>IF(A177&lt;&gt;"",IF(OR(AH177+0.5&gt;=93,AH177+0.5&lt;60),"",IF(MOD(AH177+0.5,10)&gt;=7,"+",IF(MOD(AH177+0.5,10)&lt;3,"-",""))),"")</f>
        <v/>
      </c>
      <c r="AK177" s="32" t="b">
        <f>IF(A177&lt;&gt;"",OR(AI177&lt;&gt;AC177,AJ177&lt;&gt;AD177),"")</f>
        <v>0</v>
      </c>
      <c r="AL177" s="84">
        <f>IF(AND(A177&lt;&gt;"",U177&lt;&gt;""),SUM(U177,$AL$8)/$AL$2*100,"")</f>
        <v>96</v>
      </c>
      <c r="AM177" s="24">
        <f>IF(AND(A177&lt;&gt;"",V177&lt;&gt;""),SUM(V177,$AM$8)/$AM$2*100,"")</f>
        <v>100</v>
      </c>
      <c r="AN177" s="24">
        <f>IF(AND(A177&lt;&gt;"",ISNUMBER(P177),P177&gt;=0),SUM(P177,$AN$8)/$AN$2*100,"")</f>
        <v>101</v>
      </c>
      <c r="AO177" s="24" t="str">
        <f>IF(AND(A177&lt;&gt;"",ISNUMBER(Q177),Q177&gt;=0),SUM(Q177,$AO$8)/$AO$2*100,"")</f>
        <v/>
      </c>
      <c r="AP177" s="24" t="str">
        <f>IF(AND(A177&lt;&gt;"",R177&lt;&gt;""),SUM(R177,$AP$8)/$AP$2*100,"")</f>
        <v/>
      </c>
      <c r="AQ177" s="24">
        <f>IF(AND(A177&lt;&gt;"",ISNUMBER(W177),W177&gt;=0),SUM(W177,$AQ$8)/$AQ$2*100,"")</f>
        <v>101</v>
      </c>
      <c r="AR177" s="24" t="str">
        <f>IF(AND(A177&lt;&gt;"",T177&gt;0,ISNUMBER(T177)),SUM(T177,$AR$8)/$AR$2*100,"")</f>
        <v/>
      </c>
      <c r="AS177" s="24" t="str">
        <f>IF(AND(A177&lt;&gt;"",X177&lt;&gt;""),SUM(X177,$AS$8)/$AS$2*100,"")</f>
        <v/>
      </c>
      <c r="AT177" s="89">
        <f>IF(AND(A177&lt;&gt;"",OR(ISNUMBER(W177),ISNUMBER(X177))),SUM(W177:X177,$AT$8)/$AT$2*100,"")</f>
        <v>101</v>
      </c>
      <c r="AU177" s="24">
        <f>AA177</f>
        <v>99.672131147540995</v>
      </c>
      <c r="AV177" s="24"/>
      <c r="AW177" s="27">
        <f>IF(A177&lt;&gt;"",AE177-AA177,"")</f>
        <v>1.3278688524590052</v>
      </c>
      <c r="AY177" s="27" t="b">
        <f>S177&gt;R177</f>
        <v>0</v>
      </c>
      <c r="BA177" s="27" t="e">
        <f>AND(AA177&gt;$BA$3,(W177+$W$8)/$W$2&lt;$BB$3,(X177+$X$8)/$X$2&lt;$BB$3)</f>
        <v>#VALUE!</v>
      </c>
      <c r="BB177" s="27" t="e">
        <f>AND(AA177&lt;$BA$3,AND(W177/$W$2&gt;$BB$3,X177/$X$2&gt;$BB$3))</f>
        <v>#VALUE!</v>
      </c>
      <c r="BC177" s="27" t="e">
        <f>AND(AA177&lt;$BA$3,OR(W177/$W$2&gt;$BB$3,X177/$X$2&gt;$BB$3))</f>
        <v>#VALUE!</v>
      </c>
      <c r="BE177" s="32">
        <v>32</v>
      </c>
    </row>
    <row r="178" spans="1:57" s="27" customFormat="1" ht="12.75" customHeight="1" x14ac:dyDescent="0.2">
      <c r="A178" s="10">
        <v>341478</v>
      </c>
      <c r="B178" s="2">
        <v>21</v>
      </c>
      <c r="C178" s="10" t="s">
        <v>67</v>
      </c>
      <c r="D178" s="10" t="s">
        <v>67</v>
      </c>
      <c r="E178" s="10"/>
      <c r="F178" s="10"/>
      <c r="G178" s="10"/>
      <c r="H178" s="10"/>
      <c r="I178" s="10"/>
      <c r="J178" s="2">
        <v>28</v>
      </c>
      <c r="K178" s="10">
        <v>20</v>
      </c>
      <c r="L178" s="10">
        <v>40</v>
      </c>
      <c r="M178" s="10"/>
      <c r="N178" s="93"/>
      <c r="O178" s="13"/>
      <c r="P178" s="10">
        <v>101</v>
      </c>
      <c r="Q178" s="10"/>
      <c r="R178" s="2"/>
      <c r="S178" s="10"/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88</v>
      </c>
      <c r="W178" s="10">
        <f t="array" ref="W178">IF(AND(A178&lt;&gt;"",OR(ISNUMBER(P178),ISNUMBER(Q178))),SUM(MAX(P178:Q178),Q178),"")</f>
        <v>101</v>
      </c>
      <c r="X178" s="10" t="str">
        <f t="array" ref="X178">IF(AND(A178&lt;&gt;"",OR(ISNUMBER(S178),ISNUMBER(T178))),SUM(S178,T178),"")</f>
        <v/>
      </c>
      <c r="Y178" s="13">
        <v>1</v>
      </c>
      <c r="Z178" s="13">
        <f>IF(A178&lt;&gt;"",SUM(U178:Y178),"")</f>
        <v>211</v>
      </c>
      <c r="AA178" s="27">
        <f>IF(A178&lt;&gt;"",(Z178+Normalize_To_Add)/(Point_Total_So_Far)*100,"")</f>
        <v>69.180327868852459</v>
      </c>
      <c r="AB178" s="10">
        <f>IF(A178&lt;&gt;"",RANK(AA178,All_Student_XC),"")</f>
        <v>460</v>
      </c>
      <c r="AC178" s="32" t="str">
        <f>IF(A178&lt;&gt;"",CHOOSE(10-MIN(9,TRUNC((AA178+0.5)/10)),"A","B","C","D","F","F","F","F","F","F"),"")</f>
        <v>D</v>
      </c>
      <c r="AD178" s="31" t="str">
        <f>IF(A178&lt;&gt;"",IF(OR(AA178+0.5&gt;=93,AA178+0.5&lt;60),"",IF(MOD(AA178+0.5,10)&gt;=7,"+",IF(MOD(AA178+0.5,10)&lt;3,"-",""))),"")</f>
        <v>+</v>
      </c>
      <c r="AE178" s="32">
        <f>IF(A178&lt;&gt;"",SUM(W178:X178,$W$8:$X$8)/SUM($W$2:$X$2)*100,"")</f>
        <v>101</v>
      </c>
      <c r="AF178" s="32" t="str">
        <f>IF(A178&lt;&gt;"",CHOOSE(10-MIN(9,TRUNC((AE178+0.5)/10)),"A","B","C","D","F","F","F","F","F","F"),"")</f>
        <v>A</v>
      </c>
      <c r="AG178" s="32" t="str">
        <f>IF(A178&lt;&gt;"",IF(OR(AE178+0.5&gt;=93,AE178+0.5&lt;60),"",IF(MOD(AE178+0.5,10)&gt;=7,"+",IF(MOD(AE178+0.5,10)&lt;3,"-",""))),"")</f>
        <v/>
      </c>
      <c r="AH178" s="36">
        <f>IF(A178&lt;&gt;"",MIN(MAX(AA178,AE178),AA178+$AH$8,AE178+$AH$8),"")</f>
        <v>101</v>
      </c>
      <c r="AI178" s="32" t="str">
        <f>IF(A178&lt;&gt;"",CHOOSE(10-MIN(9,TRUNC((AH178+0.5)/10)),"A","B","C","D","F","F","F","F","F","F"),"")</f>
        <v>A</v>
      </c>
      <c r="AJ178" s="32" t="str">
        <f>IF(A178&lt;&gt;"",IF(OR(AH178+0.5&gt;=93,AH178+0.5&lt;60),"",IF(MOD(AH178+0.5,10)&gt;=7,"+",IF(MOD(AH178+0.5,10)&lt;3,"-",""))),"")</f>
        <v/>
      </c>
      <c r="AK178" s="71" t="b">
        <f>IF(A178&lt;&gt;"",OR(AI178&lt;&gt;AC178,AJ178&lt;&gt;AD178),"")</f>
        <v>1</v>
      </c>
      <c r="AL178" s="86">
        <f>IF(AND(A178&lt;&gt;"",U178&lt;&gt;""),SUM(U178,$AL$8)/$AL$2*100,"")</f>
        <v>28.000000000000004</v>
      </c>
      <c r="AM178" s="71">
        <f>IF(AND(A178&lt;&gt;"",V178&lt;&gt;""),SUM(V178,$AM$8)/$AM$2*100,"")</f>
        <v>67.692307692307693</v>
      </c>
      <c r="AN178" s="71">
        <f>IF(AND(A178&lt;&gt;"",ISNUMBER(P178),P178&gt;=0),SUM(P178,$AN$8)/$AN$2*100,"")</f>
        <v>101</v>
      </c>
      <c r="AO178" s="71" t="str">
        <f>IF(AND(A178&lt;&gt;"",ISNUMBER(Q178),Q178&gt;=0),SUM(Q178,$AO$8)/$AO$2*100,"")</f>
        <v/>
      </c>
      <c r="AP178" s="24" t="str">
        <f>IF(AND(A178&lt;&gt;"",R178&lt;&gt;""),SUM(R178,$AP$8)/$AP$2*100,"")</f>
        <v/>
      </c>
      <c r="AQ178" s="24">
        <f>IF(AND(A178&lt;&gt;"",ISNUMBER(W178),W178&gt;=0),SUM(W178,$AQ$8)/$AQ$2*100,"")</f>
        <v>101</v>
      </c>
      <c r="AR178" s="24" t="str">
        <f>IF(AND(A178&lt;&gt;"",T178&gt;0,ISNUMBER(T178)),SUM(T178,$AR$8)/$AR$2*100,"")</f>
        <v/>
      </c>
      <c r="AS178" s="24" t="str">
        <f>IF(AND(A178&lt;&gt;"",X178&lt;&gt;""),SUM(X178,$AS$8)/$AS$2*100,"")</f>
        <v/>
      </c>
      <c r="AT178" s="89">
        <f>IF(AND(A178&lt;&gt;"",OR(ISNUMBER(W178),ISNUMBER(X178))),SUM(W178:X178,$AT$8)/$AT$2*100,"")</f>
        <v>101</v>
      </c>
      <c r="AU178" s="24">
        <f>AA178</f>
        <v>69.180327868852459</v>
      </c>
      <c r="AV178" s="71"/>
      <c r="AW178" s="27">
        <f>IF(A178&lt;&gt;"",AE178-AA178,"")</f>
        <v>31.819672131147541</v>
      </c>
      <c r="AY178" s="27" t="b">
        <f>S178&gt;R178</f>
        <v>0</v>
      </c>
      <c r="BA178" s="27" t="e">
        <f>AND(AA178&gt;$BA$3,(W178+$W$8)/$W$2&lt;$BB$3,(X178+$X$8)/$X$2&lt;$BB$3)</f>
        <v>#VALUE!</v>
      </c>
      <c r="BB178" s="27" t="e">
        <f>AND(AA178&lt;$BA$3,AND(W178/$W$2&gt;$BB$3,X178/$X$2&gt;$BB$3))</f>
        <v>#VALUE!</v>
      </c>
      <c r="BC178" s="27" t="e">
        <f>AND(AA178&lt;$BA$3,OR(W178/$W$2&gt;$BB$3,X178/$X$2&gt;$BB$3))</f>
        <v>#VALUE!</v>
      </c>
      <c r="BE178" s="32">
        <v>32</v>
      </c>
    </row>
    <row r="179" spans="1:57" s="27" customFormat="1" ht="12.75" customHeight="1" x14ac:dyDescent="0.2">
      <c r="A179" s="10">
        <v>341857</v>
      </c>
      <c r="B179" s="2">
        <v>13</v>
      </c>
      <c r="C179" s="10">
        <v>24</v>
      </c>
      <c r="D179" s="10">
        <v>25</v>
      </c>
      <c r="E179" s="10"/>
      <c r="F179" s="10"/>
      <c r="G179" s="3"/>
      <c r="H179" s="10"/>
      <c r="I179" s="10"/>
      <c r="J179" s="2">
        <v>28</v>
      </c>
      <c r="K179" s="10">
        <v>52</v>
      </c>
      <c r="L179" s="10">
        <v>51</v>
      </c>
      <c r="M179" s="10"/>
      <c r="N179" s="10"/>
      <c r="O179" s="12"/>
      <c r="P179" s="41">
        <v>100</v>
      </c>
      <c r="Q179" s="41"/>
      <c r="R179" s="2"/>
      <c r="S179" s="10"/>
      <c r="T179" s="13"/>
      <c r="U179" s="1">
        <f t="array" ref="U179">IF(AND(A179&lt;&gt;"",OR(ISNUMBER(B179:I179))),SUM(B179:I179),"")</f>
        <v>62</v>
      </c>
      <c r="V179" s="10">
        <f t="array" ref="V179">IF(AND(A179&lt;&gt;"",OR(ISNUMBER(J179:O179))),SUM(J179:O179),"")</f>
        <v>131</v>
      </c>
      <c r="W179" s="10">
        <f t="array" ref="W179">IF(AND(A179&lt;&gt;"",OR(ISNUMBER(P179),ISNUMBER(Q179))),SUM(MAX(P179:Q179),Q179),"")</f>
        <v>100</v>
      </c>
      <c r="X179" s="10" t="str">
        <f t="array" ref="X179">IF(AND(A179&lt;&gt;"",OR(ISNUMBER(S179),ISNUMBER(T179))),SUM(S179,T179),"")</f>
        <v/>
      </c>
      <c r="Y179" s="13">
        <v>1</v>
      </c>
      <c r="Z179" s="13">
        <f>IF(A179&lt;&gt;"",SUM(U179:Y179),"")</f>
        <v>294</v>
      </c>
      <c r="AA179" s="27">
        <f>IF(A179&lt;&gt;"",(Z179+Normalize_To_Add)/(Point_Total_So_Far)*100,"")</f>
        <v>96.393442622950815</v>
      </c>
      <c r="AB179" s="10">
        <f>IF(A179&lt;&gt;"",RANK(AA179,All_Student_XC),"")</f>
        <v>251</v>
      </c>
      <c r="AC179" s="32" t="str">
        <f>IF(A179&lt;&gt;"",CHOOSE(10-MIN(9,TRUNC((AA179+0.5)/10)),"A","B","C","D","F","F","F","F","F","F"),"")</f>
        <v>A</v>
      </c>
      <c r="AD179" s="32" t="str">
        <f>IF(A179&lt;&gt;"",IF(OR(AA179+0.5&gt;=93,AA179+0.5&lt;60),"",IF(MOD(AA179+0.5,10)&gt;=7,"+",IF(MOD(AA179+0.5,10)&lt;3,"-",""))),"")</f>
        <v/>
      </c>
      <c r="AE179" s="32">
        <f>IF(A179&lt;&gt;"",SUM(W179:X179,$W$8:$X$8)/SUM($W$2:$X$2)*100,"")</f>
        <v>100</v>
      </c>
      <c r="AF179" s="32" t="str">
        <f>IF(A179&lt;&gt;"",CHOOSE(10-MIN(9,TRUNC((AE179+0.5)/10)),"A","B","C","D","F","F","F","F","F","F"),"")</f>
        <v>A</v>
      </c>
      <c r="AG179" s="32" t="str">
        <f>IF(A179&lt;&gt;"",IF(OR(AE179+0.5&gt;=93,AE179+0.5&lt;60),"",IF(MOD(AE179+0.5,10)&gt;=7,"+",IF(MOD(AE179+0.5,10)&lt;3,"-",""))),"")</f>
        <v/>
      </c>
      <c r="AH179" s="36">
        <f>IF(A179&lt;&gt;"",MIN(MAX(AA179,AE179),AA179+$AH$8,AE179+$AH$8),"")</f>
        <v>100</v>
      </c>
      <c r="AI179" s="32" t="str">
        <f>IF(A179&lt;&gt;"",CHOOSE(10-MIN(9,TRUNC((AH179+0.5)/10)),"A","B","C","D","F","F","F","F","F","F"),"")</f>
        <v>A</v>
      </c>
      <c r="AJ179" s="32" t="str">
        <f>IF(A179&lt;&gt;"",IF(OR(AH179+0.5&gt;=93,AH179+0.5&lt;60),"",IF(MOD(AH179+0.5,10)&gt;=7,"+",IF(MOD(AH179+0.5,10)&lt;3,"-",""))),"")</f>
        <v/>
      </c>
      <c r="AK179" s="32" t="b">
        <f>IF(A179&lt;&gt;"",OR(AI179&lt;&gt;AC179,AJ179&lt;&gt;AD179),"")</f>
        <v>0</v>
      </c>
      <c r="AL179" s="84">
        <f>IF(AND(A179&lt;&gt;"",U179&lt;&gt;""),SUM(U179,$AL$8)/$AL$2*100,"")</f>
        <v>82.666666666666671</v>
      </c>
      <c r="AM179" s="24">
        <f>IF(AND(A179&lt;&gt;"",V179&lt;&gt;""),SUM(V179,$AM$8)/$AM$2*100,"")</f>
        <v>100.76923076923077</v>
      </c>
      <c r="AN179" s="24">
        <f>IF(AND(A179&lt;&gt;"",ISNUMBER(P179),P179&gt;=0),SUM(P179,$AN$8)/$AN$2*100,"")</f>
        <v>100</v>
      </c>
      <c r="AO179" s="24" t="str">
        <f>IF(AND(A179&lt;&gt;"",ISNUMBER(Q179),Q179&gt;=0),SUM(Q179,$AO$8)/$AO$2*100,"")</f>
        <v/>
      </c>
      <c r="AP179" s="24" t="str">
        <f>IF(AND(A179&lt;&gt;"",R179&lt;&gt;""),SUM(R179,$AP$8)/$AP$2*100,"")</f>
        <v/>
      </c>
      <c r="AQ179" s="24">
        <f>IF(AND(A179&lt;&gt;"",ISNUMBER(W179),W179&gt;=0),SUM(W179,$AQ$8)/$AQ$2*100,"")</f>
        <v>100</v>
      </c>
      <c r="AR179" s="24" t="str">
        <f>IF(AND(A179&lt;&gt;"",T179&gt;0,ISNUMBER(T179)),SUM(T179,$AR$8)/$AR$2*100,"")</f>
        <v/>
      </c>
      <c r="AS179" s="24" t="str">
        <f>IF(AND(A179&lt;&gt;"",X179&lt;&gt;""),SUM(X179,$AS$8)/$AS$2*100,"")</f>
        <v/>
      </c>
      <c r="AT179" s="89">
        <f>IF(AND(A179&lt;&gt;"",OR(ISNUMBER(W179),ISNUMBER(X179))),SUM(W179:X179,$AT$8)/$AT$2*100,"")</f>
        <v>100</v>
      </c>
      <c r="AU179" s="24">
        <f>AA179</f>
        <v>96.393442622950815</v>
      </c>
      <c r="AV179" s="24"/>
      <c r="AW179" s="27">
        <f>IF(A179&lt;&gt;"",AE179-AA179,"")</f>
        <v>3.6065573770491852</v>
      </c>
      <c r="AY179" s="27" t="b">
        <f>S179&gt;R179</f>
        <v>0</v>
      </c>
      <c r="BA179" s="27" t="e">
        <f>AND(AA179&gt;$BA$3,(W179+$W$8)/$W$2&lt;$BB$3,(X179+$X$8)/$X$2&lt;$BB$3)</f>
        <v>#VALUE!</v>
      </c>
      <c r="BB179" s="27" t="e">
        <f>AND(AA179&lt;$BA$3,AND(W179/$W$2&gt;$BB$3,X179/$X$2&gt;$BB$3))</f>
        <v>#VALUE!</v>
      </c>
      <c r="BC179" s="27" t="e">
        <f>AND(AA179&lt;$BA$3,OR(W179/$W$2&gt;$BB$3,X179/$X$2&gt;$BB$3))</f>
        <v>#VALUE!</v>
      </c>
      <c r="BE179" s="32" t="s">
        <v>84</v>
      </c>
    </row>
    <row r="180" spans="1:57" s="27" customFormat="1" ht="12.75" customHeight="1" x14ac:dyDescent="0.2">
      <c r="A180" s="10">
        <v>342005</v>
      </c>
      <c r="B180" s="2">
        <v>23</v>
      </c>
      <c r="C180" s="10">
        <v>23</v>
      </c>
      <c r="D180" s="10">
        <v>25</v>
      </c>
      <c r="E180" s="10"/>
      <c r="F180" s="10"/>
      <c r="G180" s="10"/>
      <c r="H180" s="10"/>
      <c r="I180" s="10"/>
      <c r="J180" s="2">
        <v>32</v>
      </c>
      <c r="K180" s="10">
        <v>52</v>
      </c>
      <c r="L180" s="10">
        <v>52</v>
      </c>
      <c r="M180" s="10"/>
      <c r="N180" s="93"/>
      <c r="O180" s="13"/>
      <c r="P180" s="10">
        <v>101</v>
      </c>
      <c r="Q180" s="10"/>
      <c r="R180" s="2"/>
      <c r="S180" s="10"/>
      <c r="T180" s="13"/>
      <c r="U180" s="1">
        <f t="array" ref="U180">IF(AND(A180&lt;&gt;"",OR(ISNUMBER(B180:I180))),SUM(B180:I180),"")</f>
        <v>71</v>
      </c>
      <c r="V180" s="10">
        <f t="array" ref="V180">IF(AND(A180&lt;&gt;"",OR(ISNUMBER(J180:O180))),SUM(J180:O180),"")</f>
        <v>136</v>
      </c>
      <c r="W180" s="10">
        <f t="array" ref="W180">IF(AND(A180&lt;&gt;"",OR(ISNUMBER(P180),ISNUMBER(Q180))),SUM(MAX(P180:Q180),Q180),"")</f>
        <v>101</v>
      </c>
      <c r="X180" s="10" t="str">
        <f t="array" ref="X180">IF(AND(A180&lt;&gt;"",OR(ISNUMBER(S180),ISNUMBER(T180))),SUM(S180,T180),"")</f>
        <v/>
      </c>
      <c r="Y180" s="13">
        <v>1</v>
      </c>
      <c r="Z180" s="13">
        <f>IF(A180&lt;&gt;"",SUM(U180:Y180),"")</f>
        <v>309</v>
      </c>
      <c r="AA180" s="27">
        <f>IF(A180&lt;&gt;"",(Z180+Normalize_To_Add)/(Point_Total_So_Far)*100,"")</f>
        <v>101.31147540983608</v>
      </c>
      <c r="AB180" s="10">
        <f>IF(A180&lt;&gt;"",RANK(AA180,All_Student_XC),"")</f>
        <v>35</v>
      </c>
      <c r="AC180" s="32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/>
      </c>
      <c r="AE180" s="32">
        <f>IF(A180&lt;&gt;"",SUM(W180:X180,$W$8:$X$8)/SUM($W$2:$X$2)*100,"")</f>
        <v>101</v>
      </c>
      <c r="AF180" s="32" t="str">
        <f>IF(A180&lt;&gt;"",CHOOSE(10-MIN(9,TRUNC((AE180+0.5)/10)),"A","B","C","D","F","F","F","F","F","F"),"")</f>
        <v>A</v>
      </c>
      <c r="AG180" s="32" t="str">
        <f>IF(A180&lt;&gt;"",IF(OR(AE180+0.5&gt;=93,AE180+0.5&lt;60),"",IF(MOD(AE180+0.5,10)&gt;=7,"+",IF(MOD(AE180+0.5,10)&lt;3,"-",""))),"")</f>
        <v/>
      </c>
      <c r="AH180" s="36">
        <f>IF(A180&lt;&gt;"",MIN(MAX(AA180,AE180),AA180+$AH$8,AE180+$AH$8),"")</f>
        <v>101.31147540983608</v>
      </c>
      <c r="AI180" s="32" t="str">
        <f>IF(A180&lt;&gt;"",CHOOSE(10-MIN(9,TRUNC((AH180+0.5)/10)),"A","B","C","D","F","F","F","F","F","F"),"")</f>
        <v>A</v>
      </c>
      <c r="AJ180" s="32" t="str">
        <f>IF(A180&lt;&gt;"",IF(OR(AH180+0.5&gt;=93,AH180+0.5&lt;60),"",IF(MOD(AH180+0.5,10)&gt;=7,"+",IF(MOD(AH180+0.5,10)&lt;3,"-",""))),"")</f>
        <v/>
      </c>
      <c r="AK180" s="71" t="b">
        <f>IF(A180&lt;&gt;"",OR(AI180&lt;&gt;AC180,AJ180&lt;&gt;AD180),"")</f>
        <v>0</v>
      </c>
      <c r="AL180" s="86">
        <f>IF(AND(A180&lt;&gt;"",U180&lt;&gt;""),SUM(U180,$AL$8)/$AL$2*100,"")</f>
        <v>94.666666666666671</v>
      </c>
      <c r="AM180" s="71">
        <f>IF(AND(A180&lt;&gt;"",V180&lt;&gt;""),SUM(V180,$AM$8)/$AM$2*100,"")</f>
        <v>104.61538461538463</v>
      </c>
      <c r="AN180" s="71">
        <f>IF(AND(A180&lt;&gt;"",ISNUMBER(P180),P180&gt;=0),SUM(P180,$AN$8)/$AN$2*100,"")</f>
        <v>101</v>
      </c>
      <c r="AO180" s="71" t="str">
        <f>IF(AND(A180&lt;&gt;"",ISNUMBER(Q180),Q180&gt;=0),SUM(Q180,$AO$8)/$AO$2*100,"")</f>
        <v/>
      </c>
      <c r="AP180" s="24" t="str">
        <f>IF(AND(A180&lt;&gt;"",R180&lt;&gt;""),SUM(R180,$AP$8)/$AP$2*100,"")</f>
        <v/>
      </c>
      <c r="AQ180" s="24">
        <f>IF(AND(A180&lt;&gt;"",ISNUMBER(W180),W180&gt;=0),SUM(W180,$AQ$8)/$AQ$2*100,"")</f>
        <v>101</v>
      </c>
      <c r="AR180" s="24" t="str">
        <f>IF(AND(A180&lt;&gt;"",T180&gt;0,ISNUMBER(T180)),SUM(T180,$AR$8)/$AR$2*100,"")</f>
        <v/>
      </c>
      <c r="AS180" s="24" t="str">
        <f>IF(AND(A180&lt;&gt;"",X180&lt;&gt;""),SUM(X180,$AS$8)/$AS$2*100,"")</f>
        <v/>
      </c>
      <c r="AT180" s="89">
        <f>IF(AND(A180&lt;&gt;"",OR(ISNUMBER(W180),ISNUMBER(X180))),SUM(W180:X180,$AT$8)/$AT$2*100,"")</f>
        <v>101</v>
      </c>
      <c r="AU180" s="24">
        <f>AA180</f>
        <v>101.31147540983608</v>
      </c>
      <c r="AV180" s="71"/>
      <c r="AW180" s="27">
        <f>IF(A180&lt;&gt;"",AE180-AA180,"")</f>
        <v>-0.31147540983607769</v>
      </c>
      <c r="AY180" s="27" t="b">
        <f>S180&gt;R180</f>
        <v>0</v>
      </c>
      <c r="BA180" s="27" t="e">
        <f>AND(AA180&gt;$BA$3,(W180+$W$8)/$W$2&lt;$BB$3,(X180+$X$8)/$X$2&lt;$BB$3)</f>
        <v>#VALUE!</v>
      </c>
      <c r="BB180" s="27" t="e">
        <f>AND(AA180&lt;$BA$3,AND(W180/$W$2&gt;$BB$3,X180/$X$2&gt;$BB$3))</f>
        <v>#VALUE!</v>
      </c>
      <c r="BC180" s="27" t="e">
        <f>AND(AA180&lt;$BA$3,OR(W180/$W$2&gt;$BB$3,X180/$X$2&gt;$BB$3))</f>
        <v>#VALUE!</v>
      </c>
      <c r="BE180" s="32" t="s">
        <v>84</v>
      </c>
    </row>
    <row r="181" spans="1:57" s="27" customFormat="1" ht="12.75" customHeight="1" x14ac:dyDescent="0.2">
      <c r="A181" s="10">
        <v>343332</v>
      </c>
      <c r="B181" s="2">
        <v>19</v>
      </c>
      <c r="C181" s="10">
        <v>13</v>
      </c>
      <c r="D181" s="10">
        <v>22</v>
      </c>
      <c r="E181" s="10"/>
      <c r="F181" s="10"/>
      <c r="G181" s="3"/>
      <c r="H181" s="10"/>
      <c r="I181" s="10"/>
      <c r="J181" s="2">
        <v>29</v>
      </c>
      <c r="K181" s="10">
        <v>20</v>
      </c>
      <c r="L181" s="10">
        <v>35</v>
      </c>
      <c r="M181" s="10"/>
      <c r="N181" s="10"/>
      <c r="O181" s="12"/>
      <c r="P181" s="7">
        <v>80</v>
      </c>
      <c r="Q181" s="7"/>
      <c r="R181" s="2"/>
      <c r="S181" s="10"/>
      <c r="T181" s="13"/>
      <c r="U181" s="77">
        <f t="array" ref="U181">IF(AND(A181&lt;&gt;"",OR(ISNUMBER(B181:I181))),SUM(B181:I181),"")</f>
        <v>54</v>
      </c>
      <c r="V181" s="10">
        <f t="array" ref="V181">IF(AND(A181&lt;&gt;"",OR(ISNUMBER(J181:O181))),SUM(J181:O181),"")</f>
        <v>84</v>
      </c>
      <c r="W181" s="10">
        <f t="array" ref="W181">IF(AND(A181&lt;&gt;"",OR(ISNUMBER(P181),ISNUMBER(Q181))),SUM(MAX(P181:Q181),Q181),"")</f>
        <v>80</v>
      </c>
      <c r="X181" s="10" t="str">
        <f t="array" ref="X181">IF(AND(A181&lt;&gt;"",OR(ISNUMBER(S181),ISNUMBER(T181))),SUM(S181,T181),"")</f>
        <v/>
      </c>
      <c r="Y181" s="13">
        <v>1</v>
      </c>
      <c r="Z181" s="13">
        <f>IF(A181&lt;&gt;"",SUM(U181:Y181),"")</f>
        <v>219</v>
      </c>
      <c r="AA181" s="27">
        <f>IF(A181&lt;&gt;"",(Z181+Normalize_To_Add)/(Point_Total_So_Far)*100,"")</f>
        <v>71.803278688524586</v>
      </c>
      <c r="AB181" s="10">
        <f>IF(A181&lt;&gt;"",RANK(AA181,All_Student_XC),"")</f>
        <v>451</v>
      </c>
      <c r="AC181" s="32" t="str">
        <f>IF(A181&lt;&gt;"",CHOOSE(10-MIN(9,TRUNC((AA181+0.5)/10)),"A","B","C","D","F","F","F","F","F","F"),"")</f>
        <v>C</v>
      </c>
      <c r="AD181" s="32" t="str">
        <f>IF(A181&lt;&gt;"",IF(OR(AA181+0.5&gt;=93,AA181+0.5&lt;60),"",IF(MOD(AA181+0.5,10)&gt;=7,"+",IF(MOD(AA181+0.5,10)&lt;3,"-",""))),"")</f>
        <v>-</v>
      </c>
      <c r="AE181" s="32">
        <f>IF(A181&lt;&gt;"",SUM(W181:X181,$W$8:$X$8)/SUM($W$2:$X$2)*100,"")</f>
        <v>80</v>
      </c>
      <c r="AF181" s="32" t="str">
        <f>IF(A181&lt;&gt;"",CHOOSE(10-MIN(9,TRUNC((AE181+0.5)/10)),"A","B","C","D","F","F","F","F","F","F"),"")</f>
        <v>B</v>
      </c>
      <c r="AG181" s="32" t="str">
        <f>IF(A181&lt;&gt;"",IF(OR(AE181+0.5&gt;=93,AE181+0.5&lt;60),"",IF(MOD(AE181+0.5,10)&gt;=7,"+",IF(MOD(AE181+0.5,10)&lt;3,"-",""))),"")</f>
        <v>-</v>
      </c>
      <c r="AH181" s="36">
        <f>IF(A181&lt;&gt;"",MIN(MAX(AA181,AE181),AA181+$AH$8,AE181+$AH$8),"")</f>
        <v>80</v>
      </c>
      <c r="AI181" s="32" t="str">
        <f>IF(A181&lt;&gt;"",CHOOSE(10-MIN(9,TRUNC((AH181+0.5)/10)),"A","B","C","D","F","F","F","F","F","F"),"")</f>
        <v>B</v>
      </c>
      <c r="AJ181" s="32" t="str">
        <f>IF(A181&lt;&gt;"",IF(OR(AH181+0.5&gt;=93,AH181+0.5&lt;60),"",IF(MOD(AH181+0.5,10)&gt;=7,"+",IF(MOD(AH181+0.5,10)&lt;3,"-",""))),"")</f>
        <v>-</v>
      </c>
      <c r="AK181" s="32" t="b">
        <f>IF(A181&lt;&gt;"",OR(AI181&lt;&gt;AC181,AJ181&lt;&gt;AD181),"")</f>
        <v>1</v>
      </c>
      <c r="AL181" s="84">
        <f>IF(AND(A181&lt;&gt;"",U181&lt;&gt;""),SUM(U181,$AL$8)/$AL$2*100,"")</f>
        <v>72</v>
      </c>
      <c r="AM181" s="24">
        <f>IF(AND(A181&lt;&gt;"",V181&lt;&gt;""),SUM(V181,$AM$8)/$AM$2*100,"")</f>
        <v>64.615384615384613</v>
      </c>
      <c r="AN181" s="24">
        <f>IF(AND(A181&lt;&gt;"",ISNUMBER(P181),P181&gt;=0),SUM(P181,$AN$8)/$AN$2*100,"")</f>
        <v>80</v>
      </c>
      <c r="AO181" s="24" t="str">
        <f>IF(AND(A181&lt;&gt;"",ISNUMBER(Q181),Q181&gt;=0),SUM(Q181,$AO$8)/$AO$2*100,"")</f>
        <v/>
      </c>
      <c r="AP181" s="24" t="str">
        <f>IF(AND(A181&lt;&gt;"",R181&lt;&gt;""),SUM(R181,$AP$8)/$AP$2*100,"")</f>
        <v/>
      </c>
      <c r="AQ181" s="24">
        <f>IF(AND(A181&lt;&gt;"",ISNUMBER(W181),W181&gt;=0),SUM(W181,$AQ$8)/$AQ$2*100,"")</f>
        <v>80</v>
      </c>
      <c r="AR181" s="24" t="str">
        <f>IF(AND(A181&lt;&gt;"",T181&gt;0,ISNUMBER(T181)),SUM(T181,$AR$8)/$AR$2*100,"")</f>
        <v/>
      </c>
      <c r="AS181" s="24" t="str">
        <f>IF(AND(A181&lt;&gt;"",X181&lt;&gt;""),SUM(X181,$AS$8)/$AS$2*100,"")</f>
        <v/>
      </c>
      <c r="AT181" s="89">
        <f>IF(AND(A181&lt;&gt;"",OR(ISNUMBER(W181),ISNUMBER(X181))),SUM(W181:X181,$AT$8)/$AT$2*100,"")</f>
        <v>80</v>
      </c>
      <c r="AU181" s="24">
        <f>AA181</f>
        <v>71.803278688524586</v>
      </c>
      <c r="AV181" s="24"/>
      <c r="AW181" s="27">
        <f>IF(A181&lt;&gt;"",AE181-AA181,"")</f>
        <v>8.1967213114754145</v>
      </c>
      <c r="AY181" s="27" t="b">
        <f>S181&gt;R181</f>
        <v>0</v>
      </c>
      <c r="BA181" s="27" t="e">
        <f>AND(AA181&gt;$BA$3,(W181+$W$8)/$W$2&lt;$BB$3,(X181+$X$8)/$X$2&lt;$BB$3)</f>
        <v>#VALUE!</v>
      </c>
      <c r="BB181" s="27" t="e">
        <f>AND(AA181&lt;$BA$3,AND(W181/$W$2&gt;$BB$3,X181/$X$2&gt;$BB$3))</f>
        <v>#VALUE!</v>
      </c>
      <c r="BC181" s="27" t="e">
        <f>AND(AA181&lt;$BA$3,OR(W181/$W$2&gt;$BB$3,X181/$X$2&gt;$BB$3))</f>
        <v>#VALUE!</v>
      </c>
      <c r="BE181" s="32">
        <v>32</v>
      </c>
    </row>
    <row r="182" spans="1:57" s="27" customFormat="1" ht="12.75" customHeight="1" x14ac:dyDescent="0.2">
      <c r="A182" s="10">
        <v>344934</v>
      </c>
      <c r="B182" s="2">
        <v>23</v>
      </c>
      <c r="C182" s="10">
        <v>21</v>
      </c>
      <c r="D182" s="10">
        <v>25</v>
      </c>
      <c r="E182" s="10"/>
      <c r="F182" s="10"/>
      <c r="G182" s="10"/>
      <c r="H182" s="10"/>
      <c r="I182" s="10"/>
      <c r="J182" s="2">
        <v>27</v>
      </c>
      <c r="K182" s="10">
        <v>50</v>
      </c>
      <c r="L182" s="10">
        <v>50</v>
      </c>
      <c r="M182" s="10"/>
      <c r="N182" s="10"/>
      <c r="O182" s="12"/>
      <c r="P182" s="7">
        <v>100</v>
      </c>
      <c r="Q182" s="7"/>
      <c r="R182" s="2"/>
      <c r="S182" s="10"/>
      <c r="T182" s="13"/>
      <c r="U182" s="77">
        <f t="array" ref="U182">IF(AND(A182&lt;&gt;"",OR(ISNUMBER(B182:I182))),SUM(B182:I182),"")</f>
        <v>69</v>
      </c>
      <c r="V182" s="10">
        <f t="array" ref="V182">IF(AND(A182&lt;&gt;"",OR(ISNUMBER(J182:O182))),SUM(J182:O182),"")</f>
        <v>127</v>
      </c>
      <c r="W182" s="10">
        <f t="array" ref="W182">IF(AND(A182&lt;&gt;"",OR(ISNUMBER(P182),ISNUMBER(Q182))),SUM(MAX(P182:Q182),Q182),"")</f>
        <v>100</v>
      </c>
      <c r="X182" s="10" t="str">
        <f t="array" ref="X182">IF(AND(A182&lt;&gt;"",OR(ISNUMBER(S182),ISNUMBER(T182))),SUM(S182,T182),"")</f>
        <v/>
      </c>
      <c r="Y182" s="13">
        <v>1</v>
      </c>
      <c r="Z182" s="13">
        <f>IF(A182&lt;&gt;"",SUM(U182:Y182),"")</f>
        <v>297</v>
      </c>
      <c r="AA182" s="27">
        <f>IF(A182&lt;&gt;"",(Z182+Normalize_To_Add)/(Point_Total_So_Far)*100,"")</f>
        <v>97.377049180327873</v>
      </c>
      <c r="AB182" s="10">
        <f>IF(A182&lt;&gt;"",RANK(AA182,All_Student_XC),"")</f>
        <v>224</v>
      </c>
      <c r="AC182" s="32" t="str">
        <f>IF(A182&lt;&gt;"",CHOOSE(10-MIN(9,TRUNC((AA182+0.5)/10)),"A","B","C","D","F","F","F","F","F","F"),"")</f>
        <v>A</v>
      </c>
      <c r="AD182" s="32" t="str">
        <f>IF(A182&lt;&gt;"",IF(OR(AA182+0.5&gt;=93,AA182+0.5&lt;60),"",IF(MOD(AA182+0.5,10)&gt;=7,"+",IF(MOD(AA182+0.5,10)&lt;3,"-",""))),"")</f>
        <v/>
      </c>
      <c r="AE182" s="32">
        <f>IF(A182&lt;&gt;"",SUM(W182:X182,$W$8:$X$8)/SUM($W$2:$X$2)*100,"")</f>
        <v>100</v>
      </c>
      <c r="AF182" s="32" t="str">
        <f>IF(A182&lt;&gt;"",CHOOSE(10-MIN(9,TRUNC((AE182+0.5)/10)),"A","B","C","D","F","F","F","F","F","F"),"")</f>
        <v>A</v>
      </c>
      <c r="AG182" s="32" t="str">
        <f>IF(A182&lt;&gt;"",IF(OR(AE182+0.5&gt;=93,AE182+0.5&lt;60),"",IF(MOD(AE182+0.5,10)&gt;=7,"+",IF(MOD(AE182+0.5,10)&lt;3,"-",""))),"")</f>
        <v/>
      </c>
      <c r="AH182" s="36">
        <f>IF(A182&lt;&gt;"",MIN(MAX(AA182,AE182),AA182+$AH$8,AE182+$AH$8),"")</f>
        <v>100</v>
      </c>
      <c r="AI182" s="32" t="str">
        <f>IF(A182&lt;&gt;"",CHOOSE(10-MIN(9,TRUNC((AH182+0.5)/10)),"A","B","C","D","F","F","F","F","F","F"),"")</f>
        <v>A</v>
      </c>
      <c r="AJ182" s="32" t="str">
        <f>IF(A182&lt;&gt;"",IF(OR(AH182+0.5&gt;=93,AH182+0.5&lt;60),"",IF(MOD(AH182+0.5,10)&gt;=7,"+",IF(MOD(AH182+0.5,10)&lt;3,"-",""))),"")</f>
        <v/>
      </c>
      <c r="AK182" s="32" t="b">
        <f>IF(A182&lt;&gt;"",OR(AI182&lt;&gt;AC182,AJ182&lt;&gt;AD182),"")</f>
        <v>0</v>
      </c>
      <c r="AL182" s="84">
        <f>IF(AND(A182&lt;&gt;"",U182&lt;&gt;""),SUM(U182,$AL$8)/$AL$2*100,"")</f>
        <v>92</v>
      </c>
      <c r="AM182" s="24">
        <f>IF(AND(A182&lt;&gt;"",V182&lt;&gt;""),SUM(V182,$AM$8)/$AM$2*100,"")</f>
        <v>97.692307692307693</v>
      </c>
      <c r="AN182" s="24">
        <f>IF(AND(A182&lt;&gt;"",ISNUMBER(P182),P182&gt;=0),SUM(P182,$AN$8)/$AN$2*100,"")</f>
        <v>100</v>
      </c>
      <c r="AO182" s="24" t="str">
        <f>IF(AND(A182&lt;&gt;"",ISNUMBER(Q182),Q182&gt;=0),SUM(Q182,$AO$8)/$AO$2*100,"")</f>
        <v/>
      </c>
      <c r="AP182" s="24" t="str">
        <f>IF(AND(A182&lt;&gt;"",R182&lt;&gt;""),SUM(R182,$AP$8)/$AP$2*100,"")</f>
        <v/>
      </c>
      <c r="AQ182" s="24">
        <f>IF(AND(A182&lt;&gt;"",ISNUMBER(W182),W182&gt;=0),SUM(W182,$AQ$8)/$AQ$2*100,"")</f>
        <v>100</v>
      </c>
      <c r="AR182" s="24" t="str">
        <f>IF(AND(A182&lt;&gt;"",T182&gt;0,ISNUMBER(T182)),SUM(T182,$AR$8)/$AR$2*100,"")</f>
        <v/>
      </c>
      <c r="AS182" s="24" t="str">
        <f>IF(AND(A182&lt;&gt;"",X182&lt;&gt;""),SUM(X182,$AS$8)/$AS$2*100,"")</f>
        <v/>
      </c>
      <c r="AT182" s="89">
        <f>IF(AND(A182&lt;&gt;"",OR(ISNUMBER(W182),ISNUMBER(X182))),SUM(W182:X182,$AT$8)/$AT$2*100,"")</f>
        <v>100</v>
      </c>
      <c r="AU182" s="24">
        <f>AA182</f>
        <v>97.377049180327873</v>
      </c>
      <c r="AV182" s="24"/>
      <c r="AW182" s="27">
        <f>IF(A182&lt;&gt;"",AE182-AA182,"")</f>
        <v>2.622950819672127</v>
      </c>
      <c r="AY182" s="27" t="b">
        <f>S182&gt;R182</f>
        <v>0</v>
      </c>
      <c r="BA182" s="27" t="e">
        <f>AND(AA182&gt;$BA$3,(W182+$W$8)/$W$2&lt;$BB$3,(X182+$X$8)/$X$2&lt;$BB$3)</f>
        <v>#VALUE!</v>
      </c>
      <c r="BB182" s="27" t="e">
        <f>AND(AA182&lt;$BA$3,AND(W182/$W$2&gt;$BB$3,X182/$X$2&gt;$BB$3))</f>
        <v>#VALUE!</v>
      </c>
      <c r="BC182" s="27" t="e">
        <f>AND(AA182&lt;$BA$3,OR(W182/$W$2&gt;$BB$3,X182/$X$2&gt;$BB$3))</f>
        <v>#VALUE!</v>
      </c>
      <c r="BE182" s="32">
        <v>32</v>
      </c>
    </row>
    <row r="183" spans="1:57" s="27" customFormat="1" ht="12.75" customHeight="1" x14ac:dyDescent="0.2">
      <c r="A183" s="10">
        <v>346169</v>
      </c>
      <c r="B183" s="2">
        <v>25</v>
      </c>
      <c r="C183" s="10">
        <v>25</v>
      </c>
      <c r="D183" s="10">
        <v>25</v>
      </c>
      <c r="E183" s="10"/>
      <c r="F183" s="10"/>
      <c r="G183" s="3"/>
      <c r="H183" s="10"/>
      <c r="I183" s="10"/>
      <c r="J183" s="2">
        <v>29</v>
      </c>
      <c r="K183" s="10">
        <v>52</v>
      </c>
      <c r="L183" s="10">
        <v>52</v>
      </c>
      <c r="M183" s="10"/>
      <c r="N183" s="10"/>
      <c r="O183" s="12"/>
      <c r="P183" s="10">
        <v>101</v>
      </c>
      <c r="Q183" s="41"/>
      <c r="R183" s="2"/>
      <c r="S183" s="10"/>
      <c r="T183" s="13"/>
      <c r="U183" s="1">
        <f t="array" ref="U183">IF(AND(A183&lt;&gt;"",OR(ISNUMBER(B183:I183))),SUM(B183:I183),"")</f>
        <v>75</v>
      </c>
      <c r="V183" s="10">
        <f t="array" ref="V183">IF(AND(A183&lt;&gt;"",OR(ISNUMBER(J183:O183))),SUM(J183:O183),"")</f>
        <v>133</v>
      </c>
      <c r="W183" s="10">
        <f t="array" ref="W183">IF(AND(A183&lt;&gt;"",OR(ISNUMBER(P183),ISNUMBER(Q183))),SUM(MAX(P183:Q183),Q183),"")</f>
        <v>101</v>
      </c>
      <c r="X183" s="10" t="str">
        <f t="array" ref="X183">IF(AND(A183&lt;&gt;"",OR(ISNUMBER(S183),ISNUMBER(T183))),SUM(S183,T183),"")</f>
        <v/>
      </c>
      <c r="Y183" s="13">
        <v>1</v>
      </c>
      <c r="Z183" s="13">
        <f>IF(A183&lt;&gt;"",SUM(U183:Y183),"")</f>
        <v>310</v>
      </c>
      <c r="AA183" s="27">
        <f>IF(A183&lt;&gt;"",(Z183+Normalize_To_Add)/(Point_Total_So_Far)*100,"")</f>
        <v>101.63934426229508</v>
      </c>
      <c r="AB183" s="10">
        <f>IF(A183&lt;&gt;"",RANK(AA183,All_Student_XC),"")</f>
        <v>19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>
        <f>IF(A183&lt;&gt;"",SUM(W183:X183,$W$8:$X$8)/SUM($W$2:$X$2)*100,"")</f>
        <v>101</v>
      </c>
      <c r="AF183" s="32" t="str">
        <f>IF(A183&lt;&gt;"",CHOOSE(10-MIN(9,TRUNC((AE183+0.5)/10)),"A","B","C","D","F","F","F","F","F","F"),"")</f>
        <v>A</v>
      </c>
      <c r="AG183" s="32" t="str">
        <f>IF(A183&lt;&gt;"",IF(OR(AE183+0.5&gt;=93,AE183+0.5&lt;60),"",IF(MOD(AE183+0.5,10)&gt;=7,"+",IF(MOD(AE183+0.5,10)&lt;3,"-",""))),"")</f>
        <v/>
      </c>
      <c r="AH183" s="36">
        <f>IF(A183&lt;&gt;"",MIN(MAX(AA183,AE183),AA183+$AH$8,AE183+$AH$8),"")</f>
        <v>101.63934426229508</v>
      </c>
      <c r="AI183" s="32" t="str">
        <f>IF(A183&lt;&gt;"",CHOOSE(10-MIN(9,TRUNC((AH183+0.5)/10)),"A","B","C","D","F","F","F","F","F","F"),"")</f>
        <v>A</v>
      </c>
      <c r="AJ183" s="32" t="str">
        <f>IF(A183&lt;&gt;"",IF(OR(AH183+0.5&gt;=93,AH183+0.5&lt;60),"",IF(MOD(AH183+0.5,10)&gt;=7,"+",IF(MOD(AH183+0.5,10)&lt;3,"-",""))),"")</f>
        <v/>
      </c>
      <c r="AK183" s="32" t="b">
        <f>IF(A183&lt;&gt;"",OR(AI183&lt;&gt;AC183,AJ183&lt;&gt;AD183),"")</f>
        <v>0</v>
      </c>
      <c r="AL183" s="84">
        <f>IF(AND(A183&lt;&gt;"",U183&lt;&gt;""),SUM(U183,$AL$8)/$AL$2*100,"")</f>
        <v>100</v>
      </c>
      <c r="AM183" s="24">
        <f>IF(AND(A183&lt;&gt;"",V183&lt;&gt;""),SUM(V183,$AM$8)/$AM$2*100,"")</f>
        <v>102.30769230769229</v>
      </c>
      <c r="AN183" s="24">
        <f>IF(AND(A183&lt;&gt;"",ISNUMBER(P183),P183&gt;=0),SUM(P183,$AN$8)/$AN$2*100,"")</f>
        <v>101</v>
      </c>
      <c r="AO183" s="24" t="str">
        <f>IF(AND(A183&lt;&gt;"",ISNUMBER(Q183),Q183&gt;=0),SUM(Q183,$AO$8)/$AO$2*100,"")</f>
        <v/>
      </c>
      <c r="AP183" s="24" t="str">
        <f>IF(AND(A183&lt;&gt;"",R183&lt;&gt;""),SUM(R183,$AP$8)/$AP$2*100,"")</f>
        <v/>
      </c>
      <c r="AQ183" s="24">
        <f>IF(AND(A183&lt;&gt;"",ISNUMBER(W183),W183&gt;=0),SUM(W183,$AQ$8)/$AQ$2*100,"")</f>
        <v>101</v>
      </c>
      <c r="AR183" s="24" t="str">
        <f>IF(AND(A183&lt;&gt;"",T183&gt;0,ISNUMBER(T183)),SUM(T183,$AR$8)/$AR$2*100,"")</f>
        <v/>
      </c>
      <c r="AS183" s="24" t="str">
        <f>IF(AND(A183&lt;&gt;"",X183&lt;&gt;""),SUM(X183,$AS$8)/$AS$2*100,"")</f>
        <v/>
      </c>
      <c r="AT183" s="89">
        <f>IF(AND(A183&lt;&gt;"",OR(ISNUMBER(W183),ISNUMBER(X183))),SUM(W183:X183,$AT$8)/$AT$2*100,"")</f>
        <v>101</v>
      </c>
      <c r="AU183" s="24">
        <f>AA183</f>
        <v>101.63934426229508</v>
      </c>
      <c r="AV183" s="24"/>
      <c r="AW183" s="27">
        <f>IF(A183&lt;&gt;"",AE183-AA183,"")</f>
        <v>-0.6393442622950829</v>
      </c>
      <c r="AY183" s="27" t="b">
        <f>S183&gt;R183</f>
        <v>0</v>
      </c>
      <c r="BA183" s="27" t="e">
        <f>AND(AA183&gt;$BA$3,(W183+$W$8)/$W$2&lt;$BB$3,(X183+$X$8)/$X$2&lt;$BB$3)</f>
        <v>#VALUE!</v>
      </c>
      <c r="BB183" s="27" t="e">
        <f>AND(AA183&lt;$BA$3,AND(W183/$W$2&gt;$BB$3,X183/$X$2&gt;$BB$3))</f>
        <v>#VALUE!</v>
      </c>
      <c r="BC183" s="27" t="e">
        <f>AND(AA183&lt;$BA$3,OR(W183/$W$2&gt;$BB$3,X183/$X$2&gt;$BB$3))</f>
        <v>#VALUE!</v>
      </c>
      <c r="BE183" s="32" t="s">
        <v>84</v>
      </c>
    </row>
    <row r="184" spans="1:57" s="27" customFormat="1" ht="12.75" customHeight="1" x14ac:dyDescent="0.2">
      <c r="A184" s="10">
        <v>347156</v>
      </c>
      <c r="B184" s="2">
        <v>20</v>
      </c>
      <c r="C184" s="10">
        <v>23</v>
      </c>
      <c r="D184" s="10">
        <v>25</v>
      </c>
      <c r="E184" s="10"/>
      <c r="F184" s="10"/>
      <c r="G184" s="10"/>
      <c r="H184" s="10"/>
      <c r="I184" s="10"/>
      <c r="J184" s="2">
        <v>30</v>
      </c>
      <c r="K184" s="10">
        <v>52</v>
      </c>
      <c r="L184" s="10">
        <v>51</v>
      </c>
      <c r="M184" s="10"/>
      <c r="N184" s="93"/>
      <c r="O184" s="13"/>
      <c r="P184" s="10">
        <v>101</v>
      </c>
      <c r="Q184" s="10"/>
      <c r="R184" s="2"/>
      <c r="S184" s="10"/>
      <c r="T184" s="13"/>
      <c r="U184" s="1">
        <f t="array" ref="U184">IF(AND(A184&lt;&gt;"",OR(ISNUMBER(B184:I184))),SUM(B184:I184),"")</f>
        <v>68</v>
      </c>
      <c r="V184" s="10">
        <f t="array" ref="V184">IF(AND(A184&lt;&gt;"",OR(ISNUMBER(J184:O184))),SUM(J184:O184),"")</f>
        <v>133</v>
      </c>
      <c r="W184" s="10">
        <f t="array" ref="W184">IF(AND(A184&lt;&gt;"",OR(ISNUMBER(P184),ISNUMBER(Q184))),SUM(MAX(P184:Q184),Q184),"")</f>
        <v>101</v>
      </c>
      <c r="X184" s="10" t="str">
        <f t="array" ref="X184">IF(AND(A184&lt;&gt;"",OR(ISNUMBER(S184),ISNUMBER(T184))),SUM(S184,T184),"")</f>
        <v/>
      </c>
      <c r="Y184" s="13">
        <v>1</v>
      </c>
      <c r="Z184" s="13">
        <f>IF(A184&lt;&gt;"",SUM(U184:Y184),"")</f>
        <v>303</v>
      </c>
      <c r="AA184" s="27">
        <f>IF(A184&lt;&gt;"",(Z184+Normalize_To_Add)/(Point_Total_So_Far)*100,"")</f>
        <v>99.344262295081961</v>
      </c>
      <c r="AB184" s="10">
        <f>IF(A184&lt;&gt;"",RANK(AA184,All_Student_XC),"")</f>
        <v>145</v>
      </c>
      <c r="AC184" s="32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2">
        <f>IF(A184&lt;&gt;"",SUM(W184:X184,$W$8:$X$8)/SUM($W$2:$X$2)*100,"")</f>
        <v>101</v>
      </c>
      <c r="AF184" s="32" t="str">
        <f>IF(A184&lt;&gt;"",CHOOSE(10-MIN(9,TRUNC((AE184+0.5)/10)),"A","B","C","D","F","F","F","F","F","F"),"")</f>
        <v>A</v>
      </c>
      <c r="AG184" s="32" t="str">
        <f>IF(A184&lt;&gt;"",IF(OR(AE184+0.5&gt;=93,AE184+0.5&lt;60),"",IF(MOD(AE184+0.5,10)&gt;=7,"+",IF(MOD(AE184+0.5,10)&lt;3,"-",""))),"")</f>
        <v/>
      </c>
      <c r="AH184" s="36">
        <f>IF(A184&lt;&gt;"",MIN(MAX(AA184,AE184),AA184+$AH$8,AE184+$AH$8),"")</f>
        <v>101</v>
      </c>
      <c r="AI184" s="32" t="str">
        <f>IF(A184&lt;&gt;"",CHOOSE(10-MIN(9,TRUNC((AH184+0.5)/10)),"A","B","C","D","F","F","F","F","F","F"),"")</f>
        <v>A</v>
      </c>
      <c r="AJ184" s="32" t="str">
        <f>IF(A184&lt;&gt;"",IF(OR(AH184+0.5&gt;=93,AH184+0.5&lt;60),"",IF(MOD(AH184+0.5,10)&gt;=7,"+",IF(MOD(AH184+0.5,10)&lt;3,"-",""))),"")</f>
        <v/>
      </c>
      <c r="AK184" s="71" t="b">
        <f>IF(A184&lt;&gt;"",OR(AI184&lt;&gt;AC184,AJ184&lt;&gt;AD184),"")</f>
        <v>0</v>
      </c>
      <c r="AL184" s="86">
        <f>IF(AND(A184&lt;&gt;"",U184&lt;&gt;""),SUM(U184,$AL$8)/$AL$2*100,"")</f>
        <v>90.666666666666657</v>
      </c>
      <c r="AM184" s="71">
        <f>IF(AND(A184&lt;&gt;"",V184&lt;&gt;""),SUM(V184,$AM$8)/$AM$2*100,"")</f>
        <v>102.30769230769229</v>
      </c>
      <c r="AN184" s="71">
        <f>IF(AND(A184&lt;&gt;"",ISNUMBER(P184),P184&gt;=0),SUM(P184,$AN$8)/$AN$2*100,"")</f>
        <v>101</v>
      </c>
      <c r="AO184" s="71" t="str">
        <f>IF(AND(A184&lt;&gt;"",ISNUMBER(Q184),Q184&gt;=0),SUM(Q184,$AO$8)/$AO$2*100,"")</f>
        <v/>
      </c>
      <c r="AP184" s="24" t="str">
        <f>IF(AND(A184&lt;&gt;"",R184&lt;&gt;""),SUM(R184,$AP$8)/$AP$2*100,"")</f>
        <v/>
      </c>
      <c r="AQ184" s="24">
        <f>IF(AND(A184&lt;&gt;"",ISNUMBER(W184),W184&gt;=0),SUM(W184,$AQ$8)/$AQ$2*100,"")</f>
        <v>101</v>
      </c>
      <c r="AR184" s="24" t="str">
        <f>IF(AND(A184&lt;&gt;"",T184&gt;0,ISNUMBER(T184)),SUM(T184,$AR$8)/$AR$2*100,"")</f>
        <v/>
      </c>
      <c r="AS184" s="24" t="str">
        <f>IF(AND(A184&lt;&gt;"",X184&lt;&gt;""),SUM(X184,$AS$8)/$AS$2*100,"")</f>
        <v/>
      </c>
      <c r="AT184" s="89">
        <f>IF(AND(A184&lt;&gt;"",OR(ISNUMBER(W184),ISNUMBER(X184))),SUM(W184:X184,$AT$8)/$AT$2*100,"")</f>
        <v>101</v>
      </c>
      <c r="AU184" s="24">
        <f>AA184</f>
        <v>99.344262295081961</v>
      </c>
      <c r="AV184" s="71"/>
      <c r="AW184" s="27">
        <f>IF(A184&lt;&gt;"",AE184-AA184,"")</f>
        <v>1.6557377049180388</v>
      </c>
      <c r="AY184" s="27" t="b">
        <f>S184&gt;R184</f>
        <v>0</v>
      </c>
      <c r="BA184" s="27" t="e">
        <f>AND(AA184&gt;$BA$3,(W184+$W$8)/$W$2&lt;$BB$3,(X184+$X$8)/$X$2&lt;$BB$3)</f>
        <v>#VALUE!</v>
      </c>
      <c r="BB184" s="27" t="e">
        <f>AND(AA184&lt;$BA$3,AND(W184/$W$2&gt;$BB$3,X184/$X$2&gt;$BB$3))</f>
        <v>#VALUE!</v>
      </c>
      <c r="BC184" s="27" t="e">
        <f>AND(AA184&lt;$BA$3,OR(W184/$W$2&gt;$BB$3,X184/$X$2&gt;$BB$3))</f>
        <v>#VALUE!</v>
      </c>
      <c r="BE184" s="32" t="s">
        <v>84</v>
      </c>
    </row>
    <row r="185" spans="1:57" s="27" customFormat="1" ht="12.75" customHeight="1" x14ac:dyDescent="0.2">
      <c r="A185" s="10">
        <v>347238</v>
      </c>
      <c r="B185" s="2">
        <v>11</v>
      </c>
      <c r="C185" s="10">
        <v>19</v>
      </c>
      <c r="D185" s="10">
        <v>13</v>
      </c>
      <c r="E185" s="10"/>
      <c r="F185" s="10"/>
      <c r="G185" s="10"/>
      <c r="H185" s="10"/>
      <c r="I185" s="10"/>
      <c r="J185" s="2">
        <v>30</v>
      </c>
      <c r="K185" s="10">
        <v>51</v>
      </c>
      <c r="L185" s="10">
        <v>50</v>
      </c>
      <c r="M185" s="10"/>
      <c r="N185" s="93"/>
      <c r="O185" s="13"/>
      <c r="P185" s="10">
        <v>100</v>
      </c>
      <c r="Q185" s="10"/>
      <c r="R185" s="2"/>
      <c r="S185" s="10"/>
      <c r="T185" s="13"/>
      <c r="U185" s="1">
        <f t="array" ref="U185">IF(AND(A185&lt;&gt;"",OR(ISNUMBER(B185:I185))),SUM(B185:I185),"")</f>
        <v>43</v>
      </c>
      <c r="V185" s="10">
        <f t="array" ref="V185">IF(AND(A185&lt;&gt;"",OR(ISNUMBER(J185:O185))),SUM(J185:O185),"")</f>
        <v>131</v>
      </c>
      <c r="W185" s="10">
        <f t="array" ref="W185">IF(AND(A185&lt;&gt;"",OR(ISNUMBER(P185),ISNUMBER(Q185))),SUM(MAX(P185:Q185),Q185),"")</f>
        <v>100</v>
      </c>
      <c r="X185" s="10" t="str">
        <f t="array" ref="X185">IF(AND(A185&lt;&gt;"",OR(ISNUMBER(S185),ISNUMBER(T185))),SUM(S185,T185),"")</f>
        <v/>
      </c>
      <c r="Y185" s="13">
        <v>1</v>
      </c>
      <c r="Z185" s="13">
        <f>IF(A185&lt;&gt;"",SUM(U185:Y185),"")</f>
        <v>275</v>
      </c>
      <c r="AA185" s="27">
        <f>IF(A185&lt;&gt;"",(Z185+Normalize_To_Add)/(Point_Total_So_Far)*100,"")</f>
        <v>90.163934426229503</v>
      </c>
      <c r="AB185" s="10">
        <f>IF(A185&lt;&gt;"",RANK(AA185,All_Student_XC),"")</f>
        <v>335</v>
      </c>
      <c r="AC185" s="32" t="str">
        <f>IF(A185&lt;&gt;"",CHOOSE(10-MIN(9,TRUNC((AA185+0.5)/10)),"A","B","C","D","F","F","F","F","F","F"),"")</f>
        <v>A</v>
      </c>
      <c r="AD185" s="31" t="str">
        <f>IF(A185&lt;&gt;"",IF(OR(AA185+0.5&gt;=93,AA185+0.5&lt;60),"",IF(MOD(AA185+0.5,10)&gt;=7,"+",IF(MOD(AA185+0.5,10)&lt;3,"-",""))),"")</f>
        <v>-</v>
      </c>
      <c r="AE185" s="32">
        <f>IF(A185&lt;&gt;"",SUM(W185:X185,$W$8:$X$8)/SUM($W$2:$X$2)*100,"")</f>
        <v>100</v>
      </c>
      <c r="AF185" s="32" t="str">
        <f>IF(A185&lt;&gt;"",CHOOSE(10-MIN(9,TRUNC((AE185+0.5)/10)),"A","B","C","D","F","F","F","F","F","F"),"")</f>
        <v>A</v>
      </c>
      <c r="AG185" s="32" t="str">
        <f>IF(A185&lt;&gt;"",IF(OR(AE185+0.5&gt;=93,AE185+0.5&lt;60),"",IF(MOD(AE185+0.5,10)&gt;=7,"+",IF(MOD(AE185+0.5,10)&lt;3,"-",""))),"")</f>
        <v/>
      </c>
      <c r="AH185" s="36">
        <f>IF(A185&lt;&gt;"",MIN(MAX(AA185,AE185),AA185+$AH$8,AE185+$AH$8),"")</f>
        <v>100</v>
      </c>
      <c r="AI185" s="32" t="str">
        <f>IF(A185&lt;&gt;"",CHOOSE(10-MIN(9,TRUNC((AH185+0.5)/10)),"A","B","C","D","F","F","F","F","F","F"),"")</f>
        <v>A</v>
      </c>
      <c r="AJ185" s="32" t="str">
        <f>IF(A185&lt;&gt;"",IF(OR(AH185+0.5&gt;=93,AH185+0.5&lt;60),"",IF(MOD(AH185+0.5,10)&gt;=7,"+",IF(MOD(AH185+0.5,10)&lt;3,"-",""))),"")</f>
        <v/>
      </c>
      <c r="AK185" s="71" t="b">
        <f>IF(A185&lt;&gt;"",OR(AI185&lt;&gt;AC185,AJ185&lt;&gt;AD185),"")</f>
        <v>1</v>
      </c>
      <c r="AL185" s="86">
        <f>IF(AND(A185&lt;&gt;"",U185&lt;&gt;""),SUM(U185,$AL$8)/$AL$2*100,"")</f>
        <v>57.333333333333336</v>
      </c>
      <c r="AM185" s="71">
        <f>IF(AND(A185&lt;&gt;"",V185&lt;&gt;""),SUM(V185,$AM$8)/$AM$2*100,"")</f>
        <v>100.76923076923077</v>
      </c>
      <c r="AN185" s="71">
        <f>IF(AND(A185&lt;&gt;"",ISNUMBER(P185),P185&gt;=0),SUM(P185,$AN$8)/$AN$2*100,"")</f>
        <v>100</v>
      </c>
      <c r="AO185" s="71" t="str">
        <f>IF(AND(A185&lt;&gt;"",ISNUMBER(Q185),Q185&gt;=0),SUM(Q185,$AO$8)/$AO$2*100,"")</f>
        <v/>
      </c>
      <c r="AP185" s="24" t="str">
        <f>IF(AND(A185&lt;&gt;"",R185&lt;&gt;""),SUM(R185,$AP$8)/$AP$2*100,"")</f>
        <v/>
      </c>
      <c r="AQ185" s="24">
        <f>IF(AND(A185&lt;&gt;"",ISNUMBER(W185),W185&gt;=0),SUM(W185,$AQ$8)/$AQ$2*100,"")</f>
        <v>100</v>
      </c>
      <c r="AR185" s="24" t="str">
        <f>IF(AND(A185&lt;&gt;"",T185&gt;0,ISNUMBER(T185)),SUM(T185,$AR$8)/$AR$2*100,"")</f>
        <v/>
      </c>
      <c r="AS185" s="24" t="str">
        <f>IF(AND(A185&lt;&gt;"",X185&lt;&gt;""),SUM(X185,$AS$8)/$AS$2*100,"")</f>
        <v/>
      </c>
      <c r="AT185" s="89">
        <f>IF(AND(A185&lt;&gt;"",OR(ISNUMBER(W185),ISNUMBER(X185))),SUM(W185:X185,$AT$8)/$AT$2*100,"")</f>
        <v>100</v>
      </c>
      <c r="AU185" s="24">
        <f>AA185</f>
        <v>90.163934426229503</v>
      </c>
      <c r="AV185" s="71"/>
      <c r="AW185" s="27">
        <f>IF(A185&lt;&gt;"",AE185-AA185,"")</f>
        <v>9.8360655737704974</v>
      </c>
      <c r="AY185" s="27" t="b">
        <f>S185&gt;R185</f>
        <v>0</v>
      </c>
      <c r="BA185" s="27" t="e">
        <f>AND(AA185&gt;$BA$3,(W185+$W$8)/$W$2&lt;$BB$3,(X185+$X$8)/$X$2&lt;$BB$3)</f>
        <v>#VALUE!</v>
      </c>
      <c r="BB185" s="27" t="e">
        <f>AND(AA185&lt;$BA$3,AND(W185/$W$2&gt;$BB$3,X185/$X$2&gt;$BB$3))</f>
        <v>#VALUE!</v>
      </c>
      <c r="BC185" s="27" t="e">
        <f>AND(AA185&lt;$BA$3,OR(W185/$W$2&gt;$BB$3,X185/$X$2&gt;$BB$3))</f>
        <v>#VALUE!</v>
      </c>
      <c r="BE185" s="32">
        <v>32</v>
      </c>
    </row>
    <row r="186" spans="1:57" s="27" customFormat="1" ht="12.75" customHeight="1" x14ac:dyDescent="0.2">
      <c r="A186" s="10">
        <v>350401</v>
      </c>
      <c r="B186" s="2">
        <v>19</v>
      </c>
      <c r="C186" s="10">
        <v>18</v>
      </c>
      <c r="D186" s="10" t="s">
        <v>67</v>
      </c>
      <c r="E186" s="10"/>
      <c r="F186" s="10"/>
      <c r="G186" s="10"/>
      <c r="H186" s="10"/>
      <c r="I186" s="10"/>
      <c r="J186" s="2">
        <v>31</v>
      </c>
      <c r="K186" s="10">
        <v>52</v>
      </c>
      <c r="L186" s="10" t="s">
        <v>67</v>
      </c>
      <c r="M186" s="10"/>
      <c r="N186" s="93"/>
      <c r="O186" s="12"/>
      <c r="P186" s="10" t="s">
        <v>67</v>
      </c>
      <c r="Q186" s="41"/>
      <c r="R186" s="2"/>
      <c r="S186" s="10"/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121</v>
      </c>
      <c r="AA186" s="27">
        <f>IF(A186&lt;&gt;"",(Z186+Normalize_To_Add)/(Point_Total_So_Far)*100,"")</f>
        <v>39.672131147540988</v>
      </c>
      <c r="AB186" s="10">
        <f>IF(A186&lt;&gt;"",RANK(AA186,All_Student_XC),"")</f>
        <v>499</v>
      </c>
      <c r="AC186" s="32" t="str">
        <f>IF(A186&lt;&gt;"",CHOOSE(10-MIN(9,TRUNC((AA186+0.5)/10)),"A","B","C","D","F","F","F","F","F","F"),"")</f>
        <v>F</v>
      </c>
      <c r="AD186" s="32" t="str">
        <f>IF(A186&lt;&gt;"",IF(OR(AA186+0.5&gt;=93,AA186+0.5&lt;60),"",IF(MOD(AA186+0.5,10)&gt;=7,"+",IF(MOD(AA186+0.5,10)&lt;3,"-",""))),"")</f>
        <v/>
      </c>
      <c r="AE186" s="32">
        <f>IF(A186&lt;&gt;"",SUM(W186:X186,$W$8:$X$8)/SUM($W$2:$X$2)*100,"")</f>
        <v>0</v>
      </c>
      <c r="AF186" s="44" t="str">
        <f>IF(A186&lt;&gt;"",CHOOSE(10-MIN(9,TRUNC((AE186+0.5)/10)),"A","B","C","D","F","F","F","F","F","F"),"")</f>
        <v>F</v>
      </c>
      <c r="AG186" s="44" t="str">
        <f>IF(A186&lt;&gt;"",IF(OR(AE186+0.5&gt;=93,AE186+0.5&lt;60),"",IF(MOD(AE186+0.5,10)&gt;=7,"+",IF(MOD(AE186+0.5,10)&lt;3,"-",""))),"")</f>
        <v/>
      </c>
      <c r="AH186" s="36">
        <f>IF(A186&lt;&gt;"",MIN(MAX(AA186,AE186),AA186+$AH$8,AE186+$AH$8),"")</f>
        <v>39.672131147540988</v>
      </c>
      <c r="AI186" s="32" t="str">
        <f>IF(A186&lt;&gt;"",CHOOSE(10-MIN(9,TRUNC((AH186+0.5)/10)),"A","B","C","D","F","F","F","F","F","F"),"")</f>
        <v>F</v>
      </c>
      <c r="AJ186" s="32" t="str">
        <f>IF(A186&lt;&gt;"",IF(OR(AH186+0.5&gt;=93,AH186+0.5&lt;60),"",IF(MOD(AH186+0.5,10)&gt;=7,"+",IF(MOD(AH186+0.5,10)&lt;3,"-",""))),"")</f>
        <v/>
      </c>
      <c r="AK186" s="32" t="b">
        <f>IF(A186&lt;&gt;"",OR(AI186&lt;&gt;AC186,AJ186&lt;&gt;AD186),"")</f>
        <v>0</v>
      </c>
      <c r="AL186" s="84">
        <f>IF(AND(A186&lt;&gt;"",U186&lt;&gt;""),SUM(U186,$AL$8)/$AL$2*100,"")</f>
        <v>49.333333333333336</v>
      </c>
      <c r="AM186" s="24">
        <f>IF(AND(A186&lt;&gt;"",V186&lt;&gt;""),SUM(V186,$AM$8)/$AM$2*100,"")</f>
        <v>63.84615384615384</v>
      </c>
      <c r="AN186" s="24" t="str">
        <f>IF(AND(A186&lt;&gt;"",ISNUMBER(P186),P186&gt;=0),SUM(P186,$AN$8)/$AN$2*100,"")</f>
        <v/>
      </c>
      <c r="AO186" s="24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9" t="str">
        <f>IF(AND(A186&lt;&gt;"",OR(ISNUMBER(W186),ISNUMBER(X186))),SUM(W186:X186,$AT$8)/$AT$2*100,"")</f>
        <v/>
      </c>
      <c r="AU186" s="24">
        <f>AA186</f>
        <v>39.672131147540988</v>
      </c>
      <c r="AV186" s="24"/>
      <c r="AW186" s="27">
        <f>IF(A186&lt;&gt;"",AE186-AA186,"")</f>
        <v>-39.672131147540988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  <c r="BE186" s="32" t="s">
        <v>84</v>
      </c>
    </row>
    <row r="187" spans="1:57" s="27" customFormat="1" ht="12.75" customHeight="1" x14ac:dyDescent="0.2">
      <c r="A187" s="10">
        <v>352486</v>
      </c>
      <c r="B187" s="2">
        <v>23</v>
      </c>
      <c r="C187" s="10">
        <v>23</v>
      </c>
      <c r="D187" s="10">
        <v>25</v>
      </c>
      <c r="E187" s="10"/>
      <c r="F187" s="10"/>
      <c r="G187" s="10"/>
      <c r="H187" s="10"/>
      <c r="I187" s="10"/>
      <c r="J187" s="2">
        <v>31</v>
      </c>
      <c r="K187" s="10">
        <v>52</v>
      </c>
      <c r="L187" s="10">
        <v>51</v>
      </c>
      <c r="M187" s="10"/>
      <c r="N187" s="93"/>
      <c r="O187" s="13"/>
      <c r="P187" s="10">
        <v>101</v>
      </c>
      <c r="Q187" s="10"/>
      <c r="R187" s="2"/>
      <c r="S187" s="10"/>
      <c r="T187" s="13"/>
      <c r="U187" s="1">
        <f t="array" ref="U187">IF(AND(A187&lt;&gt;"",OR(ISNUMBER(B187:I187))),SUM(B187:I187),"")</f>
        <v>71</v>
      </c>
      <c r="V187" s="10">
        <f t="array" ref="V187">IF(AND(A187&lt;&gt;"",OR(ISNUMBER(J187:O187))),SUM(J187:O187),"")</f>
        <v>134</v>
      </c>
      <c r="W187" s="10">
        <f t="array" ref="W187">IF(AND(A187&lt;&gt;"",OR(ISNUMBER(P187),ISNUMBER(Q187))),SUM(MAX(P187:Q187),Q187),"")</f>
        <v>101</v>
      </c>
      <c r="X187" s="10" t="str">
        <f t="array" ref="X187">IF(AND(A187&lt;&gt;"",OR(ISNUMBER(S187),ISNUMBER(T187))),SUM(S187,T187),"")</f>
        <v/>
      </c>
      <c r="Y187" s="13">
        <v>1</v>
      </c>
      <c r="Z187" s="13">
        <f>IF(A187&lt;&gt;"",SUM(U187:Y187),"")</f>
        <v>307</v>
      </c>
      <c r="AA187" s="27">
        <f>IF(A187&lt;&gt;"",(Z187+Normalize_To_Add)/(Point_Total_So_Far)*100,"")</f>
        <v>100.65573770491802</v>
      </c>
      <c r="AB187" s="10">
        <f>IF(A187&lt;&gt;"",RANK(AA187,All_Student_XC),"")</f>
        <v>72</v>
      </c>
      <c r="AC187" s="32" t="str">
        <f>IF(A187&lt;&gt;"",CHOOSE(10-MIN(9,TRUNC((AA187+0.5)/10)),"A","B","C","D","F","F","F","F","F","F"),"")</f>
        <v>A</v>
      </c>
      <c r="AD187" s="31" t="str">
        <f>IF(A187&lt;&gt;"",IF(OR(AA187+0.5&gt;=93,AA187+0.5&lt;60),"",IF(MOD(AA187+0.5,10)&gt;=7,"+",IF(MOD(AA187+0.5,10)&lt;3,"-",""))),"")</f>
        <v/>
      </c>
      <c r="AE187" s="32">
        <f>IF(A187&lt;&gt;"",SUM(W187:X187,$W$8:$X$8)/SUM($W$2:$X$2)*100,"")</f>
        <v>101</v>
      </c>
      <c r="AF187" s="32" t="str">
        <f>IF(A187&lt;&gt;"",CHOOSE(10-MIN(9,TRUNC((AE187+0.5)/10)),"A","B","C","D","F","F","F","F","F","F"),"")</f>
        <v>A</v>
      </c>
      <c r="AG187" s="32" t="str">
        <f>IF(A187&lt;&gt;"",IF(OR(AE187+0.5&gt;=93,AE187+0.5&lt;60),"",IF(MOD(AE187+0.5,10)&gt;=7,"+",IF(MOD(AE187+0.5,10)&lt;3,"-",""))),"")</f>
        <v/>
      </c>
      <c r="AH187" s="36">
        <f>IF(A187&lt;&gt;"",MIN(MAX(AA187,AE187),AA187+$AH$8,AE187+$AH$8),"")</f>
        <v>101</v>
      </c>
      <c r="AI187" s="32" t="str">
        <f>IF(A187&lt;&gt;"",CHOOSE(10-MIN(9,TRUNC((AH187+0.5)/10)),"A","B","C","D","F","F","F","F","F","F"),"")</f>
        <v>A</v>
      </c>
      <c r="AJ187" s="32" t="str">
        <f>IF(A187&lt;&gt;"",IF(OR(AH187+0.5&gt;=93,AH187+0.5&lt;60),"",IF(MOD(AH187+0.5,10)&gt;=7,"+",IF(MOD(AH187+0.5,10)&lt;3,"-",""))),"")</f>
        <v/>
      </c>
      <c r="AK187" s="71" t="b">
        <f>IF(A187&lt;&gt;"",OR(AI187&lt;&gt;AC187,AJ187&lt;&gt;AD187),"")</f>
        <v>0</v>
      </c>
      <c r="AL187" s="86">
        <f>IF(AND(A187&lt;&gt;"",U187&lt;&gt;""),SUM(U187,$AL$8)/$AL$2*100,"")</f>
        <v>94.666666666666671</v>
      </c>
      <c r="AM187" s="71">
        <f>IF(AND(A187&lt;&gt;"",V187&lt;&gt;""),SUM(V187,$AM$8)/$AM$2*100,"")</f>
        <v>103.07692307692307</v>
      </c>
      <c r="AN187" s="71">
        <f>IF(AND(A187&lt;&gt;"",ISNUMBER(P187),P187&gt;=0),SUM(P187,$AN$8)/$AN$2*100,"")</f>
        <v>101</v>
      </c>
      <c r="AO187" s="71" t="str">
        <f>IF(AND(A187&lt;&gt;"",ISNUMBER(Q187),Q187&gt;=0),SUM(Q187,$AO$8)/$AO$2*100,"")</f>
        <v/>
      </c>
      <c r="AP187" s="24" t="str">
        <f>IF(AND(A187&lt;&gt;"",R187&lt;&gt;""),SUM(R187,$AP$8)/$AP$2*100,"")</f>
        <v/>
      </c>
      <c r="AQ187" s="24">
        <f>IF(AND(A187&lt;&gt;"",ISNUMBER(W187),W187&gt;=0),SUM(W187,$AQ$8)/$AQ$2*100,"")</f>
        <v>101</v>
      </c>
      <c r="AR187" s="24" t="str">
        <f>IF(AND(A187&lt;&gt;"",T187&gt;0,ISNUMBER(T187)),SUM(T187,$AR$8)/$AR$2*100,"")</f>
        <v/>
      </c>
      <c r="AS187" s="24" t="str">
        <f>IF(AND(A187&lt;&gt;"",X187&lt;&gt;""),SUM(X187,$AS$8)/$AS$2*100,"")</f>
        <v/>
      </c>
      <c r="AT187" s="89">
        <f>IF(AND(A187&lt;&gt;"",OR(ISNUMBER(W187),ISNUMBER(X187))),SUM(W187:X187,$AT$8)/$AT$2*100,"")</f>
        <v>101</v>
      </c>
      <c r="AU187" s="24">
        <f>AA187</f>
        <v>100.65573770491802</v>
      </c>
      <c r="AV187" s="71"/>
      <c r="AW187" s="27">
        <f>IF(A187&lt;&gt;"",AE187-AA187,"")</f>
        <v>0.34426229508197537</v>
      </c>
      <c r="AY187" s="27" t="b">
        <f>S187&gt;R187</f>
        <v>0</v>
      </c>
      <c r="BA187" s="27" t="e">
        <f>AND(AA187&gt;$BA$3,(W187+$W$8)/$W$2&lt;$BB$3,(X187+$X$8)/$X$2&lt;$BB$3)</f>
        <v>#VALUE!</v>
      </c>
      <c r="BB187" s="27" t="e">
        <f>AND(AA187&lt;$BA$3,AND(W187/$W$2&gt;$BB$3,X187/$X$2&gt;$BB$3))</f>
        <v>#VALUE!</v>
      </c>
      <c r="BC187" s="27" t="e">
        <f>AND(AA187&lt;$BA$3,OR(W187/$W$2&gt;$BB$3,X187/$X$2&gt;$BB$3))</f>
        <v>#VALUE!</v>
      </c>
      <c r="BE187" s="32" t="s">
        <v>84</v>
      </c>
    </row>
    <row r="188" spans="1:57" s="27" customFormat="1" ht="12.75" customHeight="1" x14ac:dyDescent="0.2">
      <c r="A188" s="10">
        <v>354531</v>
      </c>
      <c r="B188" s="2">
        <v>23</v>
      </c>
      <c r="C188" s="10">
        <v>25</v>
      </c>
      <c r="D188" s="10">
        <v>25</v>
      </c>
      <c r="E188" s="10"/>
      <c r="F188" s="10"/>
      <c r="G188" s="10"/>
      <c r="H188" s="10"/>
      <c r="I188" s="10"/>
      <c r="J188" s="2">
        <v>27</v>
      </c>
      <c r="K188" s="10">
        <v>52</v>
      </c>
      <c r="L188" s="10">
        <v>49</v>
      </c>
      <c r="M188" s="10"/>
      <c r="N188" s="93"/>
      <c r="O188" s="13"/>
      <c r="P188" s="10">
        <v>101</v>
      </c>
      <c r="Q188" s="10"/>
      <c r="R188" s="2"/>
      <c r="S188" s="10"/>
      <c r="T188" s="13"/>
      <c r="U188" s="1">
        <f t="array" ref="U188">IF(AND(A188&lt;&gt;"",OR(ISNUMBER(B188:I188))),SUM(B188:I188),"")</f>
        <v>73</v>
      </c>
      <c r="V188" s="10">
        <f t="array" ref="V188">IF(AND(A188&lt;&gt;"",OR(ISNUMBER(J188:O188))),SUM(J188:O188),"")</f>
        <v>128</v>
      </c>
      <c r="W188" s="10">
        <f t="array" ref="W188">IF(AND(A188&lt;&gt;"",OR(ISNUMBER(P188),ISNUMBER(Q188))),SUM(MAX(P188:Q188),Q188),"")</f>
        <v>101</v>
      </c>
      <c r="X188" s="10" t="str">
        <f t="array" ref="X188">IF(AND(A188&lt;&gt;"",OR(ISNUMBER(S188),ISNUMBER(T188))),SUM(S188,T188),"")</f>
        <v/>
      </c>
      <c r="Y188" s="13">
        <v>1</v>
      </c>
      <c r="Z188" s="13">
        <f>IF(A188&lt;&gt;"",SUM(U188:Y188),"")</f>
        <v>303</v>
      </c>
      <c r="AA188" s="27">
        <f>IF(A188&lt;&gt;"",(Z188+Normalize_To_Add)/(Point_Total_So_Far)*100,"")</f>
        <v>99.344262295081961</v>
      </c>
      <c r="AB188" s="10">
        <f>IF(A188&lt;&gt;"",RANK(AA188,All_Student_XC),"")</f>
        <v>145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>
        <f>IF(A188&lt;&gt;"",SUM(W188:X188,$W$8:$X$8)/SUM($W$2:$X$2)*100,"")</f>
        <v>101</v>
      </c>
      <c r="AF188" s="32" t="str">
        <f>IF(A188&lt;&gt;"",CHOOSE(10-MIN(9,TRUNC((AE188+0.5)/10)),"A","B","C","D","F","F","F","F","F","F"),"")</f>
        <v>A</v>
      </c>
      <c r="AG188" s="32" t="str">
        <f>IF(A188&lt;&gt;"",IF(OR(AE188+0.5&gt;=93,AE188+0.5&lt;60),"",IF(MOD(AE188+0.5,10)&gt;=7,"+",IF(MOD(AE188+0.5,10)&lt;3,"-",""))),"")</f>
        <v/>
      </c>
      <c r="AH188" s="36">
        <f>IF(A188&lt;&gt;"",MIN(MAX(AA188,AE188),AA188+$AH$8,AE188+$AH$8),"")</f>
        <v>101</v>
      </c>
      <c r="AI188" s="32" t="str">
        <f>IF(A188&lt;&gt;"",CHOOSE(10-MIN(9,TRUNC((AH188+0.5)/10)),"A","B","C","D","F","F","F","F","F","F"),"")</f>
        <v>A</v>
      </c>
      <c r="AJ188" s="32" t="str">
        <f>IF(A188&lt;&gt;"",IF(OR(AH188+0.5&gt;=93,AH188+0.5&lt;60),"",IF(MOD(AH188+0.5,10)&gt;=7,"+",IF(MOD(AH188+0.5,10)&lt;3,"-",""))),"")</f>
        <v/>
      </c>
      <c r="AK188" s="71" t="b">
        <f>IF(A188&lt;&gt;"",OR(AI188&lt;&gt;AC188,AJ188&lt;&gt;AD188),"")</f>
        <v>0</v>
      </c>
      <c r="AL188" s="86">
        <f>IF(AND(A188&lt;&gt;"",U188&lt;&gt;""),SUM(U188,$AL$8)/$AL$2*100,"")</f>
        <v>97.333333333333343</v>
      </c>
      <c r="AM188" s="71">
        <f>IF(AND(A188&lt;&gt;"",V188&lt;&gt;""),SUM(V188,$AM$8)/$AM$2*100,"")</f>
        <v>98.461538461538467</v>
      </c>
      <c r="AN188" s="71">
        <f>IF(AND(A188&lt;&gt;"",ISNUMBER(P188),P188&gt;=0),SUM(P188,$AN$8)/$AN$2*100,"")</f>
        <v>101</v>
      </c>
      <c r="AO188" s="71" t="str">
        <f>IF(AND(A188&lt;&gt;"",ISNUMBER(Q188),Q188&gt;=0),SUM(Q188,$AO$8)/$AO$2*100,"")</f>
        <v/>
      </c>
      <c r="AP188" s="24" t="str">
        <f>IF(AND(A188&lt;&gt;"",R188&lt;&gt;""),SUM(R188,$AP$8)/$AP$2*100,"")</f>
        <v/>
      </c>
      <c r="AQ188" s="24">
        <f>IF(AND(A188&lt;&gt;"",ISNUMBER(W188),W188&gt;=0),SUM(W188,$AQ$8)/$AQ$2*100,"")</f>
        <v>101</v>
      </c>
      <c r="AR188" s="24" t="str">
        <f>IF(AND(A188&lt;&gt;"",T188&gt;0,ISNUMBER(T188)),SUM(T188,$AR$8)/$AR$2*100,"")</f>
        <v/>
      </c>
      <c r="AS188" s="24" t="str">
        <f>IF(AND(A188&lt;&gt;"",X188&lt;&gt;""),SUM(X188,$AS$8)/$AS$2*100,"")</f>
        <v/>
      </c>
      <c r="AT188" s="89">
        <f>IF(AND(A188&lt;&gt;"",OR(ISNUMBER(W188),ISNUMBER(X188))),SUM(W188:X188,$AT$8)/$AT$2*100,"")</f>
        <v>101</v>
      </c>
      <c r="AU188" s="24">
        <f>AA188</f>
        <v>99.344262295081961</v>
      </c>
      <c r="AV188" s="71"/>
      <c r="AW188" s="27">
        <f>IF(A188&lt;&gt;"",AE188-AA188,"")</f>
        <v>1.6557377049180388</v>
      </c>
      <c r="AY188" s="27" t="b">
        <f>S188&gt;R188</f>
        <v>0</v>
      </c>
      <c r="BA188" s="27" t="e">
        <f>AND(AA188&gt;$BA$3,(W188+$W$8)/$W$2&lt;$BB$3,(X188+$X$8)/$X$2&lt;$BB$3)</f>
        <v>#VALUE!</v>
      </c>
      <c r="BB188" s="27" t="e">
        <f>AND(AA188&lt;$BA$3,AND(W188/$W$2&gt;$BB$3,X188/$X$2&gt;$BB$3))</f>
        <v>#VALUE!</v>
      </c>
      <c r="BC188" s="27" t="e">
        <f>AND(AA188&lt;$BA$3,OR(W188/$W$2&gt;$BB$3,X188/$X$2&gt;$BB$3))</f>
        <v>#VALUE!</v>
      </c>
      <c r="BE188" s="32">
        <v>32</v>
      </c>
    </row>
    <row r="189" spans="1:57" s="27" customFormat="1" ht="12.75" customHeight="1" x14ac:dyDescent="0.2">
      <c r="A189" s="10">
        <v>356433</v>
      </c>
      <c r="B189" s="2">
        <v>23</v>
      </c>
      <c r="C189" s="10">
        <v>23</v>
      </c>
      <c r="D189" s="10">
        <v>25</v>
      </c>
      <c r="E189" s="10"/>
      <c r="F189" s="10"/>
      <c r="G189" s="10"/>
      <c r="H189" s="10"/>
      <c r="I189" s="10"/>
      <c r="J189" s="2">
        <v>31</v>
      </c>
      <c r="K189" s="10">
        <v>40</v>
      </c>
      <c r="L189" s="10">
        <v>49</v>
      </c>
      <c r="M189" s="10"/>
      <c r="N189" s="93"/>
      <c r="O189" s="13"/>
      <c r="P189" s="10">
        <v>101</v>
      </c>
      <c r="Q189" s="10"/>
      <c r="R189" s="2"/>
      <c r="S189" s="10"/>
      <c r="T189" s="13"/>
      <c r="U189" s="1">
        <f t="array" ref="U189">IF(AND(A189&lt;&gt;"",OR(ISNUMBER(B189:I189))),SUM(B189:I189),"")</f>
        <v>71</v>
      </c>
      <c r="V189" s="10">
        <f t="array" ref="V189">IF(AND(A189&lt;&gt;"",OR(ISNUMBER(J189:O189))),SUM(J189:O189),"")</f>
        <v>120</v>
      </c>
      <c r="W189" s="10">
        <f t="array" ref="W189">IF(AND(A189&lt;&gt;"",OR(ISNUMBER(P189),ISNUMBER(Q189))),SUM(MAX(P189:Q189),Q189),"")</f>
        <v>101</v>
      </c>
      <c r="X189" s="10" t="str">
        <f t="array" ref="X189">IF(AND(A189&lt;&gt;"",OR(ISNUMBER(S189),ISNUMBER(T189))),SUM(S189,T189),"")</f>
        <v/>
      </c>
      <c r="Y189" s="13">
        <v>1</v>
      </c>
      <c r="Z189" s="13">
        <f>IF(A189&lt;&gt;"",SUM(U189:Y189),"")</f>
        <v>293</v>
      </c>
      <c r="AA189" s="27">
        <f>IF(A189&lt;&gt;"",(Z189+Normalize_To_Add)/(Point_Total_So_Far)*100,"")</f>
        <v>96.06557377049181</v>
      </c>
      <c r="AB189" s="10">
        <f>IF(A189&lt;&gt;"",RANK(AA189,All_Student_XC),"")</f>
        <v>256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>
        <f>IF(A189&lt;&gt;"",SUM(W189:X189,$W$8:$X$8)/SUM($W$2:$X$2)*100,"")</f>
        <v>101</v>
      </c>
      <c r="AF189" s="32" t="str">
        <f>IF(A189&lt;&gt;"",CHOOSE(10-MIN(9,TRUNC((AE189+0.5)/10)),"A","B","C","D","F","F","F","F","F","F"),"")</f>
        <v>A</v>
      </c>
      <c r="AG189" s="32" t="str">
        <f>IF(A189&lt;&gt;"",IF(OR(AE189+0.5&gt;=93,AE189+0.5&lt;60),"",IF(MOD(AE189+0.5,10)&gt;=7,"+",IF(MOD(AE189+0.5,10)&lt;3,"-",""))),"")</f>
        <v/>
      </c>
      <c r="AH189" s="36">
        <f>IF(A189&lt;&gt;"",MIN(MAX(AA189,AE189),AA189+$AH$8,AE189+$AH$8),"")</f>
        <v>101</v>
      </c>
      <c r="AI189" s="32" t="str">
        <f>IF(A189&lt;&gt;"",CHOOSE(10-MIN(9,TRUNC((AH189+0.5)/10)),"A","B","C","D","F","F","F","F","F","F"),"")</f>
        <v>A</v>
      </c>
      <c r="AJ189" s="32" t="str">
        <f>IF(A189&lt;&gt;"",IF(OR(AH189+0.5&gt;=93,AH189+0.5&lt;60),"",IF(MOD(AH189+0.5,10)&gt;=7,"+",IF(MOD(AH189+0.5,10)&lt;3,"-",""))),"")</f>
        <v/>
      </c>
      <c r="AK189" s="71" t="b">
        <f>IF(A189&lt;&gt;"",OR(AI189&lt;&gt;AC189,AJ189&lt;&gt;AD189),"")</f>
        <v>0</v>
      </c>
      <c r="AL189" s="86">
        <f>IF(AND(A189&lt;&gt;"",U189&lt;&gt;""),SUM(U189,$AL$8)/$AL$2*100,"")</f>
        <v>94.666666666666671</v>
      </c>
      <c r="AM189" s="71">
        <f>IF(AND(A189&lt;&gt;"",V189&lt;&gt;""),SUM(V189,$AM$8)/$AM$2*100,"")</f>
        <v>92.307692307692307</v>
      </c>
      <c r="AN189" s="71">
        <f>IF(AND(A189&lt;&gt;"",ISNUMBER(P189),P189&gt;=0),SUM(P189,$AN$8)/$AN$2*100,"")</f>
        <v>101</v>
      </c>
      <c r="AO189" s="71" t="str">
        <f>IF(AND(A189&lt;&gt;"",ISNUMBER(Q189),Q189&gt;=0),SUM(Q189,$AO$8)/$AO$2*100,"")</f>
        <v/>
      </c>
      <c r="AP189" s="24" t="str">
        <f>IF(AND(A189&lt;&gt;"",R189&lt;&gt;""),SUM(R189,$AP$8)/$AP$2*100,"")</f>
        <v/>
      </c>
      <c r="AQ189" s="24">
        <f>IF(AND(A189&lt;&gt;"",ISNUMBER(W189),W189&gt;=0),SUM(W189,$AQ$8)/$AQ$2*100,"")</f>
        <v>101</v>
      </c>
      <c r="AR189" s="24" t="str">
        <f>IF(AND(A189&lt;&gt;"",T189&gt;0,ISNUMBER(T189)),SUM(T189,$AR$8)/$AR$2*100,"")</f>
        <v/>
      </c>
      <c r="AS189" s="24" t="str">
        <f>IF(AND(A189&lt;&gt;"",X189&lt;&gt;""),SUM(X189,$AS$8)/$AS$2*100,"")</f>
        <v/>
      </c>
      <c r="AT189" s="89">
        <f>IF(AND(A189&lt;&gt;"",OR(ISNUMBER(W189),ISNUMBER(X189))),SUM(W189:X189,$AT$8)/$AT$2*100,"")</f>
        <v>101</v>
      </c>
      <c r="AU189" s="24">
        <f>AA189</f>
        <v>96.06557377049181</v>
      </c>
      <c r="AV189" s="71"/>
      <c r="AW189" s="27">
        <f>IF(A189&lt;&gt;"",AE189-AA189,"")</f>
        <v>4.9344262295081904</v>
      </c>
      <c r="AY189" s="27" t="b">
        <f>S189&gt;R189</f>
        <v>0</v>
      </c>
      <c r="BA189" s="27" t="e">
        <f>AND(AA189&gt;$BA$3,(W189+$W$8)/$W$2&lt;$BB$3,(X189+$X$8)/$X$2&lt;$BB$3)</f>
        <v>#VALUE!</v>
      </c>
      <c r="BB189" s="27" t="e">
        <f>AND(AA189&lt;$BA$3,AND(W189/$W$2&gt;$BB$3,X189/$X$2&gt;$BB$3))</f>
        <v>#VALUE!</v>
      </c>
      <c r="BC189" s="27" t="e">
        <f>AND(AA189&lt;$BA$3,OR(W189/$W$2&gt;$BB$3,X189/$X$2&gt;$BB$3))</f>
        <v>#VALUE!</v>
      </c>
      <c r="BE189" s="32" t="s">
        <v>84</v>
      </c>
    </row>
    <row r="190" spans="1:57" s="27" customFormat="1" ht="12.75" customHeight="1" x14ac:dyDescent="0.2">
      <c r="A190" s="10">
        <v>356569</v>
      </c>
      <c r="B190" s="2">
        <v>21</v>
      </c>
      <c r="C190" s="10">
        <v>21</v>
      </c>
      <c r="D190" s="10">
        <v>22</v>
      </c>
      <c r="E190" s="10"/>
      <c r="F190" s="10"/>
      <c r="G190" s="10"/>
      <c r="H190" s="10"/>
      <c r="I190" s="10"/>
      <c r="J190" s="2">
        <v>30</v>
      </c>
      <c r="K190" s="10">
        <v>45</v>
      </c>
      <c r="L190" s="10">
        <v>49</v>
      </c>
      <c r="M190" s="10"/>
      <c r="N190" s="93"/>
      <c r="O190" s="13"/>
      <c r="P190" s="10">
        <v>101</v>
      </c>
      <c r="Q190" s="10"/>
      <c r="R190" s="2"/>
      <c r="S190" s="10"/>
      <c r="T190" s="13"/>
      <c r="U190" s="1">
        <f t="array" ref="U190">IF(AND(A190&lt;&gt;"",OR(ISNUMBER(B190:I190))),SUM(B190:I190),"")</f>
        <v>64</v>
      </c>
      <c r="V190" s="10">
        <f t="array" ref="V190">IF(AND(A190&lt;&gt;"",OR(ISNUMBER(J190:O190))),SUM(J190:O190),"")</f>
        <v>124</v>
      </c>
      <c r="W190" s="10">
        <f t="array" ref="W190">IF(AND(A190&lt;&gt;"",OR(ISNUMBER(P190),ISNUMBER(Q190))),SUM(MAX(P190:Q190),Q190),"")</f>
        <v>101</v>
      </c>
      <c r="X190" s="10" t="str">
        <f t="array" ref="X190">IF(AND(A190&lt;&gt;"",OR(ISNUMBER(S190),ISNUMBER(T190))),SUM(S190,T190),"")</f>
        <v/>
      </c>
      <c r="Y190" s="13">
        <v>1</v>
      </c>
      <c r="Z190" s="13">
        <f>IF(A190&lt;&gt;"",SUM(U190:Y190),"")</f>
        <v>290</v>
      </c>
      <c r="AA190" s="27">
        <f>IF(A190&lt;&gt;"",(Z190+Normalize_To_Add)/(Point_Total_So_Far)*100,"")</f>
        <v>95.081967213114751</v>
      </c>
      <c r="AB190" s="10">
        <f>IF(A190&lt;&gt;"",RANK(AA190,All_Student_XC),"")</f>
        <v>269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/>
      </c>
      <c r="AE190" s="32">
        <f>IF(A190&lt;&gt;"",SUM(W190:X190,$W$8:$X$8)/SUM($W$2:$X$2)*100,"")</f>
        <v>101</v>
      </c>
      <c r="AF190" s="32" t="str">
        <f>IF(A190&lt;&gt;"",CHOOSE(10-MIN(9,TRUNC((AE190+0.5)/10)),"A","B","C","D","F","F","F","F","F","F"),"")</f>
        <v>A</v>
      </c>
      <c r="AG190" s="32" t="str">
        <f>IF(A190&lt;&gt;"",IF(OR(AE190+0.5&gt;=93,AE190+0.5&lt;60),"",IF(MOD(AE190+0.5,10)&gt;=7,"+",IF(MOD(AE190+0.5,10)&lt;3,"-",""))),"")</f>
        <v/>
      </c>
      <c r="AH190" s="36">
        <f>IF(A190&lt;&gt;"",MIN(MAX(AA190,AE190),AA190+$AH$8,AE190+$AH$8),"")</f>
        <v>101</v>
      </c>
      <c r="AI190" s="32" t="str">
        <f>IF(A190&lt;&gt;"",CHOOSE(10-MIN(9,TRUNC((AH190+0.5)/10)),"A","B","C","D","F","F","F","F","F","F"),"")</f>
        <v>A</v>
      </c>
      <c r="AJ190" s="32" t="str">
        <f>IF(A190&lt;&gt;"",IF(OR(AH190+0.5&gt;=93,AH190+0.5&lt;60),"",IF(MOD(AH190+0.5,10)&gt;=7,"+",IF(MOD(AH190+0.5,10)&lt;3,"-",""))),"")</f>
        <v/>
      </c>
      <c r="AK190" s="71" t="b">
        <f>IF(A190&lt;&gt;"",OR(AI190&lt;&gt;AC190,AJ190&lt;&gt;AD190),"")</f>
        <v>0</v>
      </c>
      <c r="AL190" s="86">
        <f>IF(AND(A190&lt;&gt;"",U190&lt;&gt;""),SUM(U190,$AL$8)/$AL$2*100,"")</f>
        <v>85.333333333333343</v>
      </c>
      <c r="AM190" s="71">
        <f>IF(AND(A190&lt;&gt;"",V190&lt;&gt;""),SUM(V190,$AM$8)/$AM$2*100,"")</f>
        <v>95.384615384615387</v>
      </c>
      <c r="AN190" s="71">
        <f>IF(AND(A190&lt;&gt;"",ISNUMBER(P190),P190&gt;=0),SUM(P190,$AN$8)/$AN$2*100,"")</f>
        <v>101</v>
      </c>
      <c r="AO190" s="71" t="str">
        <f>IF(AND(A190&lt;&gt;"",ISNUMBER(Q190),Q190&gt;=0),SUM(Q190,$AO$8)/$AO$2*100,"")</f>
        <v/>
      </c>
      <c r="AP190" s="24" t="str">
        <f>IF(AND(A190&lt;&gt;"",R190&lt;&gt;""),SUM(R190,$AP$8)/$AP$2*100,"")</f>
        <v/>
      </c>
      <c r="AQ190" s="24">
        <f>IF(AND(A190&lt;&gt;"",ISNUMBER(W190),W190&gt;=0),SUM(W190,$AQ$8)/$AQ$2*100,"")</f>
        <v>101</v>
      </c>
      <c r="AR190" s="24" t="str">
        <f>IF(AND(A190&lt;&gt;"",T190&gt;0,ISNUMBER(T190)),SUM(T190,$AR$8)/$AR$2*100,"")</f>
        <v/>
      </c>
      <c r="AS190" s="24" t="str">
        <f>IF(AND(A190&lt;&gt;"",X190&lt;&gt;""),SUM(X190,$AS$8)/$AS$2*100,"")</f>
        <v/>
      </c>
      <c r="AT190" s="89">
        <f>IF(AND(A190&lt;&gt;"",OR(ISNUMBER(W190),ISNUMBER(X190))),SUM(W190:X190,$AT$8)/$AT$2*100,"")</f>
        <v>101</v>
      </c>
      <c r="AU190" s="24">
        <f>AA190</f>
        <v>95.081967213114751</v>
      </c>
      <c r="AV190" s="71"/>
      <c r="AW190" s="27">
        <f>IF(A190&lt;&gt;"",AE190-AA190,"")</f>
        <v>5.9180327868852487</v>
      </c>
      <c r="AY190" s="27" t="b">
        <f>S190&gt;R190</f>
        <v>0</v>
      </c>
      <c r="BA190" s="27" t="e">
        <f>AND(AA190&gt;$BA$3,(W190+$W$8)/$W$2&lt;$BB$3,(X190+$X$8)/$X$2&lt;$BB$3)</f>
        <v>#VALUE!</v>
      </c>
      <c r="BB190" s="27" t="e">
        <f>AND(AA190&lt;$BA$3,AND(W190/$W$2&gt;$BB$3,X190/$X$2&gt;$BB$3))</f>
        <v>#VALUE!</v>
      </c>
      <c r="BC190" s="27" t="e">
        <f>AND(AA190&lt;$BA$3,OR(W190/$W$2&gt;$BB$3,X190/$X$2&gt;$BB$3))</f>
        <v>#VALUE!</v>
      </c>
      <c r="BE190" s="32">
        <v>32</v>
      </c>
    </row>
    <row r="191" spans="1:57" s="27" customFormat="1" ht="12.75" customHeight="1" x14ac:dyDescent="0.2">
      <c r="A191" s="10">
        <v>357318</v>
      </c>
      <c r="B191" s="2">
        <v>1</v>
      </c>
      <c r="C191" s="10">
        <v>23</v>
      </c>
      <c r="D191" s="10">
        <v>22</v>
      </c>
      <c r="E191" s="10"/>
      <c r="F191" s="10"/>
      <c r="G191" s="10"/>
      <c r="H191" s="10"/>
      <c r="I191" s="10"/>
      <c r="J191" s="2">
        <v>29</v>
      </c>
      <c r="K191" s="10">
        <v>51</v>
      </c>
      <c r="L191" s="10">
        <v>50</v>
      </c>
      <c r="M191" s="10"/>
      <c r="N191" s="93"/>
      <c r="O191" s="13"/>
      <c r="P191" s="10">
        <v>101</v>
      </c>
      <c r="Q191" s="10"/>
      <c r="R191" s="2"/>
      <c r="S191" s="10"/>
      <c r="T191" s="13"/>
      <c r="U191" s="1">
        <f t="array" ref="U191">IF(AND(A191&lt;&gt;"",OR(ISNUMBER(B191:I191))),SUM(B191:I191),"")</f>
        <v>46</v>
      </c>
      <c r="V191" s="10">
        <f t="array" ref="V191">IF(AND(A191&lt;&gt;"",OR(ISNUMBER(J191:O191))),SUM(J191:O191),"")</f>
        <v>130</v>
      </c>
      <c r="W191" s="10">
        <f t="array" ref="W191">IF(AND(A191&lt;&gt;"",OR(ISNUMBER(P191),ISNUMBER(Q191))),SUM(MAX(P191:Q191),Q191),"")</f>
        <v>101</v>
      </c>
      <c r="X191" s="10" t="str">
        <f t="array" ref="X191">IF(AND(A191&lt;&gt;"",OR(ISNUMBER(S191),ISNUMBER(T191))),SUM(S191,T191),"")</f>
        <v/>
      </c>
      <c r="Y191" s="13">
        <v>1</v>
      </c>
      <c r="Z191" s="13">
        <f>IF(A191&lt;&gt;"",SUM(U191:Y191),"")</f>
        <v>278</v>
      </c>
      <c r="AA191" s="27">
        <f>IF(A191&lt;&gt;"",(Z191+Normalize_To_Add)/(Point_Total_So_Far)*100,"")</f>
        <v>91.147540983606561</v>
      </c>
      <c r="AB191" s="10">
        <f>IF(A191&lt;&gt;"",RANK(AA191,All_Student_XC),"")</f>
        <v>320</v>
      </c>
      <c r="AC191" s="32" t="str">
        <f>IF(A191&lt;&gt;"",CHOOSE(10-MIN(9,TRUNC((AA191+0.5)/10)),"A","B","C","D","F","F","F","F","F","F"),"")</f>
        <v>A</v>
      </c>
      <c r="AD191" s="31" t="str">
        <f>IF(A191&lt;&gt;"",IF(OR(AA191+0.5&gt;=93,AA191+0.5&lt;60),"",IF(MOD(AA191+0.5,10)&gt;=7,"+",IF(MOD(AA191+0.5,10)&lt;3,"-",""))),"")</f>
        <v>-</v>
      </c>
      <c r="AE191" s="32">
        <f>IF(A191&lt;&gt;"",SUM(W191:X191,$W$8:$X$8)/SUM($W$2:$X$2)*100,"")</f>
        <v>101</v>
      </c>
      <c r="AF191" s="32" t="str">
        <f>IF(A191&lt;&gt;"",CHOOSE(10-MIN(9,TRUNC((AE191+0.5)/10)),"A","B","C","D","F","F","F","F","F","F"),"")</f>
        <v>A</v>
      </c>
      <c r="AG191" s="32" t="str">
        <f>IF(A191&lt;&gt;"",IF(OR(AE191+0.5&gt;=93,AE191+0.5&lt;60),"",IF(MOD(AE191+0.5,10)&gt;=7,"+",IF(MOD(AE191+0.5,10)&lt;3,"-",""))),"")</f>
        <v/>
      </c>
      <c r="AH191" s="36">
        <f>IF(A191&lt;&gt;"",MIN(MAX(AA191,AE191),AA191+$AH$8,AE191+$AH$8),"")</f>
        <v>101</v>
      </c>
      <c r="AI191" s="32" t="str">
        <f>IF(A191&lt;&gt;"",CHOOSE(10-MIN(9,TRUNC((AH191+0.5)/10)),"A","B","C","D","F","F","F","F","F","F"),"")</f>
        <v>A</v>
      </c>
      <c r="AJ191" s="32" t="str">
        <f>IF(A191&lt;&gt;"",IF(OR(AH191+0.5&gt;=93,AH191+0.5&lt;60),"",IF(MOD(AH191+0.5,10)&gt;=7,"+",IF(MOD(AH191+0.5,10)&lt;3,"-",""))),"")</f>
        <v/>
      </c>
      <c r="AK191" s="71" t="b">
        <f>IF(A191&lt;&gt;"",OR(AI191&lt;&gt;AC191,AJ191&lt;&gt;AD191),"")</f>
        <v>1</v>
      </c>
      <c r="AL191" s="86">
        <f>IF(AND(A191&lt;&gt;"",U191&lt;&gt;""),SUM(U191,$AL$8)/$AL$2*100,"")</f>
        <v>61.333333333333329</v>
      </c>
      <c r="AM191" s="71">
        <f>IF(AND(A191&lt;&gt;"",V191&lt;&gt;""),SUM(V191,$AM$8)/$AM$2*100,"")</f>
        <v>100</v>
      </c>
      <c r="AN191" s="71">
        <f>IF(AND(A191&lt;&gt;"",ISNUMBER(P191),P191&gt;=0),SUM(P191,$AN$8)/$AN$2*100,"")</f>
        <v>101</v>
      </c>
      <c r="AO191" s="71" t="str">
        <f>IF(AND(A191&lt;&gt;"",ISNUMBER(Q191),Q191&gt;=0),SUM(Q191,$AO$8)/$AO$2*100,"")</f>
        <v/>
      </c>
      <c r="AP191" s="24" t="str">
        <f>IF(AND(A191&lt;&gt;"",R191&lt;&gt;""),SUM(R191,$AP$8)/$AP$2*100,"")</f>
        <v/>
      </c>
      <c r="AQ191" s="24">
        <f>IF(AND(A191&lt;&gt;"",ISNUMBER(W191),W191&gt;=0),SUM(W191,$AQ$8)/$AQ$2*100,"")</f>
        <v>101</v>
      </c>
      <c r="AR191" s="24" t="str">
        <f>IF(AND(A191&lt;&gt;"",T191&gt;0,ISNUMBER(T191)),SUM(T191,$AR$8)/$AR$2*100,"")</f>
        <v/>
      </c>
      <c r="AS191" s="24" t="str">
        <f>IF(AND(A191&lt;&gt;"",X191&lt;&gt;""),SUM(X191,$AS$8)/$AS$2*100,"")</f>
        <v/>
      </c>
      <c r="AT191" s="89">
        <f>IF(AND(A191&lt;&gt;"",OR(ISNUMBER(W191),ISNUMBER(X191))),SUM(W191:X191,$AT$8)/$AT$2*100,"")</f>
        <v>101</v>
      </c>
      <c r="AU191" s="24">
        <f>AA191</f>
        <v>91.147540983606561</v>
      </c>
      <c r="AV191" s="71"/>
      <c r="AW191" s="27">
        <f>IF(A191&lt;&gt;"",AE191-AA191,"")</f>
        <v>9.8524590163934391</v>
      </c>
      <c r="AY191" s="27" t="b">
        <f>S191&gt;R191</f>
        <v>0</v>
      </c>
      <c r="BA191" s="27" t="e">
        <f>AND(AA191&gt;$BA$3,(W191+$W$8)/$W$2&lt;$BB$3,(X191+$X$8)/$X$2&lt;$BB$3)</f>
        <v>#VALUE!</v>
      </c>
      <c r="BB191" s="27" t="e">
        <f>AND(AA191&lt;$BA$3,AND(W191/$W$2&gt;$BB$3,X191/$X$2&gt;$BB$3))</f>
        <v>#VALUE!</v>
      </c>
      <c r="BC191" s="27" t="e">
        <f>AND(AA191&lt;$BA$3,OR(W191/$W$2&gt;$BB$3,X191/$X$2&gt;$BB$3))</f>
        <v>#VALUE!</v>
      </c>
      <c r="BE191" s="32">
        <v>32</v>
      </c>
    </row>
    <row r="192" spans="1:57" s="27" customFormat="1" ht="12.75" customHeight="1" x14ac:dyDescent="0.2">
      <c r="A192">
        <v>361444</v>
      </c>
      <c r="B192" s="2">
        <v>21</v>
      </c>
      <c r="C192" s="10">
        <v>22</v>
      </c>
      <c r="D192" s="10">
        <v>25</v>
      </c>
      <c r="E192" s="10"/>
      <c r="F192" s="10"/>
      <c r="G192" s="3"/>
      <c r="H192" s="10"/>
      <c r="I192" s="10"/>
      <c r="J192" s="2">
        <v>28</v>
      </c>
      <c r="K192" s="10">
        <v>38</v>
      </c>
      <c r="L192" s="10">
        <v>50</v>
      </c>
      <c r="M192" s="10"/>
      <c r="N192" s="10"/>
      <c r="O192" s="12"/>
      <c r="P192" s="41">
        <v>101</v>
      </c>
      <c r="Q192" s="41"/>
      <c r="R192" s="2"/>
      <c r="S192" s="10"/>
      <c r="T192" s="13"/>
      <c r="U192" s="1">
        <f t="array" ref="U192">IF(AND(A192&lt;&gt;"",OR(ISNUMBER(B192:I192))),SUM(B192:I192),"")</f>
        <v>68</v>
      </c>
      <c r="V192" s="10">
        <f t="array" ref="V192">IF(AND(A192&lt;&gt;"",OR(ISNUMBER(J192:O192))),SUM(J192:O192),"")</f>
        <v>116</v>
      </c>
      <c r="W192" s="10">
        <f t="array" ref="W192">IF(AND(A192&lt;&gt;"",OR(ISNUMBER(P192),ISNUMBER(Q192))),SUM(MAX(P192:Q192),Q192),"")</f>
        <v>101</v>
      </c>
      <c r="X192" s="10" t="str">
        <f t="array" ref="X192">IF(AND(A192&lt;&gt;"",OR(ISNUMBER(S192),ISNUMBER(T192))),SUM(S192,T192),"")</f>
        <v/>
      </c>
      <c r="Y192" s="13">
        <v>1</v>
      </c>
      <c r="Z192" s="13">
        <f>IF(A192&lt;&gt;"",SUM(U192:Y192),"")</f>
        <v>286</v>
      </c>
      <c r="AA192" s="27">
        <f>IF(A192&lt;&gt;"",(Z192+Normalize_To_Add)/(Point_Total_So_Far)*100,"")</f>
        <v>93.770491803278688</v>
      </c>
      <c r="AB192" s="10">
        <f>IF(A192&lt;&gt;"",RANK(AA192,All_Student_XC),"")</f>
        <v>287</v>
      </c>
      <c r="AC192" s="32" t="str">
        <f>IF(A192&lt;&gt;"",CHOOSE(10-MIN(9,TRUNC((AA192+0.5)/10)),"A","B","C","D","F","F","F","F","F","F"),"")</f>
        <v>A</v>
      </c>
      <c r="AD192" s="32" t="str">
        <f>IF(A192&lt;&gt;"",IF(OR(AA192+0.5&gt;=93,AA192+0.5&lt;60),"",IF(MOD(AA192+0.5,10)&gt;=7,"+",IF(MOD(AA192+0.5,10)&lt;3,"-",""))),"")</f>
        <v/>
      </c>
      <c r="AE192" s="32">
        <f>IF(A192&lt;&gt;"",SUM(W192:X192,$W$8:$X$8)/SUM($W$2:$X$2)*100,"")</f>
        <v>101</v>
      </c>
      <c r="AF192" s="32" t="str">
        <f>IF(A192&lt;&gt;"",CHOOSE(10-MIN(9,TRUNC((AE192+0.5)/10)),"A","B","C","D","F","F","F","F","F","F"),"")</f>
        <v>A</v>
      </c>
      <c r="AG192" s="32" t="str">
        <f>IF(A192&lt;&gt;"",IF(OR(AE192+0.5&gt;=93,AE192+0.5&lt;60),"",IF(MOD(AE192+0.5,10)&gt;=7,"+",IF(MOD(AE192+0.5,10)&lt;3,"-",""))),"")</f>
        <v/>
      </c>
      <c r="AH192" s="36">
        <f>IF(A192&lt;&gt;"",MIN(MAX(AA192,AE192),AA192+$AH$8,AE192+$AH$8),"")</f>
        <v>101</v>
      </c>
      <c r="AI192" s="32" t="str">
        <f>IF(A192&lt;&gt;"",CHOOSE(10-MIN(9,TRUNC((AH192+0.5)/10)),"A","B","C","D","F","F","F","F","F","F"),"")</f>
        <v>A</v>
      </c>
      <c r="AJ192" s="32" t="str">
        <f>IF(A192&lt;&gt;"",IF(OR(AH192+0.5&gt;=93,AH192+0.5&lt;60),"",IF(MOD(AH192+0.5,10)&gt;=7,"+",IF(MOD(AH192+0.5,10)&lt;3,"-",""))),"")</f>
        <v/>
      </c>
      <c r="AK192" s="32" t="b">
        <f>IF(A192&lt;&gt;"",OR(AI192&lt;&gt;AC192,AJ192&lt;&gt;AD192),"")</f>
        <v>0</v>
      </c>
      <c r="AL192" s="84">
        <f>IF(AND(A192&lt;&gt;"",U192&lt;&gt;""),SUM(U192,$AL$8)/$AL$2*100,"")</f>
        <v>90.666666666666657</v>
      </c>
      <c r="AM192" s="24">
        <f>IF(AND(A192&lt;&gt;"",V192&lt;&gt;""),SUM(V192,$AM$8)/$AM$2*100,"")</f>
        <v>89.230769230769241</v>
      </c>
      <c r="AN192" s="24">
        <f>IF(AND(A192&lt;&gt;"",ISNUMBER(P192),P192&gt;=0),SUM(P192,$AN$8)/$AN$2*100,"")</f>
        <v>101</v>
      </c>
      <c r="AO192" s="24" t="str">
        <f>IF(AND(A192&lt;&gt;"",ISNUMBER(Q192),Q192&gt;=0),SUM(Q192,$AO$8)/$AO$2*100,"")</f>
        <v/>
      </c>
      <c r="AP192" s="24" t="str">
        <f>IF(AND(A192&lt;&gt;"",R192&lt;&gt;""),SUM(R192,$AP$8)/$AP$2*100,"")</f>
        <v/>
      </c>
      <c r="AQ192" s="24">
        <f>IF(AND(A192&lt;&gt;"",ISNUMBER(W192),W192&gt;=0),SUM(W192,$AQ$8)/$AQ$2*100,"")</f>
        <v>101</v>
      </c>
      <c r="AR192" s="24" t="str">
        <f>IF(AND(A192&lt;&gt;"",T192&gt;0,ISNUMBER(T192)),SUM(T192,$AR$8)/$AR$2*100,"")</f>
        <v/>
      </c>
      <c r="AS192" s="24" t="str">
        <f>IF(AND(A192&lt;&gt;"",X192&lt;&gt;""),SUM(X192,$AS$8)/$AS$2*100,"")</f>
        <v/>
      </c>
      <c r="AT192" s="89">
        <f>IF(AND(A192&lt;&gt;"",OR(ISNUMBER(W192),ISNUMBER(X192))),SUM(W192:X192,$AT$8)/$AT$2*100,"")</f>
        <v>101</v>
      </c>
      <c r="AU192" s="24">
        <f>AA192</f>
        <v>93.770491803278688</v>
      </c>
      <c r="AV192" s="24"/>
      <c r="AW192" s="27">
        <f>IF(A192&lt;&gt;"",AE192-AA192,"")</f>
        <v>7.2295081967213122</v>
      </c>
      <c r="AY192" s="27" t="b">
        <f>S192&gt;R192</f>
        <v>0</v>
      </c>
      <c r="BA192" s="27" t="e">
        <f>AND(AA192&gt;$BA$3,(W192+$W$8)/$W$2&lt;$BB$3,(X192+$X$8)/$X$2&lt;$BB$3)</f>
        <v>#VALUE!</v>
      </c>
      <c r="BB192" s="27" t="e">
        <f>AND(AA192&lt;$BA$3,AND(W192/$W$2&gt;$BB$3,X192/$X$2&gt;$BB$3))</f>
        <v>#VALUE!</v>
      </c>
      <c r="BC192" s="27" t="e">
        <f>AND(AA192&lt;$BA$3,OR(W192/$W$2&gt;$BB$3,X192/$X$2&gt;$BB$3))</f>
        <v>#VALUE!</v>
      </c>
      <c r="BE192" s="32">
        <v>32</v>
      </c>
    </row>
    <row r="193" spans="1:57" s="27" customFormat="1" ht="12.75" customHeight="1" x14ac:dyDescent="0.2">
      <c r="A193" s="10">
        <v>362159</v>
      </c>
      <c r="B193" s="2">
        <v>24</v>
      </c>
      <c r="C193" s="10">
        <v>25</v>
      </c>
      <c r="D193" s="10">
        <v>22</v>
      </c>
      <c r="E193" s="10"/>
      <c r="F193" s="10"/>
      <c r="G193" s="10"/>
      <c r="H193" s="10"/>
      <c r="I193" s="10"/>
      <c r="J193" s="2">
        <v>23</v>
      </c>
      <c r="K193" s="10">
        <v>39</v>
      </c>
      <c r="L193" s="10">
        <v>41</v>
      </c>
      <c r="M193" s="10"/>
      <c r="N193" s="93"/>
      <c r="O193" s="13"/>
      <c r="P193" s="10">
        <v>101</v>
      </c>
      <c r="Q193" s="10"/>
      <c r="R193" s="2"/>
      <c r="S193" s="10"/>
      <c r="T193" s="13"/>
      <c r="U193" s="1">
        <f t="array" ref="U193">IF(AND(A193&lt;&gt;"",OR(ISNUMBER(B193:I193))),SUM(B193:I193),"")</f>
        <v>71</v>
      </c>
      <c r="V193" s="10">
        <f t="array" ref="V193">IF(AND(A193&lt;&gt;"",OR(ISNUMBER(J193:O193))),SUM(J193:O193),"")</f>
        <v>103</v>
      </c>
      <c r="W193" s="10">
        <f t="array" ref="W193">IF(AND(A193&lt;&gt;"",OR(ISNUMBER(P193),ISNUMBER(Q193))),SUM(MAX(P193:Q193),Q193),"")</f>
        <v>101</v>
      </c>
      <c r="X193" s="10" t="str">
        <f t="array" ref="X193">IF(AND(A193&lt;&gt;"",OR(ISNUMBER(S193),ISNUMBER(T193))),SUM(S193,T193),"")</f>
        <v/>
      </c>
      <c r="Y193" s="13">
        <v>1</v>
      </c>
      <c r="Z193" s="13">
        <f>IF(A193&lt;&gt;"",SUM(U193:Y193),"")</f>
        <v>276</v>
      </c>
      <c r="AA193" s="27">
        <f>IF(A193&lt;&gt;"",(Z193+Normalize_To_Add)/(Point_Total_So_Far)*100,"")</f>
        <v>90.491803278688522</v>
      </c>
      <c r="AB193" s="10">
        <f>IF(A193&lt;&gt;"",RANK(AA193,All_Student_XC),"")</f>
        <v>330</v>
      </c>
      <c r="AC193" s="32" t="str">
        <f>IF(A193&lt;&gt;"",CHOOSE(10-MIN(9,TRUNC((AA193+0.5)/10)),"A","B","C","D","F","F","F","F","F","F"),"")</f>
        <v>A</v>
      </c>
      <c r="AD193" s="31" t="str">
        <f>IF(A193&lt;&gt;"",IF(OR(AA193+0.5&gt;=93,AA193+0.5&lt;60),"",IF(MOD(AA193+0.5,10)&gt;=7,"+",IF(MOD(AA193+0.5,10)&lt;3,"-",""))),"")</f>
        <v>-</v>
      </c>
      <c r="AE193" s="32">
        <f>IF(A193&lt;&gt;"",SUM(W193:X193,$W$8:$X$8)/SUM($W$2:$X$2)*100,"")</f>
        <v>101</v>
      </c>
      <c r="AF193" s="32" t="str">
        <f>IF(A193&lt;&gt;"",CHOOSE(10-MIN(9,TRUNC((AE193+0.5)/10)),"A","B","C","D","F","F","F","F","F","F"),"")</f>
        <v>A</v>
      </c>
      <c r="AG193" s="32" t="str">
        <f>IF(A193&lt;&gt;"",IF(OR(AE193+0.5&gt;=93,AE193+0.5&lt;60),"",IF(MOD(AE193+0.5,10)&gt;=7,"+",IF(MOD(AE193+0.5,10)&lt;3,"-",""))),"")</f>
        <v/>
      </c>
      <c r="AH193" s="36">
        <f>IF(A193&lt;&gt;"",MIN(MAX(AA193,AE193),AA193+$AH$8,AE193+$AH$8),"")</f>
        <v>101</v>
      </c>
      <c r="AI193" s="32" t="str">
        <f>IF(A193&lt;&gt;"",CHOOSE(10-MIN(9,TRUNC((AH193+0.5)/10)),"A","B","C","D","F","F","F","F","F","F"),"")</f>
        <v>A</v>
      </c>
      <c r="AJ193" s="32" t="str">
        <f>IF(A193&lt;&gt;"",IF(OR(AH193+0.5&gt;=93,AH193+0.5&lt;60),"",IF(MOD(AH193+0.5,10)&gt;=7,"+",IF(MOD(AH193+0.5,10)&lt;3,"-",""))),"")</f>
        <v/>
      </c>
      <c r="AK193" s="71" t="b">
        <f>IF(A193&lt;&gt;"",OR(AI193&lt;&gt;AC193,AJ193&lt;&gt;AD193),"")</f>
        <v>1</v>
      </c>
      <c r="AL193" s="86">
        <f>IF(AND(A193&lt;&gt;"",U193&lt;&gt;""),SUM(U193,$AL$8)/$AL$2*100,"")</f>
        <v>94.666666666666671</v>
      </c>
      <c r="AM193" s="71">
        <f>IF(AND(A193&lt;&gt;"",V193&lt;&gt;""),SUM(V193,$AM$8)/$AM$2*100,"")</f>
        <v>79.230769230769226</v>
      </c>
      <c r="AN193" s="71">
        <f>IF(AND(A193&lt;&gt;"",ISNUMBER(P193),P193&gt;=0),SUM(P193,$AN$8)/$AN$2*100,"")</f>
        <v>101</v>
      </c>
      <c r="AO193" s="71" t="str">
        <f>IF(AND(A193&lt;&gt;"",ISNUMBER(Q193),Q193&gt;=0),SUM(Q193,$AO$8)/$AO$2*100,"")</f>
        <v/>
      </c>
      <c r="AP193" s="24" t="str">
        <f>IF(AND(A193&lt;&gt;"",R193&lt;&gt;""),SUM(R193,$AP$8)/$AP$2*100,"")</f>
        <v/>
      </c>
      <c r="AQ193" s="24">
        <f>IF(AND(A193&lt;&gt;"",ISNUMBER(W193),W193&gt;=0),SUM(W193,$AQ$8)/$AQ$2*100,"")</f>
        <v>101</v>
      </c>
      <c r="AR193" s="24" t="str">
        <f>IF(AND(A193&lt;&gt;"",T193&gt;0,ISNUMBER(T193)),SUM(T193,$AR$8)/$AR$2*100,"")</f>
        <v/>
      </c>
      <c r="AS193" s="24" t="str">
        <f>IF(AND(A193&lt;&gt;"",X193&lt;&gt;""),SUM(X193,$AS$8)/$AS$2*100,"")</f>
        <v/>
      </c>
      <c r="AT193" s="89">
        <f>IF(AND(A193&lt;&gt;"",OR(ISNUMBER(W193),ISNUMBER(X193))),SUM(W193:X193,$AT$8)/$AT$2*100,"")</f>
        <v>101</v>
      </c>
      <c r="AU193" s="24">
        <f>AA193</f>
        <v>90.491803278688522</v>
      </c>
      <c r="AV193" s="71"/>
      <c r="AW193" s="27">
        <f>IF(A193&lt;&gt;"",AE193-AA193,"")</f>
        <v>10.508196721311478</v>
      </c>
      <c r="AY193" s="27" t="b">
        <f>S193&gt;R193</f>
        <v>0</v>
      </c>
      <c r="BA193" s="27" t="e">
        <f>AND(AA193&gt;$BA$3,(W193+$W$8)/$W$2&lt;$BB$3,(X193+$X$8)/$X$2&lt;$BB$3)</f>
        <v>#VALUE!</v>
      </c>
      <c r="BB193" s="27" t="e">
        <f>AND(AA193&lt;$BA$3,AND(W193/$W$2&gt;$BB$3,X193/$X$2&gt;$BB$3))</f>
        <v>#VALUE!</v>
      </c>
      <c r="BC193" s="27" t="e">
        <f>AND(AA193&lt;$BA$3,OR(W193/$W$2&gt;$BB$3,X193/$X$2&gt;$BB$3))</f>
        <v>#VALUE!</v>
      </c>
      <c r="BE193" s="32" t="s">
        <v>84</v>
      </c>
    </row>
    <row r="194" spans="1:57" s="27" customFormat="1" ht="12.75" customHeight="1" x14ac:dyDescent="0.2">
      <c r="A194" s="10">
        <v>363532</v>
      </c>
      <c r="B194" s="2">
        <v>23</v>
      </c>
      <c r="C194" s="10">
        <v>21</v>
      </c>
      <c r="D194" s="10">
        <v>25</v>
      </c>
      <c r="E194" s="10"/>
      <c r="F194" s="10"/>
      <c r="G194" s="10"/>
      <c r="H194" s="10"/>
      <c r="I194" s="10"/>
      <c r="J194" s="2">
        <v>31</v>
      </c>
      <c r="K194" s="10">
        <v>51</v>
      </c>
      <c r="L194" s="10">
        <v>51</v>
      </c>
      <c r="M194" s="10"/>
      <c r="N194" s="93"/>
      <c r="O194" s="13"/>
      <c r="P194" s="10">
        <v>101</v>
      </c>
      <c r="Q194" s="10"/>
      <c r="R194" s="2"/>
      <c r="S194" s="10"/>
      <c r="T194" s="13"/>
      <c r="U194" s="1">
        <f t="array" ref="U194">IF(AND(A194&lt;&gt;"",OR(ISNUMBER(B194:I194))),SUM(B194:I194),"")</f>
        <v>69</v>
      </c>
      <c r="V194" s="10">
        <f t="array" ref="V194">IF(AND(A194&lt;&gt;"",OR(ISNUMBER(J194:O194))),SUM(J194:O194),"")</f>
        <v>133</v>
      </c>
      <c r="W194" s="10">
        <f t="array" ref="W194">IF(AND(A194&lt;&gt;"",OR(ISNUMBER(P194),ISNUMBER(Q194))),SUM(MAX(P194:Q194),Q194),"")</f>
        <v>101</v>
      </c>
      <c r="X194" s="10" t="str">
        <f t="array" ref="X194">IF(AND(A194&lt;&gt;"",OR(ISNUMBER(S194),ISNUMBER(T194))),SUM(S194,T194),"")</f>
        <v/>
      </c>
      <c r="Y194" s="13">
        <v>1</v>
      </c>
      <c r="Z194" s="13">
        <f>IF(A194&lt;&gt;"",SUM(U194:Y194),"")</f>
        <v>304</v>
      </c>
      <c r="AA194" s="27">
        <f>IF(A194&lt;&gt;"",(Z194+Normalize_To_Add)/(Point_Total_So_Far)*100,"")</f>
        <v>99.672131147540995</v>
      </c>
      <c r="AB194" s="10">
        <f>IF(A194&lt;&gt;"",RANK(AA194,All_Student_XC),"")</f>
        <v>124</v>
      </c>
      <c r="AC194" s="32" t="str">
        <f>IF(A194&lt;&gt;"",CHOOSE(10-MIN(9,TRUNC((AA194+0.5)/10)),"A","B","C","D","F","F","F","F","F","F"),"")</f>
        <v>A</v>
      </c>
      <c r="AD194" s="31" t="str">
        <f>IF(A194&lt;&gt;"",IF(OR(AA194+0.5&gt;=93,AA194+0.5&lt;60),"",IF(MOD(AA194+0.5,10)&gt;=7,"+",IF(MOD(AA194+0.5,10)&lt;3,"-",""))),"")</f>
        <v/>
      </c>
      <c r="AE194" s="32">
        <f>IF(A194&lt;&gt;"",SUM(W194:X194,$W$8:$X$8)/SUM($W$2:$X$2)*100,"")</f>
        <v>101</v>
      </c>
      <c r="AF194" s="32" t="str">
        <f>IF(A194&lt;&gt;"",CHOOSE(10-MIN(9,TRUNC((AE194+0.5)/10)),"A","B","C","D","F","F","F","F","F","F"),"")</f>
        <v>A</v>
      </c>
      <c r="AG194" s="32" t="str">
        <f>IF(A194&lt;&gt;"",IF(OR(AE194+0.5&gt;=93,AE194+0.5&lt;60),"",IF(MOD(AE194+0.5,10)&gt;=7,"+",IF(MOD(AE194+0.5,10)&lt;3,"-",""))),"")</f>
        <v/>
      </c>
      <c r="AH194" s="36">
        <f>IF(A194&lt;&gt;"",MIN(MAX(AA194,AE194),AA194+$AH$8,AE194+$AH$8),"")</f>
        <v>101</v>
      </c>
      <c r="AI194" s="32" t="str">
        <f>IF(A194&lt;&gt;"",CHOOSE(10-MIN(9,TRUNC((AH194+0.5)/10)),"A","B","C","D","F","F","F","F","F","F"),"")</f>
        <v>A</v>
      </c>
      <c r="AJ194" s="32" t="str">
        <f>IF(A194&lt;&gt;"",IF(OR(AH194+0.5&gt;=93,AH194+0.5&lt;60),"",IF(MOD(AH194+0.5,10)&gt;=7,"+",IF(MOD(AH194+0.5,10)&lt;3,"-",""))),"")</f>
        <v/>
      </c>
      <c r="AK194" s="71" t="b">
        <f>IF(A194&lt;&gt;"",OR(AI194&lt;&gt;AC194,AJ194&lt;&gt;AD194),"")</f>
        <v>0</v>
      </c>
      <c r="AL194" s="86">
        <f>IF(AND(A194&lt;&gt;"",U194&lt;&gt;""),SUM(U194,$AL$8)/$AL$2*100,"")</f>
        <v>92</v>
      </c>
      <c r="AM194" s="71">
        <f>IF(AND(A194&lt;&gt;"",V194&lt;&gt;""),SUM(V194,$AM$8)/$AM$2*100,"")</f>
        <v>102.30769230769229</v>
      </c>
      <c r="AN194" s="71">
        <f>IF(AND(A194&lt;&gt;"",ISNUMBER(P194),P194&gt;=0),SUM(P194,$AN$8)/$AN$2*100,"")</f>
        <v>101</v>
      </c>
      <c r="AO194" s="71" t="str">
        <f>IF(AND(A194&lt;&gt;"",ISNUMBER(Q194),Q194&gt;=0),SUM(Q194,$AO$8)/$AO$2*100,"")</f>
        <v/>
      </c>
      <c r="AP194" s="24" t="str">
        <f>IF(AND(A194&lt;&gt;"",R194&lt;&gt;""),SUM(R194,$AP$8)/$AP$2*100,"")</f>
        <v/>
      </c>
      <c r="AQ194" s="24">
        <f>IF(AND(A194&lt;&gt;"",ISNUMBER(W194),W194&gt;=0),SUM(W194,$AQ$8)/$AQ$2*100,"")</f>
        <v>101</v>
      </c>
      <c r="AR194" s="24" t="str">
        <f>IF(AND(A194&lt;&gt;"",T194&gt;0,ISNUMBER(T194)),SUM(T194,$AR$8)/$AR$2*100,"")</f>
        <v/>
      </c>
      <c r="AS194" s="24" t="str">
        <f>IF(AND(A194&lt;&gt;"",X194&lt;&gt;""),SUM(X194,$AS$8)/$AS$2*100,"")</f>
        <v/>
      </c>
      <c r="AT194" s="89">
        <f>IF(AND(A194&lt;&gt;"",OR(ISNUMBER(W194),ISNUMBER(X194))),SUM(W194:X194,$AT$8)/$AT$2*100,"")</f>
        <v>101</v>
      </c>
      <c r="AU194" s="24">
        <f>AA194</f>
        <v>99.672131147540995</v>
      </c>
      <c r="AV194" s="71"/>
      <c r="AW194" s="27">
        <f>IF(A194&lt;&gt;"",AE194-AA194,"")</f>
        <v>1.3278688524590052</v>
      </c>
      <c r="AY194" s="27" t="b">
        <f>S194&gt;R194</f>
        <v>0</v>
      </c>
      <c r="BA194" s="27" t="e">
        <f>AND(AA194&gt;$BA$3,(W194+$W$8)/$W$2&lt;$BB$3,(X194+$X$8)/$X$2&lt;$BB$3)</f>
        <v>#VALUE!</v>
      </c>
      <c r="BB194" s="27" t="e">
        <f>AND(AA194&lt;$BA$3,AND(W194/$W$2&gt;$BB$3,X194/$X$2&gt;$BB$3))</f>
        <v>#VALUE!</v>
      </c>
      <c r="BC194" s="27" t="e">
        <f>AND(AA194&lt;$BA$3,OR(W194/$W$2&gt;$BB$3,X194/$X$2&gt;$BB$3))</f>
        <v>#VALUE!</v>
      </c>
      <c r="BE194" s="32">
        <v>32</v>
      </c>
    </row>
    <row r="195" spans="1:57" s="27" customFormat="1" ht="12.75" customHeight="1" x14ac:dyDescent="0.2">
      <c r="A195" s="10">
        <v>364632</v>
      </c>
      <c r="B195" s="2">
        <v>22</v>
      </c>
      <c r="C195" s="10">
        <v>23</v>
      </c>
      <c r="D195" s="10">
        <v>23</v>
      </c>
      <c r="E195" s="10"/>
      <c r="F195" s="10"/>
      <c r="G195" s="3"/>
      <c r="H195" s="10"/>
      <c r="I195" s="10"/>
      <c r="J195" s="2">
        <v>30</v>
      </c>
      <c r="K195" s="10">
        <v>50</v>
      </c>
      <c r="L195" s="10">
        <v>50</v>
      </c>
      <c r="M195" s="10"/>
      <c r="N195" s="10"/>
      <c r="O195" s="12"/>
      <c r="P195" s="41">
        <v>101</v>
      </c>
      <c r="Q195" s="41"/>
      <c r="R195" s="2"/>
      <c r="S195" s="10"/>
      <c r="T195" s="13"/>
      <c r="U195" s="1">
        <f t="array" ref="U195">IF(AND(A195&lt;&gt;"",OR(ISNUMBER(B195:I195))),SUM(B195:I195),"")</f>
        <v>68</v>
      </c>
      <c r="V195" s="10">
        <f t="array" ref="V195">IF(AND(A195&lt;&gt;"",OR(ISNUMBER(J195:O195))),SUM(J195:O195),"")</f>
        <v>130</v>
      </c>
      <c r="W195" s="10">
        <f t="array" ref="W195">IF(AND(A195&lt;&gt;"",OR(ISNUMBER(P195),ISNUMBER(Q195))),SUM(MAX(P195:Q195),Q195),"")</f>
        <v>101</v>
      </c>
      <c r="X195" s="10" t="str">
        <f t="array" ref="X195">IF(AND(A195&lt;&gt;"",OR(ISNUMBER(S195),ISNUMBER(T195))),SUM(S195,T195),"")</f>
        <v/>
      </c>
      <c r="Y195" s="13">
        <v>1</v>
      </c>
      <c r="Z195" s="13">
        <f>IF(A195&lt;&gt;"",SUM(U195:Y195),"")</f>
        <v>300</v>
      </c>
      <c r="AA195" s="27">
        <f>IF(A195&lt;&gt;"",(Z195+Normalize_To_Add)/(Point_Total_So_Far)*100,"")</f>
        <v>98.360655737704917</v>
      </c>
      <c r="AB195" s="10">
        <f>IF(A195&lt;&gt;"",RANK(AA195,All_Student_XC),"")</f>
        <v>186</v>
      </c>
      <c r="AC195" s="32" t="str">
        <f>IF(A195&lt;&gt;"",CHOOSE(10-MIN(9,TRUNC((AA195+0.5)/10)),"A","B","C","D","F","F","F","F","F","F"),"")</f>
        <v>A</v>
      </c>
      <c r="AD195" s="32" t="str">
        <f>IF(A195&lt;&gt;"",IF(OR(AA195+0.5&gt;=93,AA195+0.5&lt;60),"",IF(MOD(AA195+0.5,10)&gt;=7,"+",IF(MOD(AA195+0.5,10)&lt;3,"-",""))),"")</f>
        <v/>
      </c>
      <c r="AE195" s="32">
        <f>IF(A195&lt;&gt;"",SUM(W195:X195,$W$8:$X$8)/SUM($W$2:$X$2)*100,"")</f>
        <v>101</v>
      </c>
      <c r="AF195" s="32" t="str">
        <f>IF(A195&lt;&gt;"",CHOOSE(10-MIN(9,TRUNC((AE195+0.5)/10)),"A","B","C","D","F","F","F","F","F","F"),"")</f>
        <v>A</v>
      </c>
      <c r="AG195" s="32" t="str">
        <f>IF(A195&lt;&gt;"",IF(OR(AE195+0.5&gt;=93,AE195+0.5&lt;60),"",IF(MOD(AE195+0.5,10)&gt;=7,"+",IF(MOD(AE195+0.5,10)&lt;3,"-",""))),"")</f>
        <v/>
      </c>
      <c r="AH195" s="36">
        <f>IF(A195&lt;&gt;"",MIN(MAX(AA195,AE195),AA195+$AH$8,AE195+$AH$8),"")</f>
        <v>101</v>
      </c>
      <c r="AI195" s="32" t="str">
        <f>IF(A195&lt;&gt;"",CHOOSE(10-MIN(9,TRUNC((AH195+0.5)/10)),"A","B","C","D","F","F","F","F","F","F"),"")</f>
        <v>A</v>
      </c>
      <c r="AJ195" s="32" t="str">
        <f>IF(A195&lt;&gt;"",IF(OR(AH195+0.5&gt;=93,AH195+0.5&lt;60),"",IF(MOD(AH195+0.5,10)&gt;=7,"+",IF(MOD(AH195+0.5,10)&lt;3,"-",""))),"")</f>
        <v/>
      </c>
      <c r="AK195" s="32" t="b">
        <f>IF(A195&lt;&gt;"",OR(AI195&lt;&gt;AC195,AJ195&lt;&gt;AD195),"")</f>
        <v>0</v>
      </c>
      <c r="AL195" s="84">
        <f>IF(AND(A195&lt;&gt;"",U195&lt;&gt;""),SUM(U195,$AL$8)/$AL$2*100,"")</f>
        <v>90.666666666666657</v>
      </c>
      <c r="AM195" s="24">
        <f>IF(AND(A195&lt;&gt;"",V195&lt;&gt;""),SUM(V195,$AM$8)/$AM$2*100,"")</f>
        <v>100</v>
      </c>
      <c r="AN195" s="24">
        <f>IF(AND(A195&lt;&gt;"",ISNUMBER(P195),P195&gt;=0),SUM(P195,$AN$8)/$AN$2*100,"")</f>
        <v>101</v>
      </c>
      <c r="AO195" s="24" t="str">
        <f>IF(AND(A195&lt;&gt;"",ISNUMBER(Q195),Q195&gt;=0),SUM(Q195,$AO$8)/$AO$2*100,"")</f>
        <v/>
      </c>
      <c r="AP195" s="24" t="str">
        <f>IF(AND(A195&lt;&gt;"",R195&lt;&gt;""),SUM(R195,$AP$8)/$AP$2*100,"")</f>
        <v/>
      </c>
      <c r="AQ195" s="24">
        <f>IF(AND(A195&lt;&gt;"",ISNUMBER(W195),W195&gt;=0),SUM(W195,$AQ$8)/$AQ$2*100,"")</f>
        <v>101</v>
      </c>
      <c r="AR195" s="24" t="str">
        <f>IF(AND(A195&lt;&gt;"",T195&gt;0,ISNUMBER(T195)),SUM(T195,$AR$8)/$AR$2*100,"")</f>
        <v/>
      </c>
      <c r="AS195" s="24" t="str">
        <f>IF(AND(A195&lt;&gt;"",X195&lt;&gt;""),SUM(X195,$AS$8)/$AS$2*100,"")</f>
        <v/>
      </c>
      <c r="AT195" s="89">
        <f>IF(AND(A195&lt;&gt;"",OR(ISNUMBER(W195),ISNUMBER(X195))),SUM(W195:X195,$AT$8)/$AT$2*100,"")</f>
        <v>101</v>
      </c>
      <c r="AU195" s="24">
        <f>AA195</f>
        <v>98.360655737704917</v>
      </c>
      <c r="AV195" s="24"/>
      <c r="AW195" s="27">
        <f>IF(A195&lt;&gt;"",AE195-AA195,"")</f>
        <v>2.6393442622950829</v>
      </c>
      <c r="AY195" s="27" t="b">
        <f>S195&gt;R195</f>
        <v>0</v>
      </c>
      <c r="BA195" s="27" t="e">
        <f>AND(AA195&gt;$BA$3,(W195+$W$8)/$W$2&lt;$BB$3,(X195+$X$8)/$X$2&lt;$BB$3)</f>
        <v>#VALUE!</v>
      </c>
      <c r="BB195" s="27" t="e">
        <f>AND(AA195&lt;$BA$3,AND(W195/$W$2&gt;$BB$3,X195/$X$2&gt;$BB$3))</f>
        <v>#VALUE!</v>
      </c>
      <c r="BC195" s="27" t="e">
        <f>AND(AA195&lt;$BA$3,OR(W195/$W$2&gt;$BB$3,X195/$X$2&gt;$BB$3))</f>
        <v>#VALUE!</v>
      </c>
      <c r="BE195" s="32" t="s">
        <v>84</v>
      </c>
    </row>
    <row r="196" spans="1:57" s="27" customFormat="1" ht="12.75" customHeight="1" x14ac:dyDescent="0.2">
      <c r="A196" s="10">
        <v>365852</v>
      </c>
      <c r="B196" s="2">
        <v>18</v>
      </c>
      <c r="C196" s="10">
        <v>21</v>
      </c>
      <c r="D196" s="10">
        <v>22</v>
      </c>
      <c r="E196" s="10"/>
      <c r="F196" s="10"/>
      <c r="G196" s="10"/>
      <c r="H196" s="10"/>
      <c r="I196" s="10"/>
      <c r="J196" s="2">
        <v>32</v>
      </c>
      <c r="K196" s="10">
        <v>52</v>
      </c>
      <c r="L196" s="10">
        <v>51</v>
      </c>
      <c r="M196" s="10"/>
      <c r="N196" s="93"/>
      <c r="O196" s="13"/>
      <c r="P196" s="10">
        <v>100</v>
      </c>
      <c r="Q196" s="13"/>
      <c r="R196" s="2"/>
      <c r="S196" s="10"/>
      <c r="T196" s="13"/>
      <c r="U196" s="1">
        <f t="array" ref="U196">IF(AND(A196&lt;&gt;"",OR(ISNUMBER(B196:I196))),SUM(B196:I196),"")</f>
        <v>61</v>
      </c>
      <c r="V196" s="10">
        <f t="array" ref="V196">IF(AND(A196&lt;&gt;"",OR(ISNUMBER(J196:O196))),SUM(J196:O196),"")</f>
        <v>135</v>
      </c>
      <c r="W196" s="10">
        <f t="array" ref="W196">IF(AND(A196&lt;&gt;"",OR(ISNUMBER(P196),ISNUMBER(Q196))),SUM(MAX(P196:Q196),Q196),"")</f>
        <v>100</v>
      </c>
      <c r="X196" s="10" t="str">
        <f t="array" ref="X196">IF(AND(A196&lt;&gt;"",OR(ISNUMBER(S196),ISNUMBER(T196))),SUM(S196,T196),"")</f>
        <v/>
      </c>
      <c r="Y196" s="13">
        <v>1</v>
      </c>
      <c r="Z196" s="13">
        <f>IF(A196&lt;&gt;"",SUM(U196:Y196),"")</f>
        <v>297</v>
      </c>
      <c r="AA196" s="27">
        <f>IF(A196&lt;&gt;"",(Z196+Normalize_To_Add)/(Point_Total_So_Far)*100,"")</f>
        <v>97.377049180327873</v>
      </c>
      <c r="AB196" s="10">
        <f>IF(A196&lt;&gt;"",RANK(AA196,All_Student_XC),"")</f>
        <v>224</v>
      </c>
      <c r="AC196" s="32" t="str">
        <f>IF(A196&lt;&gt;"",CHOOSE(10-MIN(9,TRUNC((AA196+0.5)/10)),"A","B","C","D","F","F","F","F","F","F"),"")</f>
        <v>A</v>
      </c>
      <c r="AD196" s="31" t="str">
        <f>IF(A196&lt;&gt;"",IF(OR(AA196+0.5&gt;=93,AA196+0.5&lt;60),"",IF(MOD(AA196+0.5,10)&gt;=7,"+",IF(MOD(AA196+0.5,10)&lt;3,"-",""))),"")</f>
        <v/>
      </c>
      <c r="AE196" s="32">
        <f>IF(A196&lt;&gt;"",SUM(W196:X196,$W$8:$X$8)/SUM($W$2:$X$2)*100,"")</f>
        <v>100</v>
      </c>
      <c r="AF196" s="32" t="str">
        <f>IF(A196&lt;&gt;"",CHOOSE(10-MIN(9,TRUNC((AE196+0.5)/10)),"A","B","C","D","F","F","F","F","F","F"),"")</f>
        <v>A</v>
      </c>
      <c r="AG196" s="32" t="str">
        <f>IF(A196&lt;&gt;"",IF(OR(AE196+0.5&gt;=93,AE196+0.5&lt;60),"",IF(MOD(AE196+0.5,10)&gt;=7,"+",IF(MOD(AE196+0.5,10)&lt;3,"-",""))),"")</f>
        <v/>
      </c>
      <c r="AH196" s="36">
        <f>IF(A196&lt;&gt;"",MIN(MAX(AA196,AE196),AA196+$AH$8,AE196+$AH$8),"")</f>
        <v>100</v>
      </c>
      <c r="AI196" s="32" t="str">
        <f>IF(A196&lt;&gt;"",CHOOSE(10-MIN(9,TRUNC((AH196+0.5)/10)),"A","B","C","D","F","F","F","F","F","F"),"")</f>
        <v>A</v>
      </c>
      <c r="AJ196" s="32" t="str">
        <f>IF(A196&lt;&gt;"",IF(OR(AH196+0.5&gt;=93,AH196+0.5&lt;60),"",IF(MOD(AH196+0.5,10)&gt;=7,"+",IF(MOD(AH196+0.5,10)&lt;3,"-",""))),"")</f>
        <v/>
      </c>
      <c r="AK196" s="71" t="b">
        <f>IF(A196&lt;&gt;"",OR(AI196&lt;&gt;AC196,AJ196&lt;&gt;AD196),"")</f>
        <v>0</v>
      </c>
      <c r="AL196" s="86">
        <f>IF(AND(A196&lt;&gt;"",U196&lt;&gt;""),SUM(U196,$AL$8)/$AL$2*100,"")</f>
        <v>81.333333333333329</v>
      </c>
      <c r="AM196" s="71">
        <f>IF(AND(A196&lt;&gt;"",V196&lt;&gt;""),SUM(V196,$AM$8)/$AM$2*100,"")</f>
        <v>103.84615384615385</v>
      </c>
      <c r="AN196" s="71">
        <f>IF(AND(A196&lt;&gt;"",ISNUMBER(P196),P196&gt;=0),SUM(P196,$AN$8)/$AN$2*100,"")</f>
        <v>100</v>
      </c>
      <c r="AO196" s="71" t="str">
        <f>IF(AND(A196&lt;&gt;"",ISNUMBER(Q196),Q196&gt;=0),SUM(Q196,$AO$8)/$AO$2*100,"")</f>
        <v/>
      </c>
      <c r="AP196" s="24" t="str">
        <f>IF(AND(A196&lt;&gt;"",R196&lt;&gt;""),SUM(R196,$AP$8)/$AP$2*100,"")</f>
        <v/>
      </c>
      <c r="AQ196" s="24">
        <f>IF(AND(A196&lt;&gt;"",ISNUMBER(W196),W196&gt;=0),SUM(W196,$AQ$8)/$AQ$2*100,"")</f>
        <v>100</v>
      </c>
      <c r="AR196" s="24" t="str">
        <f>IF(AND(A196&lt;&gt;"",T196&gt;0,ISNUMBER(T196)),SUM(T196,$AR$8)/$AR$2*100,"")</f>
        <v/>
      </c>
      <c r="AS196" s="24" t="str">
        <f>IF(AND(A196&lt;&gt;"",X196&lt;&gt;""),SUM(X196,$AS$8)/$AS$2*100,"")</f>
        <v/>
      </c>
      <c r="AT196" s="89">
        <f>IF(AND(A196&lt;&gt;"",OR(ISNUMBER(W196),ISNUMBER(X196))),SUM(W196:X196,$AT$8)/$AT$2*100,"")</f>
        <v>100</v>
      </c>
      <c r="AU196" s="24">
        <f>AA196</f>
        <v>97.377049180327873</v>
      </c>
      <c r="AV196" s="71"/>
      <c r="AW196" s="27">
        <f>IF(A196&lt;&gt;"",AE196-AA196,"")</f>
        <v>2.622950819672127</v>
      </c>
      <c r="AY196" s="27" t="b">
        <f>S196&gt;R196</f>
        <v>0</v>
      </c>
      <c r="BA196" s="27" t="e">
        <f>AND(AA196&gt;$BA$3,(W196+$W$8)/$W$2&lt;$BB$3,(X196+$X$8)/$X$2&lt;$BB$3)</f>
        <v>#VALUE!</v>
      </c>
      <c r="BB196" s="27" t="e">
        <f>AND(AA196&lt;$BA$3,AND(W196/$W$2&gt;$BB$3,X196/$X$2&gt;$BB$3))</f>
        <v>#VALUE!</v>
      </c>
      <c r="BC196" s="27" t="e">
        <f>AND(AA196&lt;$BA$3,OR(W196/$W$2&gt;$BB$3,X196/$X$2&gt;$BB$3))</f>
        <v>#VALUE!</v>
      </c>
      <c r="BE196" s="32" t="s">
        <v>84</v>
      </c>
    </row>
    <row r="197" spans="1:57" s="27" customFormat="1" ht="12.75" customHeight="1" x14ac:dyDescent="0.2">
      <c r="A197" s="10">
        <v>369429</v>
      </c>
      <c r="B197" s="55">
        <v>23</v>
      </c>
      <c r="C197" s="10">
        <v>21</v>
      </c>
      <c r="D197" s="10">
        <v>8</v>
      </c>
      <c r="E197" s="10"/>
      <c r="F197" s="10"/>
      <c r="G197" s="3"/>
      <c r="H197" s="10"/>
      <c r="I197" s="10"/>
      <c r="J197" s="2">
        <v>29</v>
      </c>
      <c r="K197" s="10">
        <v>44</v>
      </c>
      <c r="L197" s="10">
        <v>51</v>
      </c>
      <c r="M197" s="10"/>
      <c r="N197" s="10"/>
      <c r="O197" s="12"/>
      <c r="P197" s="7">
        <v>40</v>
      </c>
      <c r="Q197" s="7"/>
      <c r="R197" s="2"/>
      <c r="S197" s="10"/>
      <c r="T197" s="13"/>
      <c r="U197" s="77">
        <f t="array" ref="U197">IF(AND(A197&lt;&gt;"",OR(ISNUMBER(B197:I197))),SUM(B197:I197),"")</f>
        <v>52</v>
      </c>
      <c r="V197" s="10">
        <f t="array" ref="V197">IF(AND(A197&lt;&gt;"",OR(ISNUMBER(J197:O197))),SUM(J197:O197),"")</f>
        <v>124</v>
      </c>
      <c r="W197" s="10">
        <f t="array" ref="W197">IF(AND(A197&lt;&gt;"",OR(ISNUMBER(P197),ISNUMBER(Q197))),SUM(MAX(P197:Q197),Q197),"")</f>
        <v>40</v>
      </c>
      <c r="X197" s="10" t="str">
        <f t="array" ref="X197">IF(AND(A197&lt;&gt;"",OR(ISNUMBER(S197),ISNUMBER(T197))),SUM(S197,T197),"")</f>
        <v/>
      </c>
      <c r="Y197" s="13">
        <v>1</v>
      </c>
      <c r="Z197" s="13">
        <f>IF(A197&lt;&gt;"",SUM(U197:Y197),"")</f>
        <v>217</v>
      </c>
      <c r="AA197" s="27">
        <f>IF(A197&lt;&gt;"",(Z197+Normalize_To_Add)/(Point_Total_So_Far)*100,"")</f>
        <v>71.147540983606561</v>
      </c>
      <c r="AB197" s="10">
        <f>IF(A197&lt;&gt;"",RANK(AA197,All_Student_XC),"")</f>
        <v>456</v>
      </c>
      <c r="AC197" s="32" t="str">
        <f>IF(A197&lt;&gt;"",CHOOSE(10-MIN(9,TRUNC((AA197+0.5)/10)),"A","B","C","D","F","F","F","F","F","F"),"")</f>
        <v>C</v>
      </c>
      <c r="AD197" s="32" t="str">
        <f>IF(A197&lt;&gt;"",IF(OR(AA197+0.5&gt;=93,AA197+0.5&lt;60),"",IF(MOD(AA197+0.5,10)&gt;=7,"+",IF(MOD(AA197+0.5,10)&lt;3,"-",""))),"")</f>
        <v>-</v>
      </c>
      <c r="AE197" s="32">
        <f>IF(A197&lt;&gt;"",SUM(W197:X197,$W$8:$X$8)/SUM($W$2:$X$2)*100,"")</f>
        <v>40</v>
      </c>
      <c r="AF197" s="32" t="str">
        <f>IF(A197&lt;&gt;"",CHOOSE(10-MIN(9,TRUNC((AE197+0.5)/10)),"A","B","C","D","F","F","F","F","F","F"),"")</f>
        <v>F</v>
      </c>
      <c r="AG197" s="32" t="str">
        <f>IF(A197&lt;&gt;"",IF(OR(AE197+0.5&gt;=93,AE197+0.5&lt;60),"",IF(MOD(AE197+0.5,10)&gt;=7,"+",IF(MOD(AE197+0.5,10)&lt;3,"-",""))),"")</f>
        <v/>
      </c>
      <c r="AH197" s="36">
        <f>IF(A197&lt;&gt;"",MIN(MAX(AA197,AE197),AA197+$AH$8,AE197+$AH$8),"")</f>
        <v>71.147540983606561</v>
      </c>
      <c r="AI197" s="32" t="str">
        <f>IF(A197&lt;&gt;"",CHOOSE(10-MIN(9,TRUNC((AH197+0.5)/10)),"A","B","C","D","F","F","F","F","F","F"),"")</f>
        <v>C</v>
      </c>
      <c r="AJ197" s="32" t="str">
        <f>IF(A197&lt;&gt;"",IF(OR(AH197+0.5&gt;=93,AH197+0.5&lt;60),"",IF(MOD(AH197+0.5,10)&gt;=7,"+",IF(MOD(AH197+0.5,10)&lt;3,"-",""))),"")</f>
        <v>-</v>
      </c>
      <c r="AK197" s="32" t="b">
        <f>IF(A197&lt;&gt;"",OR(AI197&lt;&gt;AC197,AJ197&lt;&gt;AD197),"")</f>
        <v>0</v>
      </c>
      <c r="AL197" s="84">
        <f>IF(AND(A197&lt;&gt;"",U197&lt;&gt;""),SUM(U197,$AL$8)/$AL$2*100,"")</f>
        <v>69.333333333333343</v>
      </c>
      <c r="AM197" s="24">
        <f>IF(AND(A197&lt;&gt;"",V197&lt;&gt;""),SUM(V197,$AM$8)/$AM$2*100,"")</f>
        <v>95.384615384615387</v>
      </c>
      <c r="AN197" s="24">
        <f>IF(AND(A197&lt;&gt;"",ISNUMBER(P197),P197&gt;=0),SUM(P197,$AN$8)/$AN$2*100,"")</f>
        <v>40</v>
      </c>
      <c r="AO197" s="24" t="str">
        <f>IF(AND(A197&lt;&gt;"",ISNUMBER(Q197),Q197&gt;=0),SUM(Q197,$AO$8)/$AO$2*100,"")</f>
        <v/>
      </c>
      <c r="AP197" s="24" t="str">
        <f>IF(AND(A197&lt;&gt;"",R197&lt;&gt;""),SUM(R197,$AP$8)/$AP$2*100,"")</f>
        <v/>
      </c>
      <c r="AQ197" s="24">
        <f>IF(AND(A197&lt;&gt;"",ISNUMBER(W197),W197&gt;=0),SUM(W197,$AQ$8)/$AQ$2*100,"")</f>
        <v>40</v>
      </c>
      <c r="AR197" s="24" t="str">
        <f>IF(AND(A197&lt;&gt;"",T197&gt;0,ISNUMBER(T197)),SUM(T197,$AR$8)/$AR$2*100,"")</f>
        <v/>
      </c>
      <c r="AS197" s="24" t="str">
        <f>IF(AND(A197&lt;&gt;"",X197&lt;&gt;""),SUM(X197,$AS$8)/$AS$2*100,"")</f>
        <v/>
      </c>
      <c r="AT197" s="89">
        <f>IF(AND(A197&lt;&gt;"",OR(ISNUMBER(W197),ISNUMBER(X197))),SUM(W197:X197,$AT$8)/$AT$2*100,"")</f>
        <v>40</v>
      </c>
      <c r="AU197" s="24">
        <f>AA197</f>
        <v>71.147540983606561</v>
      </c>
      <c r="AV197" s="24"/>
      <c r="AW197" s="27">
        <f>IF(A197&lt;&gt;"",AE197-AA197,"")</f>
        <v>-31.147540983606561</v>
      </c>
      <c r="AY197" s="27" t="b">
        <f>S197&gt;R197</f>
        <v>0</v>
      </c>
      <c r="BA197" s="27" t="e">
        <f>AND(AA197&gt;$BA$3,(W197+$W$8)/$W$2&lt;$BB$3,(X197+$X$8)/$X$2&lt;$BB$3)</f>
        <v>#VALUE!</v>
      </c>
      <c r="BB197" s="27" t="e">
        <f>AND(AA197&lt;$BA$3,AND(W197/$W$2&gt;$BB$3,X197/$X$2&gt;$BB$3))</f>
        <v>#VALUE!</v>
      </c>
      <c r="BC197" s="27" t="e">
        <f>AND(AA197&lt;$BA$3,OR(W197/$W$2&gt;$BB$3,X197/$X$2&gt;$BB$3))</f>
        <v>#VALUE!</v>
      </c>
      <c r="BE197" s="32"/>
    </row>
    <row r="198" spans="1:57" s="27" customFormat="1" ht="12.75" customHeight="1" x14ac:dyDescent="0.2">
      <c r="A198" s="10">
        <v>370223</v>
      </c>
      <c r="B198" s="2">
        <v>22</v>
      </c>
      <c r="C198" s="10">
        <v>20</v>
      </c>
      <c r="D198" s="10">
        <v>22</v>
      </c>
      <c r="E198" s="10"/>
      <c r="F198" s="10"/>
      <c r="G198" s="10"/>
      <c r="H198" s="10"/>
      <c r="I198" s="10"/>
      <c r="J198" s="2">
        <v>31</v>
      </c>
      <c r="K198" s="10">
        <v>48</v>
      </c>
      <c r="L198" s="10">
        <v>49</v>
      </c>
      <c r="M198" s="10"/>
      <c r="N198" s="93"/>
      <c r="O198" s="13"/>
      <c r="P198" s="10">
        <v>60</v>
      </c>
      <c r="Q198" s="10"/>
      <c r="R198" s="2"/>
      <c r="S198" s="10"/>
      <c r="T198" s="13"/>
      <c r="U198" s="1">
        <f t="array" ref="U198">IF(AND(A198&lt;&gt;"",OR(ISNUMBER(B198:I198))),SUM(B198:I198),"")</f>
        <v>64</v>
      </c>
      <c r="V198" s="10">
        <f t="array" ref="V198">IF(AND(A198&lt;&gt;"",OR(ISNUMBER(J198:O198))),SUM(J198:O198),"")</f>
        <v>128</v>
      </c>
      <c r="W198" s="10">
        <f t="array" ref="W198">IF(AND(A198&lt;&gt;"",OR(ISNUMBER(P198),ISNUMBER(Q198))),SUM(MAX(P198:Q198),Q198),"")</f>
        <v>60</v>
      </c>
      <c r="X198" s="10" t="str">
        <f t="array" ref="X198">IF(AND(A198&lt;&gt;"",OR(ISNUMBER(S198),ISNUMBER(T198))),SUM(S198,T198),"")</f>
        <v/>
      </c>
      <c r="Y198" s="13">
        <v>1</v>
      </c>
      <c r="Z198" s="13">
        <f>IF(A198&lt;&gt;"",SUM(U198:Y198),"")</f>
        <v>253</v>
      </c>
      <c r="AA198" s="27">
        <f>IF(A198&lt;&gt;"",(Z198+Normalize_To_Add)/(Point_Total_So_Far)*100,"")</f>
        <v>82.950819672131146</v>
      </c>
      <c r="AB198" s="10">
        <f>IF(A198&lt;&gt;"",RANK(AA198,All_Student_XC),"")</f>
        <v>391</v>
      </c>
      <c r="AC198" s="32" t="str">
        <f>IF(A198&lt;&gt;"",CHOOSE(10-MIN(9,TRUNC((AA198+0.5)/10)),"A","B","C","D","F","F","F","F","F","F"),"")</f>
        <v>B</v>
      </c>
      <c r="AD198" s="31" t="str">
        <f>IF(A198&lt;&gt;"",IF(OR(AA198+0.5&gt;=93,AA198+0.5&lt;60),"",IF(MOD(AA198+0.5,10)&gt;=7,"+",IF(MOD(AA198+0.5,10)&lt;3,"-",""))),"")</f>
        <v/>
      </c>
      <c r="AE198" s="32">
        <f>IF(A198&lt;&gt;"",SUM(W198:X198,$W$8:$X$8)/SUM($W$2:$X$2)*100,"")</f>
        <v>60</v>
      </c>
      <c r="AF198" s="32" t="str">
        <f>IF(A198&lt;&gt;"",CHOOSE(10-MIN(9,TRUNC((AE198+0.5)/10)),"A","B","C","D","F","F","F","F","F","F"),"")</f>
        <v>D</v>
      </c>
      <c r="AG198" s="32" t="str">
        <f>IF(A198&lt;&gt;"",IF(OR(AE198+0.5&gt;=93,AE198+0.5&lt;60),"",IF(MOD(AE198+0.5,10)&gt;=7,"+",IF(MOD(AE198+0.5,10)&lt;3,"-",""))),"")</f>
        <v>-</v>
      </c>
      <c r="AH198" s="36">
        <f>IF(A198&lt;&gt;"",MIN(MAX(AA198,AE198),AA198+$AH$8,AE198+$AH$8),"")</f>
        <v>82.950819672131146</v>
      </c>
      <c r="AI198" s="32" t="str">
        <f>IF(A198&lt;&gt;"",CHOOSE(10-MIN(9,TRUNC((AH198+0.5)/10)),"A","B","C","D","F","F","F","F","F","F"),"")</f>
        <v>B</v>
      </c>
      <c r="AJ198" s="32" t="str">
        <f>IF(A198&lt;&gt;"",IF(OR(AH198+0.5&gt;=93,AH198+0.5&lt;60),"",IF(MOD(AH198+0.5,10)&gt;=7,"+",IF(MOD(AH198+0.5,10)&lt;3,"-",""))),"")</f>
        <v/>
      </c>
      <c r="AK198" s="71" t="b">
        <f>IF(A198&lt;&gt;"",OR(AI198&lt;&gt;AC198,AJ198&lt;&gt;AD198),"")</f>
        <v>0</v>
      </c>
      <c r="AL198" s="86">
        <f>IF(AND(A198&lt;&gt;"",U198&lt;&gt;""),SUM(U198,$AL$8)/$AL$2*100,"")</f>
        <v>85.333333333333343</v>
      </c>
      <c r="AM198" s="71">
        <f>IF(AND(A198&lt;&gt;"",V198&lt;&gt;""),SUM(V198,$AM$8)/$AM$2*100,"")</f>
        <v>98.461538461538467</v>
      </c>
      <c r="AN198" s="71">
        <f>IF(AND(A198&lt;&gt;"",ISNUMBER(P198),P198&gt;=0),SUM(P198,$AN$8)/$AN$2*100,"")</f>
        <v>60</v>
      </c>
      <c r="AO198" s="71" t="str">
        <f>IF(AND(A198&lt;&gt;"",ISNUMBER(Q198),Q198&gt;=0),SUM(Q198,$AO$8)/$AO$2*100,"")</f>
        <v/>
      </c>
      <c r="AP198" s="24" t="str">
        <f>IF(AND(A198&lt;&gt;"",R198&lt;&gt;""),SUM(R198,$AP$8)/$AP$2*100,"")</f>
        <v/>
      </c>
      <c r="AQ198" s="24">
        <f>IF(AND(A198&lt;&gt;"",ISNUMBER(W198),W198&gt;=0),SUM(W198,$AQ$8)/$AQ$2*100,"")</f>
        <v>60</v>
      </c>
      <c r="AR198" s="24" t="str">
        <f>IF(AND(A198&lt;&gt;"",T198&gt;0,ISNUMBER(T198)),SUM(T198,$AR$8)/$AR$2*100,"")</f>
        <v/>
      </c>
      <c r="AS198" s="24" t="str">
        <f>IF(AND(A198&lt;&gt;"",X198&lt;&gt;""),SUM(X198,$AS$8)/$AS$2*100,"")</f>
        <v/>
      </c>
      <c r="AT198" s="89">
        <f>IF(AND(A198&lt;&gt;"",OR(ISNUMBER(W198),ISNUMBER(X198))),SUM(W198:X198,$AT$8)/$AT$2*100,"")</f>
        <v>60</v>
      </c>
      <c r="AU198" s="24">
        <f>AA198</f>
        <v>82.950819672131146</v>
      </c>
      <c r="AV198" s="71"/>
      <c r="AW198" s="27">
        <f>IF(A198&lt;&gt;"",AE198-AA198,"")</f>
        <v>-22.950819672131146</v>
      </c>
      <c r="AY198" s="27" t="b">
        <f>S198&gt;R198</f>
        <v>0</v>
      </c>
      <c r="BA198" s="27" t="e">
        <f>AND(AA198&gt;$BA$3,(W198+$W$8)/$W$2&lt;$BB$3,(X198+$X$8)/$X$2&lt;$BB$3)</f>
        <v>#VALUE!</v>
      </c>
      <c r="BB198" s="27" t="e">
        <f>AND(AA198&lt;$BA$3,AND(W198/$W$2&gt;$BB$3,X198/$X$2&gt;$BB$3))</f>
        <v>#VALUE!</v>
      </c>
      <c r="BC198" s="27" t="e">
        <f>AND(AA198&lt;$BA$3,OR(W198/$W$2&gt;$BB$3,X198/$X$2&gt;$BB$3))</f>
        <v>#VALUE!</v>
      </c>
      <c r="BE198" s="32" t="s">
        <v>85</v>
      </c>
    </row>
    <row r="199" spans="1:57" s="27" customFormat="1" ht="12.75" customHeight="1" x14ac:dyDescent="0.2">
      <c r="A199" s="10">
        <v>371683</v>
      </c>
      <c r="B199" s="2">
        <v>12</v>
      </c>
      <c r="C199" s="10">
        <v>18</v>
      </c>
      <c r="D199" s="10">
        <v>19</v>
      </c>
      <c r="E199" s="10"/>
      <c r="F199" s="10"/>
      <c r="G199" s="10"/>
      <c r="H199" s="10"/>
      <c r="I199" s="10"/>
      <c r="J199" s="2">
        <v>27</v>
      </c>
      <c r="K199" s="10">
        <v>33</v>
      </c>
      <c r="L199" s="10">
        <v>18</v>
      </c>
      <c r="M199" s="10"/>
      <c r="N199" s="93"/>
      <c r="O199" s="12"/>
      <c r="P199" s="56">
        <v>40</v>
      </c>
      <c r="Q199" s="41"/>
      <c r="R199" s="2"/>
      <c r="S199" s="10"/>
      <c r="T199" s="13"/>
      <c r="U199" s="7">
        <f t="array" ref="U199">IF(AND(A199&lt;&gt;"",OR(ISNUMBER(B199:I199))),SUM(B199:I199),"")</f>
        <v>49</v>
      </c>
      <c r="V199" s="10">
        <f t="array" ref="V199">IF(AND(A199&lt;&gt;"",OR(ISNUMBER(J199:O199))),SUM(J199:O199),"")</f>
        <v>78</v>
      </c>
      <c r="W199" s="10">
        <f t="array" ref="W199">IF(AND(A199&lt;&gt;"",OR(ISNUMBER(P199),ISNUMBER(Q199))),SUM(MAX(P199:Q199),Q199),"")</f>
        <v>40</v>
      </c>
      <c r="X199" s="10" t="str">
        <f t="array" ref="X199">IF(AND(A199&lt;&gt;"",OR(ISNUMBER(S199),ISNUMBER(T199))),SUM(S199,T199),"")</f>
        <v/>
      </c>
      <c r="Y199" s="13">
        <v>1</v>
      </c>
      <c r="Z199" s="13">
        <f>IF(A199&lt;&gt;"",SUM(U199:Y199),"")</f>
        <v>168</v>
      </c>
      <c r="AA199" s="27">
        <f>IF(A199&lt;&gt;"",(Z199+Normalize_To_Add)/(Point_Total_So_Far)*100,"")</f>
        <v>55.081967213114758</v>
      </c>
      <c r="AB199" s="10">
        <f>IF(A199&lt;&gt;"",RANK(AA199,All_Student_XC),"")</f>
        <v>488</v>
      </c>
      <c r="AC199" s="32" t="str">
        <f>IF(A199&lt;&gt;"",CHOOSE(10-MIN(9,TRUNC((AA199+0.5)/10)),"A","B","C","D","F","F","F","F","F","F"),"")</f>
        <v>F</v>
      </c>
      <c r="AD199" s="32" t="str">
        <f>IF(A199&lt;&gt;"",IF(OR(AA199+0.5&gt;=93,AA199+0.5&lt;60),"",IF(MOD(AA199+0.5,10)&gt;=7,"+",IF(MOD(AA199+0.5,10)&lt;3,"-",""))),"")</f>
        <v/>
      </c>
      <c r="AE199" s="32">
        <f>IF(A199&lt;&gt;"",SUM(W199:X199,$W$8:$X$8)/SUM($W$2:$X$2)*100,"")</f>
        <v>40</v>
      </c>
      <c r="AF199" s="32" t="str">
        <f>IF(A199&lt;&gt;"",CHOOSE(10-MIN(9,TRUNC((AE199+0.5)/10)),"A","B","C","D","F","F","F","F","F","F"),"")</f>
        <v>F</v>
      </c>
      <c r="AG199" s="32" t="str">
        <f>IF(A199&lt;&gt;"",IF(OR(AE199+0.5&gt;=93,AE199+0.5&lt;60),"",IF(MOD(AE199+0.5,10)&gt;=7,"+",IF(MOD(AE199+0.5,10)&lt;3,"-",""))),"")</f>
        <v/>
      </c>
      <c r="AH199" s="36">
        <f>IF(A199&lt;&gt;"",MIN(MAX(AA199,AE199),AA199+$AH$8,AE199+$AH$8),"")</f>
        <v>55.081967213114758</v>
      </c>
      <c r="AI199" s="32" t="str">
        <f>IF(A199&lt;&gt;"",CHOOSE(10-MIN(9,TRUNC((AH199+0.5)/10)),"A","B","C","D","F","F","F","F","F","F"),"")</f>
        <v>F</v>
      </c>
      <c r="AJ199" s="32" t="str">
        <f>IF(A199&lt;&gt;"",IF(OR(AH199+0.5&gt;=93,AH199+0.5&lt;60),"",IF(MOD(AH199+0.5,10)&gt;=7,"+",IF(MOD(AH199+0.5,10)&lt;3,"-",""))),"")</f>
        <v/>
      </c>
      <c r="AK199" s="32" t="b">
        <f>IF(A199&lt;&gt;"",OR(AI199&lt;&gt;AC199,AJ199&lt;&gt;AD199),"")</f>
        <v>0</v>
      </c>
      <c r="AL199" s="84">
        <f>IF(AND(A199&lt;&gt;"",U199&lt;&gt;""),SUM(U199,$AL$8)/$AL$2*100,"")</f>
        <v>65.333333333333329</v>
      </c>
      <c r="AM199" s="24">
        <f>IF(AND(A199&lt;&gt;"",V199&lt;&gt;""),SUM(V199,$AM$8)/$AM$2*100,"")</f>
        <v>60</v>
      </c>
      <c r="AN199" s="24">
        <f>IF(AND(A199&lt;&gt;"",ISNUMBER(P199),P199&gt;=0),SUM(P199,$AN$8)/$AN$2*100,"")</f>
        <v>40</v>
      </c>
      <c r="AO199" s="24" t="str">
        <f>IF(AND(A199&lt;&gt;"",ISNUMBER(Q199),Q199&gt;=0),SUM(Q199,$AO$8)/$AO$2*100,"")</f>
        <v/>
      </c>
      <c r="AP199" s="24" t="str">
        <f>IF(AND(A199&lt;&gt;"",R199&lt;&gt;""),SUM(R199,$AP$8)/$AP$2*100,"")</f>
        <v/>
      </c>
      <c r="AQ199" s="24">
        <f>IF(AND(A199&lt;&gt;"",ISNUMBER(W199),W199&gt;=0),SUM(W199,$AQ$8)/$AQ$2*100,"")</f>
        <v>40</v>
      </c>
      <c r="AR199" s="24" t="str">
        <f>IF(AND(A199&lt;&gt;"",T199&gt;0,ISNUMBER(T199)),SUM(T199,$AR$8)/$AR$2*100,"")</f>
        <v/>
      </c>
      <c r="AS199" s="24" t="str">
        <f>IF(AND(A199&lt;&gt;"",X199&lt;&gt;""),SUM(X199,$AS$8)/$AS$2*100,"")</f>
        <v/>
      </c>
      <c r="AT199" s="89">
        <f>IF(AND(A199&lt;&gt;"",OR(ISNUMBER(W199),ISNUMBER(X199))),SUM(W199:X199,$AT$8)/$AT$2*100,"")</f>
        <v>40</v>
      </c>
      <c r="AU199" s="24">
        <f>AA199</f>
        <v>55.081967213114758</v>
      </c>
      <c r="AV199" s="24"/>
      <c r="AW199" s="27">
        <f>IF(A199&lt;&gt;"",AE199-AA199,"")</f>
        <v>-15.081967213114758</v>
      </c>
      <c r="AY199" s="27" t="b">
        <f>S199&gt;R199</f>
        <v>0</v>
      </c>
      <c r="BA199" s="27" t="e">
        <f>AND(AA199&gt;$BA$3,(W199+$W$8)/$W$2&lt;$BB$3,(X199+$X$8)/$X$2&lt;$BB$3)</f>
        <v>#VALUE!</v>
      </c>
      <c r="BB199" s="27" t="e">
        <f>AND(AA199&lt;$BA$3,AND(W199/$W$2&gt;$BB$3,X199/$X$2&gt;$BB$3))</f>
        <v>#VALUE!</v>
      </c>
      <c r="BC199" s="27" t="e">
        <f>AND(AA199&lt;$BA$3,OR(W199/$W$2&gt;$BB$3,X199/$X$2&gt;$BB$3))</f>
        <v>#VALUE!</v>
      </c>
      <c r="BE199" s="32">
        <v>32</v>
      </c>
    </row>
    <row r="200" spans="1:57" s="27" customFormat="1" ht="12.75" customHeight="1" x14ac:dyDescent="0.2">
      <c r="A200" s="10">
        <v>372371</v>
      </c>
      <c r="B200" s="2">
        <v>17</v>
      </c>
      <c r="C200" s="10">
        <v>21</v>
      </c>
      <c r="D200" s="10">
        <v>3</v>
      </c>
      <c r="E200" s="10"/>
      <c r="F200" s="10"/>
      <c r="G200" s="10"/>
      <c r="H200" s="10"/>
      <c r="I200" s="10"/>
      <c r="J200" s="2">
        <v>28</v>
      </c>
      <c r="K200" s="10">
        <v>4</v>
      </c>
      <c r="L200" s="10">
        <v>29</v>
      </c>
      <c r="M200" s="10"/>
      <c r="N200" s="93"/>
      <c r="O200" s="13"/>
      <c r="P200" s="10">
        <v>101</v>
      </c>
      <c r="Q200" s="10"/>
      <c r="R200" s="2"/>
      <c r="S200" s="10"/>
      <c r="T200" s="13"/>
      <c r="U200" s="1">
        <f t="array" ref="U200">IF(AND(A200&lt;&gt;"",OR(ISNUMBER(B200:I200))),SUM(B200:I200),"")</f>
        <v>41</v>
      </c>
      <c r="V200" s="10">
        <f t="array" ref="V200">IF(AND(A200&lt;&gt;"",OR(ISNUMBER(J200:O200))),SUM(J200:O200),"")</f>
        <v>61</v>
      </c>
      <c r="W200" s="10">
        <f t="array" ref="W200">IF(AND(A200&lt;&gt;"",OR(ISNUMBER(P200),ISNUMBER(Q200))),SUM(MAX(P200:Q200),Q200),"")</f>
        <v>101</v>
      </c>
      <c r="X200" s="10" t="str">
        <f t="array" ref="X200">IF(AND(A200&lt;&gt;"",OR(ISNUMBER(S200),ISNUMBER(T200))),SUM(S200,T200),"")</f>
        <v/>
      </c>
      <c r="Y200" s="13">
        <v>1</v>
      </c>
      <c r="Z200" s="13">
        <f>IF(A200&lt;&gt;"",SUM(U200:Y200),"")</f>
        <v>204</v>
      </c>
      <c r="AA200" s="27">
        <f>IF(A200&lt;&gt;"",(Z200+Normalize_To_Add)/(Point_Total_So_Far)*100,"")</f>
        <v>66.885245901639351</v>
      </c>
      <c r="AB200" s="10">
        <f>IF(A200&lt;&gt;"",RANK(AA200,All_Student_XC),"")</f>
        <v>464</v>
      </c>
      <c r="AC200" s="32" t="str">
        <f>IF(A200&lt;&gt;"",CHOOSE(10-MIN(9,TRUNC((AA200+0.5)/10)),"A","B","C","D","F","F","F","F","F","F"),"")</f>
        <v>D</v>
      </c>
      <c r="AD200" s="31" t="str">
        <f>IF(A200&lt;&gt;"",IF(OR(AA200+0.5&gt;=93,AA200+0.5&lt;60),"",IF(MOD(AA200+0.5,10)&gt;=7,"+",IF(MOD(AA200+0.5,10)&lt;3,"-",""))),"")</f>
        <v>+</v>
      </c>
      <c r="AE200" s="32">
        <f>IF(A200&lt;&gt;"",SUM(W200:X200,$W$8:$X$8)/SUM($W$2:$X$2)*100,"")</f>
        <v>101</v>
      </c>
      <c r="AF200" s="32" t="str">
        <f>IF(A200&lt;&gt;"",CHOOSE(10-MIN(9,TRUNC((AE200+0.5)/10)),"A","B","C","D","F","F","F","F","F","F"),"")</f>
        <v>A</v>
      </c>
      <c r="AG200" s="32" t="str">
        <f>IF(A200&lt;&gt;"",IF(OR(AE200+0.5&gt;=93,AE200+0.5&lt;60),"",IF(MOD(AE200+0.5,10)&gt;=7,"+",IF(MOD(AE200+0.5,10)&lt;3,"-",""))),"")</f>
        <v/>
      </c>
      <c r="AH200" s="36">
        <f>IF(A200&lt;&gt;"",MIN(MAX(AA200,AE200),AA200+$AH$8,AE200+$AH$8),"")</f>
        <v>101</v>
      </c>
      <c r="AI200" s="32" t="str">
        <f>IF(A200&lt;&gt;"",CHOOSE(10-MIN(9,TRUNC((AH200+0.5)/10)),"A","B","C","D","F","F","F","F","F","F"),"")</f>
        <v>A</v>
      </c>
      <c r="AJ200" s="32" t="str">
        <f>IF(A200&lt;&gt;"",IF(OR(AH200+0.5&gt;=93,AH200+0.5&lt;60),"",IF(MOD(AH200+0.5,10)&gt;=7,"+",IF(MOD(AH200+0.5,10)&lt;3,"-",""))),"")</f>
        <v/>
      </c>
      <c r="AK200" s="71" t="b">
        <f>IF(A200&lt;&gt;"",OR(AI200&lt;&gt;AC200,AJ200&lt;&gt;AD200),"")</f>
        <v>1</v>
      </c>
      <c r="AL200" s="86">
        <f>IF(AND(A200&lt;&gt;"",U200&lt;&gt;""),SUM(U200,$AL$8)/$AL$2*100,"")</f>
        <v>54.666666666666664</v>
      </c>
      <c r="AM200" s="71">
        <f>IF(AND(A200&lt;&gt;"",V200&lt;&gt;""),SUM(V200,$AM$8)/$AM$2*100,"")</f>
        <v>46.92307692307692</v>
      </c>
      <c r="AN200" s="71">
        <f>IF(AND(A200&lt;&gt;"",ISNUMBER(P200),P200&gt;=0),SUM(P200,$AN$8)/$AN$2*100,"")</f>
        <v>101</v>
      </c>
      <c r="AO200" s="71" t="str">
        <f>IF(AND(A200&lt;&gt;"",ISNUMBER(Q200),Q200&gt;=0),SUM(Q200,$AO$8)/$AO$2*100,"")</f>
        <v/>
      </c>
      <c r="AP200" s="24" t="str">
        <f>IF(AND(A200&lt;&gt;"",R200&lt;&gt;""),SUM(R200,$AP$8)/$AP$2*100,"")</f>
        <v/>
      </c>
      <c r="AQ200" s="24">
        <f>IF(AND(A200&lt;&gt;"",ISNUMBER(W200),W200&gt;=0),SUM(W200,$AQ$8)/$AQ$2*100,"")</f>
        <v>101</v>
      </c>
      <c r="AR200" s="24" t="str">
        <f>IF(AND(A200&lt;&gt;"",T200&gt;0,ISNUMBER(T200)),SUM(T200,$AR$8)/$AR$2*100,"")</f>
        <v/>
      </c>
      <c r="AS200" s="24" t="str">
        <f>IF(AND(A200&lt;&gt;"",X200&lt;&gt;""),SUM(X200,$AS$8)/$AS$2*100,"")</f>
        <v/>
      </c>
      <c r="AT200" s="89">
        <f>IF(AND(A200&lt;&gt;"",OR(ISNUMBER(W200),ISNUMBER(X200))),SUM(W200:X200,$AT$8)/$AT$2*100,"")</f>
        <v>101</v>
      </c>
      <c r="AU200" s="24">
        <f>AA200</f>
        <v>66.885245901639351</v>
      </c>
      <c r="AV200" s="71"/>
      <c r="AW200" s="27">
        <f>IF(A200&lt;&gt;"",AE200-AA200,"")</f>
        <v>34.114754098360649</v>
      </c>
      <c r="AY200" s="27" t="b">
        <f>S200&gt;R200</f>
        <v>0</v>
      </c>
      <c r="BA200" s="27" t="e">
        <f>AND(AA200&gt;$BA$3,(W200+$W$8)/$W$2&lt;$BB$3,(X200+$X$8)/$X$2&lt;$BB$3)</f>
        <v>#VALUE!</v>
      </c>
      <c r="BB200" s="27" t="e">
        <f>AND(AA200&lt;$BA$3,AND(W200/$W$2&gt;$BB$3,X200/$X$2&gt;$BB$3))</f>
        <v>#VALUE!</v>
      </c>
      <c r="BC200" s="27" t="e">
        <f>AND(AA200&lt;$BA$3,OR(W200/$W$2&gt;$BB$3,X200/$X$2&gt;$BB$3))</f>
        <v>#VALUE!</v>
      </c>
      <c r="BE200" s="32">
        <v>32</v>
      </c>
    </row>
    <row r="201" spans="1:57" s="27" customFormat="1" ht="12.75" customHeight="1" x14ac:dyDescent="0.2">
      <c r="A201" s="10">
        <v>373228</v>
      </c>
      <c r="B201" s="2">
        <v>19</v>
      </c>
      <c r="C201" s="10">
        <v>20</v>
      </c>
      <c r="D201" s="10">
        <v>25</v>
      </c>
      <c r="E201" s="10"/>
      <c r="F201" s="10"/>
      <c r="G201" s="3"/>
      <c r="H201" s="10"/>
      <c r="I201" s="10"/>
      <c r="J201" s="2">
        <v>31</v>
      </c>
      <c r="K201" s="10">
        <v>51</v>
      </c>
      <c r="L201" s="10">
        <v>51</v>
      </c>
      <c r="M201" s="10"/>
      <c r="N201" s="93"/>
      <c r="O201" s="12"/>
      <c r="P201" s="10">
        <v>100</v>
      </c>
      <c r="Q201" s="41"/>
      <c r="R201" s="2"/>
      <c r="S201" s="10"/>
      <c r="T201" s="13"/>
      <c r="U201" s="1">
        <f t="array" ref="U201">IF(AND(A201&lt;&gt;"",OR(ISNUMBER(B201:I201))),SUM(B201:I201),"")</f>
        <v>64</v>
      </c>
      <c r="V201" s="10">
        <f t="array" ref="V201">IF(AND(A201&lt;&gt;"",OR(ISNUMBER(J201:O201))),SUM(J201:O201),"")</f>
        <v>133</v>
      </c>
      <c r="W201" s="10">
        <f t="array" ref="W201">IF(AND(A201&lt;&gt;"",OR(ISNUMBER(P201),ISNUMBER(Q201))),SUM(MAX(P201:Q201),Q201),"")</f>
        <v>100</v>
      </c>
      <c r="X201" s="10" t="str">
        <f t="array" ref="X201">IF(AND(A201&lt;&gt;"",OR(ISNUMBER(S201),ISNUMBER(T201))),SUM(S201,T201),"")</f>
        <v/>
      </c>
      <c r="Y201" s="13">
        <v>1</v>
      </c>
      <c r="Z201" s="13">
        <f>IF(A201&lt;&gt;"",SUM(U201:Y201),"")</f>
        <v>298</v>
      </c>
      <c r="AA201" s="27">
        <f>IF(A201&lt;&gt;"",(Z201+Normalize_To_Add)/(Point_Total_So_Far)*100,"")</f>
        <v>97.704918032786878</v>
      </c>
      <c r="AB201" s="10">
        <f>IF(A201&lt;&gt;"",RANK(AA201,All_Student_XC),"")</f>
        <v>210</v>
      </c>
      <c r="AC201" s="32" t="str">
        <f>IF(A201&lt;&gt;"",CHOOSE(10-MIN(9,TRUNC((AA201+0.5)/10)),"A","B","C","D","F","F","F","F","F","F"),"")</f>
        <v>A</v>
      </c>
      <c r="AD201" s="32" t="str">
        <f>IF(A201&lt;&gt;"",IF(OR(AA201+0.5&gt;=93,AA201+0.5&lt;60),"",IF(MOD(AA201+0.5,10)&gt;=7,"+",IF(MOD(AA201+0.5,10)&lt;3,"-",""))),"")</f>
        <v/>
      </c>
      <c r="AE201" s="32">
        <f>IF(A201&lt;&gt;"",SUM(W201:X201,$W$8:$X$8)/SUM($W$2:$X$2)*100,"")</f>
        <v>100</v>
      </c>
      <c r="AF201" s="44" t="str">
        <f>IF(A201&lt;&gt;"",CHOOSE(10-MIN(9,TRUNC((AE201+0.5)/10)),"A","B","C","D","F","F","F","F","F","F"),"")</f>
        <v>A</v>
      </c>
      <c r="AG201" s="44" t="str">
        <f>IF(A201&lt;&gt;"",IF(OR(AE201+0.5&gt;=93,AE201+0.5&lt;60),"",IF(MOD(AE201+0.5,10)&gt;=7,"+",IF(MOD(AE201+0.5,10)&lt;3,"-",""))),"")</f>
        <v/>
      </c>
      <c r="AH201" s="36">
        <f>IF(A201&lt;&gt;"",MIN(MAX(AA201,AE201),AA201+$AH$8,AE201+$AH$8),"")</f>
        <v>100</v>
      </c>
      <c r="AI201" s="32" t="str">
        <f>IF(A201&lt;&gt;"",CHOOSE(10-MIN(9,TRUNC((AH201+0.5)/10)),"A","B","C","D","F","F","F","F","F","F"),"")</f>
        <v>A</v>
      </c>
      <c r="AJ201" s="32" t="str">
        <f>IF(A201&lt;&gt;"",IF(OR(AH201+0.5&gt;=93,AH201+0.5&lt;60),"",IF(MOD(AH201+0.5,10)&gt;=7,"+",IF(MOD(AH201+0.5,10)&lt;3,"-",""))),"")</f>
        <v/>
      </c>
      <c r="AK201" s="32" t="b">
        <f>IF(A201&lt;&gt;"",OR(AI201&lt;&gt;AC201,AJ201&lt;&gt;AD201),"")</f>
        <v>0</v>
      </c>
      <c r="AL201" s="84">
        <f>IF(AND(A201&lt;&gt;"",U201&lt;&gt;""),SUM(U201,$AL$8)/$AL$2*100,"")</f>
        <v>85.333333333333343</v>
      </c>
      <c r="AM201" s="24">
        <f>IF(AND(A201&lt;&gt;"",V201&lt;&gt;""),SUM(V201,$AM$8)/$AM$2*100,"")</f>
        <v>102.30769230769229</v>
      </c>
      <c r="AN201" s="24">
        <f>IF(AND(A201&lt;&gt;"",ISNUMBER(P201),P201&gt;=0),SUM(P201,$AN$8)/$AN$2*100,"")</f>
        <v>100</v>
      </c>
      <c r="AO201" s="24" t="str">
        <f>IF(AND(A201&lt;&gt;"",ISNUMBER(Q201),Q201&gt;=0),SUM(Q201,$AO$8)/$AO$2*100,"")</f>
        <v/>
      </c>
      <c r="AP201" s="24" t="str">
        <f>IF(AND(A201&lt;&gt;"",R201&lt;&gt;""),SUM(R201,$AP$8)/$AP$2*100,"")</f>
        <v/>
      </c>
      <c r="AQ201" s="24">
        <f>IF(AND(A201&lt;&gt;"",ISNUMBER(W201),W201&gt;=0),SUM(W201,$AQ$8)/$AQ$2*100,"")</f>
        <v>100</v>
      </c>
      <c r="AR201" s="24" t="str">
        <f>IF(AND(A201&lt;&gt;"",T201&gt;0,ISNUMBER(T201)),SUM(T201,$AR$8)/$AR$2*100,"")</f>
        <v/>
      </c>
      <c r="AS201" s="24" t="str">
        <f>IF(AND(A201&lt;&gt;"",X201&lt;&gt;""),SUM(X201,$AS$8)/$AS$2*100,"")</f>
        <v/>
      </c>
      <c r="AT201" s="89">
        <f>IF(AND(A201&lt;&gt;"",OR(ISNUMBER(W201),ISNUMBER(X201))),SUM(W201:X201,$AT$8)/$AT$2*100,"")</f>
        <v>100</v>
      </c>
      <c r="AU201" s="24">
        <f>AA201</f>
        <v>97.704918032786878</v>
      </c>
      <c r="AV201" s="24"/>
      <c r="AW201" s="27">
        <f>IF(A201&lt;&gt;"",AE201-AA201,"")</f>
        <v>2.2950819672131217</v>
      </c>
      <c r="AY201" s="27" t="b">
        <f>S201&gt;R201</f>
        <v>0</v>
      </c>
      <c r="BA201" s="27" t="e">
        <f>AND(AA201&gt;$BA$3,(W201+$W$8)/$W$2&lt;$BB$3,(X201+$X$8)/$X$2&lt;$BB$3)</f>
        <v>#VALUE!</v>
      </c>
      <c r="BB201" s="27" t="e">
        <f>AND(AA201&lt;$BA$3,AND(W201/$W$2&gt;$BB$3,X201/$X$2&gt;$BB$3))</f>
        <v>#VALUE!</v>
      </c>
      <c r="BC201" s="27" t="e">
        <f>AND(AA201&lt;$BA$3,OR(W201/$W$2&gt;$BB$3,X201/$X$2&gt;$BB$3))</f>
        <v>#VALUE!</v>
      </c>
      <c r="BE201" s="32" t="s">
        <v>84</v>
      </c>
    </row>
    <row r="202" spans="1:57" s="27" customFormat="1" ht="12.75" customHeight="1" x14ac:dyDescent="0.2">
      <c r="A202" s="10">
        <v>378141</v>
      </c>
      <c r="B202" s="2">
        <v>-2</v>
      </c>
      <c r="C202" s="10" t="s">
        <v>67</v>
      </c>
      <c r="D202" s="10" t="s">
        <v>67</v>
      </c>
      <c r="E202" s="10"/>
      <c r="F202" s="10"/>
      <c r="G202" s="10"/>
      <c r="H202" s="10"/>
      <c r="I202" s="10"/>
      <c r="J202" s="2">
        <v>27</v>
      </c>
      <c r="K202" s="10" t="s">
        <v>67</v>
      </c>
      <c r="L202" s="10" t="s">
        <v>67</v>
      </c>
      <c r="M202" s="10"/>
      <c r="N202" s="10"/>
      <c r="O202" s="12"/>
      <c r="P202" s="41" t="s">
        <v>67</v>
      </c>
      <c r="Q202" s="41"/>
      <c r="R202" s="2"/>
      <c r="S202" s="10"/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26</v>
      </c>
      <c r="AA202" s="27">
        <f>IF(A202&lt;&gt;"",(Z202+Normalize_To_Add)/(Point_Total_So_Far)*100,"")</f>
        <v>8.524590163934425</v>
      </c>
      <c r="AB202" s="10">
        <f>IF(A202&lt;&gt;"",RANK(AA202,All_Student_XC),"")</f>
        <v>513</v>
      </c>
      <c r="AC202" s="32" t="str">
        <f>IF(A202&lt;&gt;"",CHOOSE(10-MIN(9,TRUNC((AA202+0.5)/10)),"A","B","C","D","F","F","F","F","F","F"),"")</f>
        <v>F</v>
      </c>
      <c r="AD202" s="32" t="str">
        <f>IF(A202&lt;&gt;"",IF(OR(AA202+0.5&gt;=93,AA202+0.5&lt;60),"",IF(MOD(AA202+0.5,10)&gt;=7,"+",IF(MOD(AA202+0.5,10)&lt;3,"-",""))),"")</f>
        <v/>
      </c>
      <c r="AE202" s="32">
        <f>IF(A202&lt;&gt;"",SUM(W202:X202,$W$8:$X$8)/SUM($W$2:$X$2)*100,"")</f>
        <v>0</v>
      </c>
      <c r="AF202" s="32" t="str">
        <f>IF(A202&lt;&gt;"",CHOOSE(10-MIN(9,TRUNC((AE202+0.5)/10)),"A","B","C","D","F","F","F","F","F","F"),"")</f>
        <v>F</v>
      </c>
      <c r="AG202" s="32" t="str">
        <f>IF(A202&lt;&gt;"",IF(OR(AE202+0.5&gt;=93,AE202+0.5&lt;60),"",IF(MOD(AE202+0.5,10)&gt;=7,"+",IF(MOD(AE202+0.5,10)&lt;3,"-",""))),"")</f>
        <v/>
      </c>
      <c r="AH202" s="36">
        <f>IF(A202&lt;&gt;"",MIN(MAX(AA202,AE202),AA202+$AH$8,AE202+$AH$8),"")</f>
        <v>8.524590163934425</v>
      </c>
      <c r="AI202" s="32" t="str">
        <f>IF(A202&lt;&gt;"",CHOOSE(10-MIN(9,TRUNC((AH202+0.5)/10)),"A","B","C","D","F","F","F","F","F","F"),"")</f>
        <v>F</v>
      </c>
      <c r="AJ202" s="32" t="str">
        <f>IF(A202&lt;&gt;"",IF(OR(AH202+0.5&gt;=93,AH202+0.5&lt;60),"",IF(MOD(AH202+0.5,10)&gt;=7,"+",IF(MOD(AH202+0.5,10)&lt;3,"-",""))),"")</f>
        <v/>
      </c>
      <c r="AK202" s="32" t="b">
        <f>IF(A202&lt;&gt;"",OR(AI202&lt;&gt;AC202,AJ202&lt;&gt;AD202),"")</f>
        <v>0</v>
      </c>
      <c r="AL202" s="84">
        <f>IF(AND(A202&lt;&gt;"",U202&lt;&gt;""),SUM(U202,$AL$8)/$AL$2*100,"")</f>
        <v>-2.666666666666667</v>
      </c>
      <c r="AM202" s="24">
        <f>IF(AND(A202&lt;&gt;"",V202&lt;&gt;""),SUM(V202,$AM$8)/$AM$2*100,"")</f>
        <v>20.76923076923077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9" t="str">
        <f>IF(AND(A202&lt;&gt;"",OR(ISNUMBER(W202),ISNUMBER(X202))),SUM(W202:X202,$AT$8)/$AT$2*100,"")</f>
        <v/>
      </c>
      <c r="AU202" s="24">
        <f>AA202</f>
        <v>8.524590163934425</v>
      </c>
      <c r="AV202" s="24"/>
      <c r="AW202" s="27">
        <f>IF(A202&lt;&gt;"",AE202-AA202,"")</f>
        <v>-8.524590163934425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  <c r="BE202" s="32">
        <v>32</v>
      </c>
    </row>
    <row r="203" spans="1:57" s="27" customFormat="1" ht="12.75" customHeight="1" x14ac:dyDescent="0.2">
      <c r="A203" s="10">
        <v>378774</v>
      </c>
      <c r="B203" s="2">
        <v>21</v>
      </c>
      <c r="C203" s="10">
        <v>23</v>
      </c>
      <c r="D203" s="10">
        <v>25</v>
      </c>
      <c r="E203" s="10"/>
      <c r="F203" s="10"/>
      <c r="G203" s="3"/>
      <c r="H203" s="10"/>
      <c r="I203" s="10"/>
      <c r="J203" s="2">
        <v>32</v>
      </c>
      <c r="K203" s="10">
        <v>51</v>
      </c>
      <c r="L203" s="10">
        <v>52</v>
      </c>
      <c r="M203" s="10"/>
      <c r="N203" s="10"/>
      <c r="O203" s="12"/>
      <c r="P203" s="7">
        <v>101</v>
      </c>
      <c r="Q203" s="7"/>
      <c r="R203" s="2"/>
      <c r="S203" s="10"/>
      <c r="T203" s="13"/>
      <c r="U203" s="77">
        <f t="array" ref="U203">IF(AND(A203&lt;&gt;"",OR(ISNUMBER(B203:I203))),SUM(B203:I203),"")</f>
        <v>69</v>
      </c>
      <c r="V203" s="10">
        <f t="array" ref="V203">IF(AND(A203&lt;&gt;"",OR(ISNUMBER(J203:O203))),SUM(J203:O203),"")</f>
        <v>135</v>
      </c>
      <c r="W203" s="10">
        <f t="array" ref="W203">IF(AND(A203&lt;&gt;"",OR(ISNUMBER(P203),ISNUMBER(Q203))),SUM(MAX(P203:Q203),Q203),"")</f>
        <v>101</v>
      </c>
      <c r="X203" s="10" t="str">
        <f t="array" ref="X203">IF(AND(A203&lt;&gt;"",OR(ISNUMBER(S203),ISNUMBER(T203))),SUM(S203,T203),"")</f>
        <v/>
      </c>
      <c r="Y203" s="13">
        <v>1</v>
      </c>
      <c r="Z203" s="13">
        <f>IF(A203&lt;&gt;"",SUM(U203:Y203),"")</f>
        <v>306</v>
      </c>
      <c r="AA203" s="27">
        <f>IF(A203&lt;&gt;"",(Z203+Normalize_To_Add)/(Point_Total_So_Far)*100,"")</f>
        <v>100.32786885245901</v>
      </c>
      <c r="AB203" s="10">
        <f>IF(A203&lt;&gt;"",RANK(AA203,All_Student_XC),"")</f>
        <v>99</v>
      </c>
      <c r="AC203" s="32" t="str">
        <f>IF(A203&lt;&gt;"",CHOOSE(10-MIN(9,TRUNC((AA203+0.5)/10)),"A","B","C","D","F","F","F","F","F","F"),"")</f>
        <v>A</v>
      </c>
      <c r="AD203" s="32" t="str">
        <f>IF(A203&lt;&gt;"",IF(OR(AA203+0.5&gt;=93,AA203+0.5&lt;60),"",IF(MOD(AA203+0.5,10)&gt;=7,"+",IF(MOD(AA203+0.5,10)&lt;3,"-",""))),"")</f>
        <v/>
      </c>
      <c r="AE203" s="32">
        <f>IF(A203&lt;&gt;"",SUM(W203:X203,$W$8:$X$8)/SUM($W$2:$X$2)*100,"")</f>
        <v>101</v>
      </c>
      <c r="AF203" s="32" t="str">
        <f>IF(A203&lt;&gt;"",CHOOSE(10-MIN(9,TRUNC((AE203+0.5)/10)),"A","B","C","D","F","F","F","F","F","F"),"")</f>
        <v>A</v>
      </c>
      <c r="AG203" s="32" t="str">
        <f>IF(A203&lt;&gt;"",IF(OR(AE203+0.5&gt;=93,AE203+0.5&lt;60),"",IF(MOD(AE203+0.5,10)&gt;=7,"+",IF(MOD(AE203+0.5,10)&lt;3,"-",""))),"")</f>
        <v/>
      </c>
      <c r="AH203" s="36">
        <f>IF(A203&lt;&gt;"",MIN(MAX(AA203,AE203),AA203+$AH$8,AE203+$AH$8),"")</f>
        <v>101</v>
      </c>
      <c r="AI203" s="32" t="str">
        <f>IF(A203&lt;&gt;"",CHOOSE(10-MIN(9,TRUNC((AH203+0.5)/10)),"A","B","C","D","F","F","F","F","F","F"),"")</f>
        <v>A</v>
      </c>
      <c r="AJ203" s="32" t="str">
        <f>IF(A203&lt;&gt;"",IF(OR(AH203+0.5&gt;=93,AH203+0.5&lt;60),"",IF(MOD(AH203+0.5,10)&gt;=7,"+",IF(MOD(AH203+0.5,10)&lt;3,"-",""))),"")</f>
        <v/>
      </c>
      <c r="AK203" s="32" t="b">
        <f>IF(A203&lt;&gt;"",OR(AI203&lt;&gt;AC203,AJ203&lt;&gt;AD203),"")</f>
        <v>0</v>
      </c>
      <c r="AL203" s="84">
        <f>IF(AND(A203&lt;&gt;"",U203&lt;&gt;""),SUM(U203,$AL$8)/$AL$2*100,"")</f>
        <v>92</v>
      </c>
      <c r="AM203" s="24">
        <f>IF(AND(A203&lt;&gt;"",V203&lt;&gt;""),SUM(V203,$AM$8)/$AM$2*100,"")</f>
        <v>103.84615384615385</v>
      </c>
      <c r="AN203" s="24">
        <f>IF(AND(A203&lt;&gt;"",ISNUMBER(P203),P203&gt;=0),SUM(P203,$AN$8)/$AN$2*100,"")</f>
        <v>101</v>
      </c>
      <c r="AO203" s="24" t="str">
        <f>IF(AND(A203&lt;&gt;"",ISNUMBER(Q203),Q203&gt;=0),SUM(Q203,$AO$8)/$AO$2*100,"")</f>
        <v/>
      </c>
      <c r="AP203" s="24" t="str">
        <f>IF(AND(A203&lt;&gt;"",R203&lt;&gt;""),SUM(R203,$AP$8)/$AP$2*100,"")</f>
        <v/>
      </c>
      <c r="AQ203" s="24">
        <f>IF(AND(A203&lt;&gt;"",ISNUMBER(W203),W203&gt;=0),SUM(W203,$AQ$8)/$AQ$2*100,"")</f>
        <v>101</v>
      </c>
      <c r="AR203" s="24" t="str">
        <f>IF(AND(A203&lt;&gt;"",T203&gt;0,ISNUMBER(T203)),SUM(T203,$AR$8)/$AR$2*100,"")</f>
        <v/>
      </c>
      <c r="AS203" s="24" t="str">
        <f>IF(AND(A203&lt;&gt;"",X203&lt;&gt;""),SUM(X203,$AS$8)/$AS$2*100,"")</f>
        <v/>
      </c>
      <c r="AT203" s="89">
        <f>IF(AND(A203&lt;&gt;"",OR(ISNUMBER(W203),ISNUMBER(X203))),SUM(W203:X203,$AT$8)/$AT$2*100,"")</f>
        <v>101</v>
      </c>
      <c r="AU203" s="24">
        <f>AA203</f>
        <v>100.32786885245901</v>
      </c>
      <c r="AV203" s="24"/>
      <c r="AW203" s="27">
        <f>IF(A203&lt;&gt;"",AE203-AA203,"")</f>
        <v>0.67213114754099479</v>
      </c>
      <c r="AY203" s="27" t="b">
        <f>S203&gt;R203</f>
        <v>0</v>
      </c>
      <c r="BA203" s="27" t="e">
        <f>AND(AA203&gt;$BA$3,(W203+$W$8)/$W$2&lt;$BB$3,(X203+$X$8)/$X$2&lt;$BB$3)</f>
        <v>#VALUE!</v>
      </c>
      <c r="BB203" s="27" t="e">
        <f>AND(AA203&lt;$BA$3,AND(W203/$W$2&gt;$BB$3,X203/$X$2&gt;$BB$3))</f>
        <v>#VALUE!</v>
      </c>
      <c r="BC203" s="27" t="e">
        <f>AND(AA203&lt;$BA$3,OR(W203/$W$2&gt;$BB$3,X203/$X$2&gt;$BB$3))</f>
        <v>#VALUE!</v>
      </c>
      <c r="BE203" s="32">
        <v>32</v>
      </c>
    </row>
    <row r="204" spans="1:57" s="27" customFormat="1" ht="12.75" customHeight="1" x14ac:dyDescent="0.2">
      <c r="A204" s="56">
        <v>379707</v>
      </c>
      <c r="B204" s="2">
        <v>24</v>
      </c>
      <c r="C204" s="10">
        <v>25</v>
      </c>
      <c r="D204" s="10">
        <v>25</v>
      </c>
      <c r="E204" s="10"/>
      <c r="F204" s="10"/>
      <c r="G204" s="3"/>
      <c r="H204" s="10"/>
      <c r="I204" s="10"/>
      <c r="J204" s="2">
        <v>29</v>
      </c>
      <c r="K204" s="10">
        <v>51</v>
      </c>
      <c r="L204" s="10">
        <v>51</v>
      </c>
      <c r="M204" s="10"/>
      <c r="N204" s="93"/>
      <c r="O204" s="12"/>
      <c r="P204" s="10">
        <v>101</v>
      </c>
      <c r="Q204" s="41"/>
      <c r="R204" s="2"/>
      <c r="S204" s="10"/>
      <c r="T204" s="13"/>
      <c r="U204" s="1">
        <f t="array" ref="U204">IF(AND(A204&lt;&gt;"",OR(ISNUMBER(B204:I204))),SUM(B204:I204),"")</f>
        <v>74</v>
      </c>
      <c r="V204" s="10">
        <f t="array" ref="V204">IF(AND(A204&lt;&gt;"",OR(ISNUMBER(J204:O204))),SUM(J204:O204),"")</f>
        <v>131</v>
      </c>
      <c r="W204" s="10">
        <f t="array" ref="W204">IF(AND(A204&lt;&gt;"",OR(ISNUMBER(P204),ISNUMBER(Q204))),SUM(MAX(P204:Q204),Q204),"")</f>
        <v>101</v>
      </c>
      <c r="X204" s="10" t="str">
        <f t="array" ref="X204">IF(AND(A204&lt;&gt;"",OR(ISNUMBER(S204),ISNUMBER(T204))),SUM(S204,T204),"")</f>
        <v/>
      </c>
      <c r="Y204" s="13">
        <v>1</v>
      </c>
      <c r="Z204" s="13">
        <f>IF(A204&lt;&gt;"",SUM(U204:Y204),"")</f>
        <v>307</v>
      </c>
      <c r="AA204" s="27">
        <f>IF(A204&lt;&gt;"",(Z204+Normalize_To_Add)/(Point_Total_So_Far)*100,"")</f>
        <v>100.65573770491802</v>
      </c>
      <c r="AB204" s="10">
        <f>IF(A204&lt;&gt;"",RANK(AA204,All_Student_XC),"")</f>
        <v>72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>
        <f>IF(A204&lt;&gt;"",SUM(W204:X204,$W$8:$X$8)/SUM($W$2:$X$2)*100,"")</f>
        <v>101</v>
      </c>
      <c r="AF204" s="32" t="str">
        <f>IF(A204&lt;&gt;"",CHOOSE(10-MIN(9,TRUNC((AE204+0.5)/10)),"A","B","C","D","F","F","F","F","F","F"),"")</f>
        <v>A</v>
      </c>
      <c r="AG204" s="32" t="str">
        <f>IF(A204&lt;&gt;"",IF(OR(AE204+0.5&gt;=93,AE204+0.5&lt;60),"",IF(MOD(AE204+0.5,10)&gt;=7,"+",IF(MOD(AE204+0.5,10)&lt;3,"-",""))),"")</f>
        <v/>
      </c>
      <c r="AH204" s="36">
        <f>IF(A204&lt;&gt;"",MIN(MAX(AA204,AE204),AA204+$AH$8,AE204+$AH$8),"")</f>
        <v>101</v>
      </c>
      <c r="AI204" s="32" t="str">
        <f>IF(A204&lt;&gt;"",CHOOSE(10-MIN(9,TRUNC((AH204+0.5)/10)),"A","B","C","D","F","F","F","F","F","F"),"")</f>
        <v>A</v>
      </c>
      <c r="AJ204" s="32" t="str">
        <f>IF(A204&lt;&gt;"",IF(OR(AH204+0.5&gt;=93,AH204+0.5&lt;60),"",IF(MOD(AH204+0.5,10)&gt;=7,"+",IF(MOD(AH204+0.5,10)&lt;3,"-",""))),"")</f>
        <v/>
      </c>
      <c r="AK204" s="32" t="b">
        <f>IF(A204&lt;&gt;"",OR(AI204&lt;&gt;AC204,AJ204&lt;&gt;AD204),"")</f>
        <v>0</v>
      </c>
      <c r="AL204" s="84">
        <f>IF(AND(A204&lt;&gt;"",U204&lt;&gt;""),SUM(U204,$AL$8)/$AL$2*100,"")</f>
        <v>98.666666666666671</v>
      </c>
      <c r="AM204" s="24">
        <f>IF(AND(A204&lt;&gt;"",V204&lt;&gt;""),SUM(V204,$AM$8)/$AM$2*100,"")</f>
        <v>100.76923076923077</v>
      </c>
      <c r="AN204" s="24">
        <f>IF(AND(A204&lt;&gt;"",ISNUMBER(P204),P204&gt;=0),SUM(P204,$AN$8)/$AN$2*100,"")</f>
        <v>101</v>
      </c>
      <c r="AO204" s="24" t="str">
        <f>IF(AND(A204&lt;&gt;"",ISNUMBER(Q204),Q204&gt;=0),SUM(Q204,$AO$8)/$AO$2*100,"")</f>
        <v/>
      </c>
      <c r="AP204" s="24" t="str">
        <f>IF(AND(A204&lt;&gt;"",R204&lt;&gt;""),SUM(R204,$AP$8)/$AP$2*100,"")</f>
        <v/>
      </c>
      <c r="AQ204" s="24">
        <f>IF(AND(A204&lt;&gt;"",ISNUMBER(W204),W204&gt;=0),SUM(W204,$AQ$8)/$AQ$2*100,"")</f>
        <v>101</v>
      </c>
      <c r="AR204" s="24" t="str">
        <f>IF(AND(A204&lt;&gt;"",T204&gt;0,ISNUMBER(T204)),SUM(T204,$AR$8)/$AR$2*100,"")</f>
        <v/>
      </c>
      <c r="AS204" s="24" t="str">
        <f>IF(AND(A204&lt;&gt;"",X204&lt;&gt;""),SUM(X204,$AS$8)/$AS$2*100,"")</f>
        <v/>
      </c>
      <c r="AT204" s="89">
        <f>IF(AND(A204&lt;&gt;"",OR(ISNUMBER(W204),ISNUMBER(X204))),SUM(W204:X204,$AT$8)/$AT$2*100,"")</f>
        <v>101</v>
      </c>
      <c r="AU204" s="24">
        <f>AA204</f>
        <v>100.65573770491802</v>
      </c>
      <c r="AV204" s="24"/>
      <c r="AW204" s="27">
        <f>IF(A204&lt;&gt;"",AE204-AA204,"")</f>
        <v>0.34426229508197537</v>
      </c>
      <c r="AY204" s="27" t="b">
        <f>S204&gt;R204</f>
        <v>0</v>
      </c>
      <c r="BA204" s="27" t="e">
        <f>AND(AA204&gt;$BA$3,(W204+$W$8)/$W$2&lt;$BB$3,(X204+$X$8)/$X$2&lt;$BB$3)</f>
        <v>#VALUE!</v>
      </c>
      <c r="BB204" s="27" t="e">
        <f>AND(AA204&lt;$BA$3,AND(W204/$W$2&gt;$BB$3,X204/$X$2&gt;$BB$3))</f>
        <v>#VALUE!</v>
      </c>
      <c r="BC204" s="27" t="e">
        <f>AND(AA204&lt;$BA$3,OR(W204/$W$2&gt;$BB$3,X204/$X$2&gt;$BB$3))</f>
        <v>#VALUE!</v>
      </c>
      <c r="BE204" s="32" t="s">
        <v>84</v>
      </c>
    </row>
    <row r="205" spans="1:57" s="27" customFormat="1" ht="12.75" customHeight="1" x14ac:dyDescent="0.2">
      <c r="A205" s="10">
        <v>381025</v>
      </c>
      <c r="B205" s="2">
        <v>23</v>
      </c>
      <c r="C205" s="10">
        <v>24</v>
      </c>
      <c r="D205" s="10">
        <v>25</v>
      </c>
      <c r="E205" s="10"/>
      <c r="F205" s="10"/>
      <c r="G205" s="10"/>
      <c r="H205" s="10"/>
      <c r="I205" s="10"/>
      <c r="J205" s="2">
        <v>30</v>
      </c>
      <c r="K205" s="10">
        <v>52</v>
      </c>
      <c r="L205" s="10">
        <v>52</v>
      </c>
      <c r="M205" s="10"/>
      <c r="N205" s="93"/>
      <c r="O205" s="13"/>
      <c r="P205" s="10">
        <v>101</v>
      </c>
      <c r="Q205" s="10"/>
      <c r="R205" s="2"/>
      <c r="S205" s="10"/>
      <c r="T205" s="13"/>
      <c r="U205" s="1">
        <f t="array" ref="U205">IF(AND(A205&lt;&gt;"",OR(ISNUMBER(B205:I205))),SUM(B205:I205),"")</f>
        <v>72</v>
      </c>
      <c r="V205" s="10">
        <f t="array" ref="V205">IF(AND(A205&lt;&gt;"",OR(ISNUMBER(J205:O205))),SUM(J205:O205),"")</f>
        <v>134</v>
      </c>
      <c r="W205" s="10">
        <f t="array" ref="W205">IF(AND(A205&lt;&gt;"",OR(ISNUMBER(P205),ISNUMBER(Q205))),SUM(MAX(P205:Q205),Q205),"")</f>
        <v>101</v>
      </c>
      <c r="X205" s="10" t="str">
        <f t="array" ref="X205">IF(AND(A205&lt;&gt;"",OR(ISNUMBER(S205),ISNUMBER(T205))),SUM(S205,T205),"")</f>
        <v/>
      </c>
      <c r="Y205" s="13">
        <v>1</v>
      </c>
      <c r="Z205" s="13">
        <f>IF(A205&lt;&gt;"",SUM(U205:Y205),"")</f>
        <v>308</v>
      </c>
      <c r="AA205" s="27">
        <f>IF(A205&lt;&gt;"",(Z205+Normalize_To_Add)/(Point_Total_So_Far)*100,"")</f>
        <v>100.98360655737706</v>
      </c>
      <c r="AB205" s="10">
        <f>IF(A205&lt;&gt;"",RANK(AA205,All_Student_XC),"")</f>
        <v>57</v>
      </c>
      <c r="AC205" s="32" t="str">
        <f>IF(A205&lt;&gt;"",CHOOSE(10-MIN(9,TRUNC((AA205+0.5)/10)),"A","B","C","D","F","F","F","F","F","F"),"")</f>
        <v>A</v>
      </c>
      <c r="AD205" s="31" t="str">
        <f>IF(A205&lt;&gt;"",IF(OR(AA205+0.5&gt;=93,AA205+0.5&lt;60),"",IF(MOD(AA205+0.5,10)&gt;=7,"+",IF(MOD(AA205+0.5,10)&lt;3,"-",""))),"")</f>
        <v/>
      </c>
      <c r="AE205" s="32">
        <f>IF(A205&lt;&gt;"",SUM(W205:X205,$W$8:$X$8)/SUM($W$2:$X$2)*100,"")</f>
        <v>101</v>
      </c>
      <c r="AF205" s="32" t="str">
        <f>IF(A205&lt;&gt;"",CHOOSE(10-MIN(9,TRUNC((AE205+0.5)/10)),"A","B","C","D","F","F","F","F","F","F"),"")</f>
        <v>A</v>
      </c>
      <c r="AG205" s="32" t="str">
        <f>IF(A205&lt;&gt;"",IF(OR(AE205+0.5&gt;=93,AE205+0.5&lt;60),"",IF(MOD(AE205+0.5,10)&gt;=7,"+",IF(MOD(AE205+0.5,10)&lt;3,"-",""))),"")</f>
        <v/>
      </c>
      <c r="AH205" s="36">
        <f>IF(A205&lt;&gt;"",MIN(MAX(AA205,AE205),AA205+$AH$8,AE205+$AH$8),"")</f>
        <v>101</v>
      </c>
      <c r="AI205" s="32" t="str">
        <f>IF(A205&lt;&gt;"",CHOOSE(10-MIN(9,TRUNC((AH205+0.5)/10)),"A","B","C","D","F","F","F","F","F","F"),"")</f>
        <v>A</v>
      </c>
      <c r="AJ205" s="32" t="str">
        <f>IF(A205&lt;&gt;"",IF(OR(AH205+0.5&gt;=93,AH205+0.5&lt;60),"",IF(MOD(AH205+0.5,10)&gt;=7,"+",IF(MOD(AH205+0.5,10)&lt;3,"-",""))),"")</f>
        <v/>
      </c>
      <c r="AK205" s="71" t="b">
        <f>IF(A205&lt;&gt;"",OR(AI205&lt;&gt;AC205,AJ205&lt;&gt;AD205),"")</f>
        <v>0</v>
      </c>
      <c r="AL205" s="86">
        <f>IF(AND(A205&lt;&gt;"",U205&lt;&gt;""),SUM(U205,$AL$8)/$AL$2*100,"")</f>
        <v>96</v>
      </c>
      <c r="AM205" s="71">
        <f>IF(AND(A205&lt;&gt;"",V205&lt;&gt;""),SUM(V205,$AM$8)/$AM$2*100,"")</f>
        <v>103.07692307692307</v>
      </c>
      <c r="AN205" s="71">
        <f>IF(AND(A205&lt;&gt;"",ISNUMBER(P205),P205&gt;=0),SUM(P205,$AN$8)/$AN$2*100,"")</f>
        <v>101</v>
      </c>
      <c r="AO205" s="71" t="str">
        <f>IF(AND(A205&lt;&gt;"",ISNUMBER(Q205),Q205&gt;=0),SUM(Q205,$AO$8)/$AO$2*100,"")</f>
        <v/>
      </c>
      <c r="AP205" s="24" t="str">
        <f>IF(AND(A205&lt;&gt;"",R205&lt;&gt;""),SUM(R205,$AP$8)/$AP$2*100,"")</f>
        <v/>
      </c>
      <c r="AQ205" s="24">
        <f>IF(AND(A205&lt;&gt;"",ISNUMBER(W205),W205&gt;=0),SUM(W205,$AQ$8)/$AQ$2*100,"")</f>
        <v>101</v>
      </c>
      <c r="AR205" s="24" t="str">
        <f>IF(AND(A205&lt;&gt;"",T205&gt;0,ISNUMBER(T205)),SUM(T205,$AR$8)/$AR$2*100,"")</f>
        <v/>
      </c>
      <c r="AS205" s="24" t="str">
        <f>IF(AND(A205&lt;&gt;"",X205&lt;&gt;""),SUM(X205,$AS$8)/$AS$2*100,"")</f>
        <v/>
      </c>
      <c r="AT205" s="89">
        <f>IF(AND(A205&lt;&gt;"",OR(ISNUMBER(W205),ISNUMBER(X205))),SUM(W205:X205,$AT$8)/$AT$2*100,"")</f>
        <v>101</v>
      </c>
      <c r="AU205" s="24">
        <f>AA205</f>
        <v>100.98360655737706</v>
      </c>
      <c r="AV205" s="71"/>
      <c r="AW205" s="27">
        <f>IF(A205&lt;&gt;"",AE205-AA205,"")</f>
        <v>1.6393442622941734E-2</v>
      </c>
      <c r="AY205" s="27" t="b">
        <f>S205&gt;R205</f>
        <v>0</v>
      </c>
      <c r="BA205" s="27" t="e">
        <f>AND(AA205&gt;$BA$3,(W205+$W$8)/$W$2&lt;$BB$3,(X205+$X$8)/$X$2&lt;$BB$3)</f>
        <v>#VALUE!</v>
      </c>
      <c r="BB205" s="27" t="e">
        <f>AND(AA205&lt;$BA$3,AND(W205/$W$2&gt;$BB$3,X205/$X$2&gt;$BB$3))</f>
        <v>#VALUE!</v>
      </c>
      <c r="BC205" s="27" t="e">
        <f>AND(AA205&lt;$BA$3,OR(W205/$W$2&gt;$BB$3,X205/$X$2&gt;$BB$3))</f>
        <v>#VALUE!</v>
      </c>
      <c r="BE205" s="32" t="s">
        <v>84</v>
      </c>
    </row>
    <row r="206" spans="1:57" s="27" customFormat="1" ht="12.75" customHeight="1" x14ac:dyDescent="0.2">
      <c r="A206" s="10">
        <v>387977</v>
      </c>
      <c r="B206" s="2">
        <v>22</v>
      </c>
      <c r="C206" s="10">
        <v>25</v>
      </c>
      <c r="D206" s="10">
        <v>25</v>
      </c>
      <c r="E206" s="10"/>
      <c r="F206" s="10"/>
      <c r="G206" s="10"/>
      <c r="H206" s="10"/>
      <c r="I206" s="10"/>
      <c r="J206" s="2">
        <v>32</v>
      </c>
      <c r="K206" s="10">
        <v>52</v>
      </c>
      <c r="L206" s="10">
        <v>52</v>
      </c>
      <c r="M206" s="10"/>
      <c r="N206" s="10"/>
      <c r="O206" s="12"/>
      <c r="P206" s="7">
        <v>101</v>
      </c>
      <c r="Q206" s="7"/>
      <c r="R206" s="2"/>
      <c r="S206" s="10"/>
      <c r="T206" s="13"/>
      <c r="U206" s="77">
        <f t="array" ref="U206">IF(AND(A206&lt;&gt;"",OR(ISNUMBER(B206:I206))),SUM(B206:I206),"")</f>
        <v>72</v>
      </c>
      <c r="V206" s="10">
        <f t="array" ref="V206">IF(AND(A206&lt;&gt;"",OR(ISNUMBER(J206:O206))),SUM(J206:O206),"")</f>
        <v>136</v>
      </c>
      <c r="W206" s="10">
        <f t="array" ref="W206">IF(AND(A206&lt;&gt;"",OR(ISNUMBER(P206),ISNUMBER(Q206))),SUM(MAX(P206:Q206),Q206),"")</f>
        <v>101</v>
      </c>
      <c r="X206" s="10" t="str">
        <f t="array" ref="X206">IF(AND(A206&lt;&gt;"",OR(ISNUMBER(S206),ISNUMBER(T206))),SUM(S206,T206),"")</f>
        <v/>
      </c>
      <c r="Y206" s="13">
        <v>1</v>
      </c>
      <c r="Z206" s="13">
        <f>IF(A206&lt;&gt;"",SUM(U206:Y206),"")</f>
        <v>310</v>
      </c>
      <c r="AA206" s="27">
        <f>IF(A206&lt;&gt;"",(Z206+Normalize_To_Add)/(Point_Total_So_Far)*100,"")</f>
        <v>101.63934426229508</v>
      </c>
      <c r="AB206" s="10">
        <f>IF(A206&lt;&gt;"",RANK(AA206,All_Student_XC),"")</f>
        <v>19</v>
      </c>
      <c r="AC206" s="32" t="str">
        <f>IF(A206&lt;&gt;"",CHOOSE(10-MIN(9,TRUNC((AA206+0.5)/10)),"A","B","C","D","F","F","F","F","F","F"),"")</f>
        <v>A</v>
      </c>
      <c r="AD206" s="32" t="str">
        <f>IF(A206&lt;&gt;"",IF(OR(AA206+0.5&gt;=93,AA206+0.5&lt;60),"",IF(MOD(AA206+0.5,10)&gt;=7,"+",IF(MOD(AA206+0.5,10)&lt;3,"-",""))),"")</f>
        <v/>
      </c>
      <c r="AE206" s="32">
        <f>IF(A206&lt;&gt;"",SUM(W206:X206,$W$8:$X$8)/SUM($W$2:$X$2)*100,"")</f>
        <v>101</v>
      </c>
      <c r="AF206" s="32" t="str">
        <f>IF(A206&lt;&gt;"",CHOOSE(10-MIN(9,TRUNC((AE206+0.5)/10)),"A","B","C","D","F","F","F","F","F","F"),"")</f>
        <v>A</v>
      </c>
      <c r="AG206" s="32" t="str">
        <f>IF(A206&lt;&gt;"",IF(OR(AE206+0.5&gt;=93,AE206+0.5&lt;60),"",IF(MOD(AE206+0.5,10)&gt;=7,"+",IF(MOD(AE206+0.5,10)&lt;3,"-",""))),"")</f>
        <v/>
      </c>
      <c r="AH206" s="36">
        <f>IF(A206&lt;&gt;"",MIN(MAX(AA206,AE206),AA206+$AH$8,AE206+$AH$8),"")</f>
        <v>101.63934426229508</v>
      </c>
      <c r="AI206" s="32" t="str">
        <f>IF(A206&lt;&gt;"",CHOOSE(10-MIN(9,TRUNC((AH206+0.5)/10)),"A","B","C","D","F","F","F","F","F","F"),"")</f>
        <v>A</v>
      </c>
      <c r="AJ206" s="32" t="str">
        <f>IF(A206&lt;&gt;"",IF(OR(AH206+0.5&gt;=93,AH206+0.5&lt;60),"",IF(MOD(AH206+0.5,10)&gt;=7,"+",IF(MOD(AH206+0.5,10)&lt;3,"-",""))),"")</f>
        <v/>
      </c>
      <c r="AK206" s="32" t="b">
        <f>IF(A206&lt;&gt;"",OR(AI206&lt;&gt;AC206,AJ206&lt;&gt;AD206),"")</f>
        <v>0</v>
      </c>
      <c r="AL206" s="84">
        <f>IF(AND(A206&lt;&gt;"",U206&lt;&gt;""),SUM(U206,$AL$8)/$AL$2*100,"")</f>
        <v>96</v>
      </c>
      <c r="AM206" s="24">
        <f>IF(AND(A206&lt;&gt;"",V206&lt;&gt;""),SUM(V206,$AM$8)/$AM$2*100,"")</f>
        <v>104.61538461538463</v>
      </c>
      <c r="AN206" s="24">
        <f>IF(AND(A206&lt;&gt;"",ISNUMBER(P206),P206&gt;=0),SUM(P206,$AN$8)/$AN$2*100,"")</f>
        <v>101</v>
      </c>
      <c r="AO206" s="24" t="str">
        <f>IF(AND(A206&lt;&gt;"",ISNUMBER(Q206),Q206&gt;=0),SUM(Q206,$AO$8)/$AO$2*100,"")</f>
        <v/>
      </c>
      <c r="AP206" s="24" t="str">
        <f>IF(AND(A206&lt;&gt;"",R206&lt;&gt;""),SUM(R206,$AP$8)/$AP$2*100,"")</f>
        <v/>
      </c>
      <c r="AQ206" s="24">
        <f>IF(AND(A206&lt;&gt;"",ISNUMBER(W206),W206&gt;=0),SUM(W206,$AQ$8)/$AQ$2*100,"")</f>
        <v>101</v>
      </c>
      <c r="AR206" s="24" t="str">
        <f>IF(AND(A206&lt;&gt;"",T206&gt;0,ISNUMBER(T206)),SUM(T206,$AR$8)/$AR$2*100,"")</f>
        <v/>
      </c>
      <c r="AS206" s="24" t="str">
        <f>IF(AND(A206&lt;&gt;"",X206&lt;&gt;""),SUM(X206,$AS$8)/$AS$2*100,"")</f>
        <v/>
      </c>
      <c r="AT206" s="89">
        <f>IF(AND(A206&lt;&gt;"",OR(ISNUMBER(W206),ISNUMBER(X206))),SUM(W206:X206,$AT$8)/$AT$2*100,"")</f>
        <v>101</v>
      </c>
      <c r="AU206" s="24">
        <f>AA206</f>
        <v>101.63934426229508</v>
      </c>
      <c r="AV206" s="24"/>
      <c r="AW206" s="27">
        <f>IF(A206&lt;&gt;"",AE206-AA206,"")</f>
        <v>-0.6393442622950829</v>
      </c>
      <c r="AY206" s="27" t="b">
        <f>S206&gt;R206</f>
        <v>0</v>
      </c>
      <c r="BA206" s="27" t="e">
        <f>AND(AA206&gt;$BA$3,(W206+$W$8)/$W$2&lt;$BB$3,(X206+$X$8)/$X$2&lt;$BB$3)</f>
        <v>#VALUE!</v>
      </c>
      <c r="BB206" s="27" t="e">
        <f>AND(AA206&lt;$BA$3,AND(W206/$W$2&gt;$BB$3,X206/$X$2&gt;$BB$3))</f>
        <v>#VALUE!</v>
      </c>
      <c r="BC206" s="27" t="e">
        <f>AND(AA206&lt;$BA$3,OR(W206/$W$2&gt;$BB$3,X206/$X$2&gt;$BB$3))</f>
        <v>#VALUE!</v>
      </c>
      <c r="BE206" s="32" t="s">
        <v>84</v>
      </c>
    </row>
    <row r="207" spans="1:57" s="99" customFormat="1" ht="12.75" customHeight="1" x14ac:dyDescent="0.2">
      <c r="A207" s="78">
        <v>397275</v>
      </c>
      <c r="B207" s="97">
        <v>24</v>
      </c>
      <c r="C207" s="78">
        <v>24</v>
      </c>
      <c r="D207" s="78">
        <v>25</v>
      </c>
      <c r="E207" s="78"/>
      <c r="F207" s="78"/>
      <c r="G207" s="78"/>
      <c r="H207" s="78"/>
      <c r="I207" s="78"/>
      <c r="J207" s="97">
        <v>28</v>
      </c>
      <c r="K207" s="78">
        <v>52</v>
      </c>
      <c r="L207" s="78">
        <v>52</v>
      </c>
      <c r="M207" s="78"/>
      <c r="N207" s="103"/>
      <c r="O207" s="98"/>
      <c r="P207" s="78">
        <v>101</v>
      </c>
      <c r="Q207" s="78"/>
      <c r="R207" s="97"/>
      <c r="S207" s="78"/>
      <c r="T207" s="98"/>
      <c r="U207" s="79">
        <f t="array" ref="U207">IF(AND(A207&lt;&gt;"",OR(ISNUMBER(B207:I207))),SUM(B207:I207),"")</f>
        <v>73</v>
      </c>
      <c r="V207" s="78">
        <f t="array" ref="V207">IF(AND(A207&lt;&gt;"",OR(ISNUMBER(J207:O207))),SUM(J207:O207),"")</f>
        <v>132</v>
      </c>
      <c r="W207" s="78">
        <f t="array" ref="W207">IF(AND(A207&lt;&gt;"",OR(ISNUMBER(P207),ISNUMBER(Q207))),SUM(MAX(P207:Q207),Q207),"")</f>
        <v>101</v>
      </c>
      <c r="X207" s="78" t="str">
        <f t="array" ref="X207">IF(AND(A207&lt;&gt;"",OR(ISNUMBER(S207),ISNUMBER(T207))),SUM(S207,T207),"")</f>
        <v/>
      </c>
      <c r="Y207" s="98">
        <v>1</v>
      </c>
      <c r="Z207" s="98">
        <f>IF(A207&lt;&gt;"",SUM(U207:Y207),"")</f>
        <v>307</v>
      </c>
      <c r="AA207" s="99">
        <f>IF(A207&lt;&gt;"",(Z207+Normalize_To_Add)/(Point_Total_So_Far)*100,"")</f>
        <v>100.65573770491802</v>
      </c>
      <c r="AB207" s="78">
        <f>IF(A207&lt;&gt;"",RANK(AA207,All_Student_XC),"")</f>
        <v>72</v>
      </c>
      <c r="AC207" s="100" t="str">
        <f>IF(A207&lt;&gt;"",CHOOSE(10-MIN(9,TRUNC((AA207+0.5)/10)),"A","B","C","D","F","F","F","F","F","F"),"")</f>
        <v>A</v>
      </c>
      <c r="AD207" s="96" t="str">
        <f>IF(A207&lt;&gt;"",IF(OR(AA207+0.5&gt;=93,AA207+0.5&lt;60),"",IF(MOD(AA207+0.5,10)&gt;=7,"+",IF(MOD(AA207+0.5,10)&lt;3,"-",""))),"")</f>
        <v/>
      </c>
      <c r="AE207" s="100">
        <f>IF(A207&lt;&gt;"",SUM(W207:X207,$W$8:$X$8)/SUM($W$2:$X$2)*100,"")</f>
        <v>101</v>
      </c>
      <c r="AF207" s="100" t="str">
        <f>IF(A207&lt;&gt;"",CHOOSE(10-MIN(9,TRUNC((AE207+0.5)/10)),"A","B","C","D","F","F","F","F","F","F"),"")</f>
        <v>A</v>
      </c>
      <c r="AG207" s="100" t="str">
        <f>IF(A207&lt;&gt;"",IF(OR(AE207+0.5&gt;=93,AE207+0.5&lt;60),"",IF(MOD(AE207+0.5,10)&gt;=7,"+",IF(MOD(AE207+0.5,10)&lt;3,"-",""))),"")</f>
        <v/>
      </c>
      <c r="AH207" s="101">
        <f>IF(A207&lt;&gt;"",MIN(MAX(AA207,AE207),AA207+$AH$8,AE207+$AH$8),"")</f>
        <v>101</v>
      </c>
      <c r="AI207" s="100" t="str">
        <f>IF(A207&lt;&gt;"",CHOOSE(10-MIN(9,TRUNC((AH207+0.5)/10)),"A","B","C","D","F","F","F","F","F","F"),"")</f>
        <v>A</v>
      </c>
      <c r="AJ207" s="100" t="str">
        <f>IF(A207&lt;&gt;"",IF(OR(AH207+0.5&gt;=93,AH207+0.5&lt;60),"",IF(MOD(AH207+0.5,10)&gt;=7,"+",IF(MOD(AH207+0.5,10)&lt;3,"-",""))),"")</f>
        <v/>
      </c>
      <c r="AK207" s="95" t="b">
        <f>IF(A207&lt;&gt;"",OR(AI207&lt;&gt;AC207,AJ207&lt;&gt;AD207),"")</f>
        <v>0</v>
      </c>
      <c r="AL207" s="104">
        <f>IF(AND(A207&lt;&gt;"",U207&lt;&gt;""),SUM(U207,$AL$8)/$AL$2*100,"")</f>
        <v>97.333333333333343</v>
      </c>
      <c r="AM207" s="95">
        <f>IF(AND(A207&lt;&gt;"",V207&lt;&gt;""),SUM(V207,$AM$8)/$AM$2*100,"")</f>
        <v>101.53846153846153</v>
      </c>
      <c r="AN207" s="95">
        <f>IF(AND(A207&lt;&gt;"",ISNUMBER(P207),P207&gt;=0),SUM(P207,$AN$8)/$AN$2*100,"")</f>
        <v>101</v>
      </c>
      <c r="AO207" s="95" t="str">
        <f>IF(AND(A207&lt;&gt;"",ISNUMBER(Q207),Q207&gt;=0),SUM(Q207,$AO$8)/$AO$2*100,"")</f>
        <v/>
      </c>
      <c r="AP207" s="94" t="str">
        <f>IF(AND(A207&lt;&gt;"",R207&lt;&gt;""),SUM(R207,$AP$8)/$AP$2*100,"")</f>
        <v/>
      </c>
      <c r="AQ207" s="94">
        <f>IF(AND(A207&lt;&gt;"",ISNUMBER(W207),W207&gt;=0),SUM(W207,$AQ$8)/$AQ$2*100,"")</f>
        <v>101</v>
      </c>
      <c r="AR207" s="94" t="str">
        <f>IF(AND(A207&lt;&gt;"",T207&gt;0,ISNUMBER(T207)),SUM(T207,$AR$8)/$AR$2*100,"")</f>
        <v/>
      </c>
      <c r="AS207" s="94" t="str">
        <f>IF(AND(A207&lt;&gt;"",X207&lt;&gt;""),SUM(X207,$AS$8)/$AS$2*100,"")</f>
        <v/>
      </c>
      <c r="AT207" s="102">
        <f>IF(AND(A207&lt;&gt;"",OR(ISNUMBER(W207),ISNUMBER(X207))),SUM(W207:X207,$AT$8)/$AT$2*100,"")</f>
        <v>101</v>
      </c>
      <c r="AU207" s="94">
        <f>AA207</f>
        <v>100.65573770491802</v>
      </c>
      <c r="AV207" s="95"/>
      <c r="AW207" s="99">
        <f>IF(A207&lt;&gt;"",AE207-AA207,"")</f>
        <v>0.34426229508197537</v>
      </c>
      <c r="AY207" s="99" t="b">
        <f>S207&gt;R207</f>
        <v>0</v>
      </c>
      <c r="BA207" s="99" t="e">
        <f>AND(AA207&gt;$BA$3,(W207+$W$8)/$W$2&lt;$BB$3,(X207+$X$8)/$X$2&lt;$BB$3)</f>
        <v>#VALUE!</v>
      </c>
      <c r="BB207" s="99" t="e">
        <f>AND(AA207&lt;$BA$3,AND(W207/$W$2&gt;$BB$3,X207/$X$2&gt;$BB$3))</f>
        <v>#VALUE!</v>
      </c>
      <c r="BC207" s="99" t="e">
        <f>AND(AA207&lt;$BA$3,OR(W207/$W$2&gt;$BB$3,X207/$X$2&gt;$BB$3))</f>
        <v>#VALUE!</v>
      </c>
      <c r="BE207" s="100" t="s">
        <v>84</v>
      </c>
    </row>
    <row r="208" spans="1:57" s="27" customFormat="1" ht="12.75" customHeight="1" x14ac:dyDescent="0.2">
      <c r="A208" s="56">
        <v>398667</v>
      </c>
      <c r="B208" s="2">
        <v>10</v>
      </c>
      <c r="C208" s="10">
        <v>7</v>
      </c>
      <c r="D208" s="10">
        <v>21</v>
      </c>
      <c r="E208" s="10"/>
      <c r="F208" s="10"/>
      <c r="G208" s="3"/>
      <c r="H208" s="10"/>
      <c r="I208" s="10"/>
      <c r="J208" s="2">
        <v>12</v>
      </c>
      <c r="K208" s="10" t="s">
        <v>67</v>
      </c>
      <c r="L208" s="10">
        <v>38</v>
      </c>
      <c r="M208" s="10"/>
      <c r="N208" s="10"/>
      <c r="O208" s="12"/>
      <c r="P208" s="10">
        <v>101</v>
      </c>
      <c r="Q208" s="41"/>
      <c r="R208" s="2"/>
      <c r="S208" s="10"/>
      <c r="T208" s="13"/>
      <c r="U208" s="77">
        <f t="array" ref="U208">IF(AND(A208&lt;&gt;"",OR(ISNUMBER(B208:I208))),SUM(B208:I208),"")</f>
        <v>38</v>
      </c>
      <c r="V208" s="10">
        <f t="array" ref="V208">IF(AND(A208&lt;&gt;"",OR(ISNUMBER(J208:O208))),SUM(J208:O208),"")</f>
        <v>50</v>
      </c>
      <c r="W208" s="10">
        <f t="array" ref="W208">IF(AND(A208&lt;&gt;"",OR(ISNUMBER(P208),ISNUMBER(Q208))),SUM(MAX(P208:Q208),Q208),"")</f>
        <v>101</v>
      </c>
      <c r="X208" s="10" t="str">
        <f t="array" ref="X208">IF(AND(A208&lt;&gt;"",OR(ISNUMBER(S208),ISNUMBER(T208))),SUM(S208,T208),"")</f>
        <v/>
      </c>
      <c r="Y208" s="13">
        <v>1</v>
      </c>
      <c r="Z208" s="13">
        <f>IF(A208&lt;&gt;"",SUM(U208:Y208),"")</f>
        <v>190</v>
      </c>
      <c r="AA208" s="27">
        <f>IF(A208&lt;&gt;"",(Z208+Normalize_To_Add)/(Point_Total_So_Far)*100,"")</f>
        <v>62.295081967213115</v>
      </c>
      <c r="AB208" s="10">
        <f>IF(A208&lt;&gt;"",RANK(AA208,All_Student_XC),"")</f>
        <v>472</v>
      </c>
      <c r="AC208" s="32" t="str">
        <f>IF(A208&lt;&gt;"",CHOOSE(10-MIN(9,TRUNC((AA208+0.5)/10)),"A","B","C","D","F","F","F","F","F","F"),"")</f>
        <v>D</v>
      </c>
      <c r="AD208" s="32" t="str">
        <f>IF(A208&lt;&gt;"",IF(OR(AA208+0.5&gt;=93,AA208+0.5&lt;60),"",IF(MOD(AA208+0.5,10)&gt;=7,"+",IF(MOD(AA208+0.5,10)&lt;3,"-",""))),"")</f>
        <v>-</v>
      </c>
      <c r="AE208" s="32">
        <f>IF(A208&lt;&gt;"",SUM(W208:X208,$W$8:$X$8)/SUM($W$2:$X$2)*100,"")</f>
        <v>101</v>
      </c>
      <c r="AF208" s="32" t="str">
        <f>IF(A208&lt;&gt;"",CHOOSE(10-MIN(9,TRUNC((AE208+0.5)/10)),"A","B","C","D","F","F","F","F","F","F"),"")</f>
        <v>A</v>
      </c>
      <c r="AG208" s="32" t="str">
        <f>IF(A208&lt;&gt;"",IF(OR(AE208+0.5&gt;=93,AE208+0.5&lt;60),"",IF(MOD(AE208+0.5,10)&gt;=7,"+",IF(MOD(AE208+0.5,10)&lt;3,"-",""))),"")</f>
        <v/>
      </c>
      <c r="AH208" s="36">
        <f>IF(A208&lt;&gt;"",MIN(MAX(AA208,AE208),AA208+$AH$8,AE208+$AH$8),"")</f>
        <v>101</v>
      </c>
      <c r="AI208" s="32" t="str">
        <f>IF(A208&lt;&gt;"",CHOOSE(10-MIN(9,TRUNC((AH208+0.5)/10)),"A","B","C","D","F","F","F","F","F","F"),"")</f>
        <v>A</v>
      </c>
      <c r="AJ208" s="32" t="str">
        <f>IF(A208&lt;&gt;"",IF(OR(AH208+0.5&gt;=93,AH208+0.5&lt;60),"",IF(MOD(AH208+0.5,10)&gt;=7,"+",IF(MOD(AH208+0.5,10)&lt;3,"-",""))),"")</f>
        <v/>
      </c>
      <c r="AK208" s="32" t="b">
        <f>IF(A208&lt;&gt;"",OR(AI208&lt;&gt;AC208,AJ208&lt;&gt;AD208),"")</f>
        <v>1</v>
      </c>
      <c r="AL208" s="84">
        <f>IF(AND(A208&lt;&gt;"",U208&lt;&gt;""),SUM(U208,$AL$8)/$AL$2*100,"")</f>
        <v>50.666666666666671</v>
      </c>
      <c r="AM208" s="24">
        <f>IF(AND(A208&lt;&gt;"",V208&lt;&gt;""),SUM(V208,$AM$8)/$AM$2*100,"")</f>
        <v>38.461538461538467</v>
      </c>
      <c r="AN208" s="24">
        <f>IF(AND(A208&lt;&gt;"",ISNUMBER(P208),P208&gt;=0),SUM(P208,$AN$8)/$AN$2*100,"")</f>
        <v>101</v>
      </c>
      <c r="AO208" s="24" t="str">
        <f>IF(AND(A208&lt;&gt;"",ISNUMBER(Q208),Q208&gt;=0),SUM(Q208,$AO$8)/$AO$2*100,"")</f>
        <v/>
      </c>
      <c r="AP208" s="24" t="str">
        <f>IF(AND(A208&lt;&gt;"",R208&lt;&gt;""),SUM(R208,$AP$8)/$AP$2*100,"")</f>
        <v/>
      </c>
      <c r="AQ208" s="24">
        <f>IF(AND(A208&lt;&gt;"",ISNUMBER(W208),W208&gt;=0),SUM(W208,$AQ$8)/$AQ$2*100,"")</f>
        <v>101</v>
      </c>
      <c r="AR208" s="24" t="str">
        <f>IF(AND(A208&lt;&gt;"",T208&gt;0,ISNUMBER(T208)),SUM(T208,$AR$8)/$AR$2*100,"")</f>
        <v/>
      </c>
      <c r="AS208" s="24" t="str">
        <f>IF(AND(A208&lt;&gt;"",X208&lt;&gt;""),SUM(X208,$AS$8)/$AS$2*100,"")</f>
        <v/>
      </c>
      <c r="AT208" s="89">
        <f>IF(AND(A208&lt;&gt;"",OR(ISNUMBER(W208),ISNUMBER(X208))),SUM(W208:X208,$AT$8)/$AT$2*100,"")</f>
        <v>101</v>
      </c>
      <c r="AU208" s="24">
        <f>AA208</f>
        <v>62.295081967213115</v>
      </c>
      <c r="AV208" s="24"/>
      <c r="AW208" s="27">
        <f>IF(A208&lt;&gt;"",AE208-AA208,"")</f>
        <v>38.704918032786885</v>
      </c>
      <c r="AY208" s="27" t="b">
        <f>S208&gt;R208</f>
        <v>0</v>
      </c>
      <c r="BA208" s="27" t="e">
        <f>AND(AA208&gt;$BA$3,(W208+$W$8)/$W$2&lt;$BB$3,(X208+$X$8)/$X$2&lt;$BB$3)</f>
        <v>#VALUE!</v>
      </c>
      <c r="BB208" s="27" t="e">
        <f>AND(AA208&lt;$BA$3,AND(W208/$W$2&gt;$BB$3,X208/$X$2&gt;$BB$3))</f>
        <v>#VALUE!</v>
      </c>
      <c r="BC208" s="27" t="e">
        <f>AND(AA208&lt;$BA$3,OR(W208/$W$2&gt;$BB$3,X208/$X$2&gt;$BB$3))</f>
        <v>#VALUE!</v>
      </c>
      <c r="BE208" s="32" t="s">
        <v>85</v>
      </c>
    </row>
    <row r="209" spans="1:57" s="27" customFormat="1" ht="12.75" customHeight="1" x14ac:dyDescent="0.2">
      <c r="A209" s="10">
        <v>399818</v>
      </c>
      <c r="B209" s="2">
        <v>25</v>
      </c>
      <c r="C209" s="10">
        <v>24</v>
      </c>
      <c r="D209" s="10">
        <v>25</v>
      </c>
      <c r="E209" s="10"/>
      <c r="F209" s="10"/>
      <c r="G209" s="3"/>
      <c r="H209" s="10"/>
      <c r="I209" s="10"/>
      <c r="J209" s="2">
        <v>30</v>
      </c>
      <c r="K209" s="10">
        <v>52</v>
      </c>
      <c r="L209" s="56">
        <v>52</v>
      </c>
      <c r="M209" s="10"/>
      <c r="N209" s="10"/>
      <c r="O209" s="12"/>
      <c r="P209" s="10">
        <v>101</v>
      </c>
      <c r="Q209" s="41"/>
      <c r="R209" s="2"/>
      <c r="S209" s="10"/>
      <c r="T209" s="13"/>
      <c r="U209" s="77">
        <f t="array" ref="U209">IF(AND(A209&lt;&gt;"",OR(ISNUMBER(B209:I209))),SUM(B209:I209),"")</f>
        <v>74</v>
      </c>
      <c r="V209" s="10">
        <f t="array" ref="V209">IF(AND(A209&lt;&gt;"",OR(ISNUMBER(J209:O209))),SUM(J209:O209),"")</f>
        <v>134</v>
      </c>
      <c r="W209" s="10">
        <f t="array" ref="W209">IF(AND(A209&lt;&gt;"",OR(ISNUMBER(P209),ISNUMBER(Q209))),SUM(MAX(P209:Q209),Q209),"")</f>
        <v>101</v>
      </c>
      <c r="X209" s="10" t="str">
        <f t="array" ref="X209">IF(AND(A209&lt;&gt;"",OR(ISNUMBER(S209),ISNUMBER(T209))),SUM(S209,T209),"")</f>
        <v/>
      </c>
      <c r="Y209" s="13">
        <v>1</v>
      </c>
      <c r="Z209" s="13">
        <f>IF(A209&lt;&gt;"",SUM(U209:Y209),"")</f>
        <v>310</v>
      </c>
      <c r="AA209" s="27">
        <f>IF(A209&lt;&gt;"",(Z209+Normalize_To_Add)/(Point_Total_So_Far)*100,"")</f>
        <v>101.63934426229508</v>
      </c>
      <c r="AB209" s="10">
        <f>IF(A209&lt;&gt;"",RANK(AA209,All_Student_XC),"")</f>
        <v>19</v>
      </c>
      <c r="AC209" s="32" t="str">
        <f>IF(A209&lt;&gt;"",CHOOSE(10-MIN(9,TRUNC((AA209+0.5)/10)),"A","B","C","D","F","F","F","F","F","F"),"")</f>
        <v>A</v>
      </c>
      <c r="AD209" s="32" t="str">
        <f>IF(A209&lt;&gt;"",IF(OR(AA209+0.5&gt;=93,AA209+0.5&lt;60),"",IF(MOD(AA209+0.5,10)&gt;=7,"+",IF(MOD(AA209+0.5,10)&lt;3,"-",""))),"")</f>
        <v/>
      </c>
      <c r="AE209" s="32">
        <f>IF(A209&lt;&gt;"",SUM(W209:X209,$W$8:$X$8)/SUM($W$2:$X$2)*100,"")</f>
        <v>101</v>
      </c>
      <c r="AF209" s="32" t="str">
        <f>IF(A209&lt;&gt;"",CHOOSE(10-MIN(9,TRUNC((AE209+0.5)/10)),"A","B","C","D","F","F","F","F","F","F"),"")</f>
        <v>A</v>
      </c>
      <c r="AG209" s="32" t="str">
        <f>IF(A209&lt;&gt;"",IF(OR(AE209+0.5&gt;=93,AE209+0.5&lt;60),"",IF(MOD(AE209+0.5,10)&gt;=7,"+",IF(MOD(AE209+0.5,10)&lt;3,"-",""))),"")</f>
        <v/>
      </c>
      <c r="AH209" s="36">
        <f>IF(A209&lt;&gt;"",MIN(MAX(AA209,AE209),AA209+$AH$8,AE209+$AH$8),"")</f>
        <v>101.63934426229508</v>
      </c>
      <c r="AI209" s="32" t="str">
        <f>IF(A209&lt;&gt;"",CHOOSE(10-MIN(9,TRUNC((AH209+0.5)/10)),"A","B","C","D","F","F","F","F","F","F"),"")</f>
        <v>A</v>
      </c>
      <c r="AJ209" s="32" t="str">
        <f>IF(A209&lt;&gt;"",IF(OR(AH209+0.5&gt;=93,AH209+0.5&lt;60),"",IF(MOD(AH209+0.5,10)&gt;=7,"+",IF(MOD(AH209+0.5,10)&lt;3,"-",""))),"")</f>
        <v/>
      </c>
      <c r="AK209" s="32" t="b">
        <f>IF(A209&lt;&gt;"",OR(AI209&lt;&gt;AC209,AJ209&lt;&gt;AD209),"")</f>
        <v>0</v>
      </c>
      <c r="AL209" s="84">
        <f>IF(AND(A209&lt;&gt;"",U209&lt;&gt;""),SUM(U209,$AL$8)/$AL$2*100,"")</f>
        <v>98.666666666666671</v>
      </c>
      <c r="AM209" s="24">
        <f>IF(AND(A209&lt;&gt;"",V209&lt;&gt;""),SUM(V209,$AM$8)/$AM$2*100,"")</f>
        <v>103.07692307692307</v>
      </c>
      <c r="AN209" s="24">
        <f>IF(AND(A209&lt;&gt;"",ISNUMBER(P209),P209&gt;=0),SUM(P209,$AN$8)/$AN$2*100,"")</f>
        <v>101</v>
      </c>
      <c r="AO209" s="24" t="str">
        <f>IF(AND(A209&lt;&gt;"",ISNUMBER(Q209),Q209&gt;=0),SUM(Q209,$AO$8)/$AO$2*100,"")</f>
        <v/>
      </c>
      <c r="AP209" s="24" t="str">
        <f>IF(AND(A209&lt;&gt;"",R209&lt;&gt;""),SUM(R209,$AP$8)/$AP$2*100,"")</f>
        <v/>
      </c>
      <c r="AQ209" s="24">
        <f>IF(AND(A209&lt;&gt;"",ISNUMBER(W209),W209&gt;=0),SUM(W209,$AQ$8)/$AQ$2*100,"")</f>
        <v>101</v>
      </c>
      <c r="AR209" s="24" t="str">
        <f>IF(AND(A209&lt;&gt;"",T209&gt;0,ISNUMBER(T209)),SUM(T209,$AR$8)/$AR$2*100,"")</f>
        <v/>
      </c>
      <c r="AS209" s="24" t="str">
        <f>IF(AND(A209&lt;&gt;"",X209&lt;&gt;""),SUM(X209,$AS$8)/$AS$2*100,"")</f>
        <v/>
      </c>
      <c r="AT209" s="89">
        <f>IF(AND(A209&lt;&gt;"",OR(ISNUMBER(W209),ISNUMBER(X209))),SUM(W209:X209,$AT$8)/$AT$2*100,"")</f>
        <v>101</v>
      </c>
      <c r="AU209" s="24">
        <f>AA209</f>
        <v>101.63934426229508</v>
      </c>
      <c r="AV209" s="24"/>
      <c r="AW209" s="27">
        <f>IF(A209&lt;&gt;"",AE209-AA209,"")</f>
        <v>-0.6393442622950829</v>
      </c>
      <c r="AY209" s="27" t="b">
        <f>S209&gt;R209</f>
        <v>0</v>
      </c>
      <c r="BA209" s="27" t="e">
        <f>AND(AA209&gt;$BA$3,(W209+$W$8)/$W$2&lt;$BB$3,(X209+$X$8)/$X$2&lt;$BB$3)</f>
        <v>#VALUE!</v>
      </c>
      <c r="BB209" s="27" t="e">
        <f>AND(AA209&lt;$BA$3,AND(W209/$W$2&gt;$BB$3,X209/$X$2&gt;$BB$3))</f>
        <v>#VALUE!</v>
      </c>
      <c r="BC209" s="27" t="e">
        <f>AND(AA209&lt;$BA$3,OR(W209/$W$2&gt;$BB$3,X209/$X$2&gt;$BB$3))</f>
        <v>#VALUE!</v>
      </c>
      <c r="BE209" s="32" t="s">
        <v>84</v>
      </c>
    </row>
    <row r="210" spans="1:57" s="27" customFormat="1" ht="12.75" customHeight="1" x14ac:dyDescent="0.2">
      <c r="A210" s="10">
        <v>400744</v>
      </c>
      <c r="B210" s="2">
        <v>25</v>
      </c>
      <c r="C210" s="10">
        <v>14</v>
      </c>
      <c r="D210" s="10">
        <v>6</v>
      </c>
      <c r="E210" s="10"/>
      <c r="F210" s="10"/>
      <c r="G210" s="3"/>
      <c r="H210" s="10"/>
      <c r="I210" s="10"/>
      <c r="J210" s="2">
        <v>21</v>
      </c>
      <c r="K210" s="10">
        <v>30</v>
      </c>
      <c r="L210" s="10">
        <v>25</v>
      </c>
      <c r="M210" s="10"/>
      <c r="N210" s="10"/>
      <c r="O210" s="12"/>
      <c r="P210" s="7">
        <v>100</v>
      </c>
      <c r="Q210" s="7"/>
      <c r="R210" s="2"/>
      <c r="S210" s="10"/>
      <c r="T210" s="13"/>
      <c r="U210" s="77">
        <f t="array" ref="U210">IF(AND(A210&lt;&gt;"",OR(ISNUMBER(B210:I210))),SUM(B210:I210),"")</f>
        <v>45</v>
      </c>
      <c r="V210" s="10">
        <f t="array" ref="V210">IF(AND(A210&lt;&gt;"",OR(ISNUMBER(J210:O210))),SUM(J210:O210),"")</f>
        <v>76</v>
      </c>
      <c r="W210" s="10">
        <f t="array" ref="W210">IF(AND(A210&lt;&gt;"",OR(ISNUMBER(P210),ISNUMBER(Q210))),SUM(MAX(P210:Q210),Q210),"")</f>
        <v>100</v>
      </c>
      <c r="X210" s="10" t="str">
        <f t="array" ref="X210">IF(AND(A210&lt;&gt;"",OR(ISNUMBER(S210),ISNUMBER(T210))),SUM(S210,T210),"")</f>
        <v/>
      </c>
      <c r="Y210" s="13">
        <v>1</v>
      </c>
      <c r="Z210" s="13">
        <f>IF(A210&lt;&gt;"",SUM(U210:Y210),"")</f>
        <v>222</v>
      </c>
      <c r="AA210" s="27">
        <f>IF(A210&lt;&gt;"",(Z210+Normalize_To_Add)/(Point_Total_So_Far)*100,"")</f>
        <v>72.786885245901644</v>
      </c>
      <c r="AB210" s="10">
        <f>IF(A210&lt;&gt;"",RANK(AA210,All_Student_XC),"")</f>
        <v>444</v>
      </c>
      <c r="AC210" s="32" t="str">
        <f>IF(A210&lt;&gt;"",CHOOSE(10-MIN(9,TRUNC((AA210+0.5)/10)),"A","B","C","D","F","F","F","F","F","F"),"")</f>
        <v>C</v>
      </c>
      <c r="AD210" s="32" t="str">
        <f>IF(A210&lt;&gt;"",IF(OR(AA210+0.5&gt;=93,AA210+0.5&lt;60),"",IF(MOD(AA210+0.5,10)&gt;=7,"+",IF(MOD(AA210+0.5,10)&lt;3,"-",""))),"")</f>
        <v/>
      </c>
      <c r="AE210" s="32">
        <f>IF(A210&lt;&gt;"",SUM(W210:X210,$W$8:$X$8)/SUM($W$2:$X$2)*100,"")</f>
        <v>100</v>
      </c>
      <c r="AF210" s="32" t="str">
        <f>IF(A210&lt;&gt;"",CHOOSE(10-MIN(9,TRUNC((AE210+0.5)/10)),"A","B","C","D","F","F","F","F","F","F"),"")</f>
        <v>A</v>
      </c>
      <c r="AG210" s="32" t="str">
        <f>IF(A210&lt;&gt;"",IF(OR(AE210+0.5&gt;=93,AE210+0.5&lt;60),"",IF(MOD(AE210+0.5,10)&gt;=7,"+",IF(MOD(AE210+0.5,10)&lt;3,"-",""))),"")</f>
        <v/>
      </c>
      <c r="AH210" s="36">
        <f>IF(A210&lt;&gt;"",MIN(MAX(AA210,AE210),AA210+$AH$8,AE210+$AH$8),"")</f>
        <v>100</v>
      </c>
      <c r="AI210" s="32" t="str">
        <f>IF(A210&lt;&gt;"",CHOOSE(10-MIN(9,TRUNC((AH210+0.5)/10)),"A","B","C","D","F","F","F","F","F","F"),"")</f>
        <v>A</v>
      </c>
      <c r="AJ210" s="32" t="str">
        <f>IF(A210&lt;&gt;"",IF(OR(AH210+0.5&gt;=93,AH210+0.5&lt;60),"",IF(MOD(AH210+0.5,10)&gt;=7,"+",IF(MOD(AH210+0.5,10)&lt;3,"-",""))),"")</f>
        <v/>
      </c>
      <c r="AK210" s="32" t="b">
        <f>IF(A210&lt;&gt;"",OR(AI210&lt;&gt;AC210,AJ210&lt;&gt;AD210),"")</f>
        <v>1</v>
      </c>
      <c r="AL210" s="84">
        <f>IF(AND(A210&lt;&gt;"",U210&lt;&gt;""),SUM(U210,$AL$8)/$AL$2*100,"")</f>
        <v>60</v>
      </c>
      <c r="AM210" s="24">
        <f>IF(AND(A210&lt;&gt;"",V210&lt;&gt;""),SUM(V210,$AM$8)/$AM$2*100,"")</f>
        <v>58.461538461538467</v>
      </c>
      <c r="AN210" s="24">
        <f>IF(AND(A210&lt;&gt;"",ISNUMBER(P210),P210&gt;=0),SUM(P210,$AN$8)/$AN$2*100,"")</f>
        <v>100</v>
      </c>
      <c r="AO210" s="24" t="str">
        <f>IF(AND(A210&lt;&gt;"",ISNUMBER(Q210),Q210&gt;=0),SUM(Q210,$AO$8)/$AO$2*100,"")</f>
        <v/>
      </c>
      <c r="AP210" s="24" t="str">
        <f>IF(AND(A210&lt;&gt;"",R210&lt;&gt;""),SUM(R210,$AP$8)/$AP$2*100,"")</f>
        <v/>
      </c>
      <c r="AQ210" s="24">
        <f>IF(AND(A210&lt;&gt;"",ISNUMBER(W210),W210&gt;=0),SUM(W210,$AQ$8)/$AQ$2*100,"")</f>
        <v>100</v>
      </c>
      <c r="AR210" s="24" t="str">
        <f>IF(AND(A210&lt;&gt;"",T210&gt;0,ISNUMBER(T210)),SUM(T210,$AR$8)/$AR$2*100,"")</f>
        <v/>
      </c>
      <c r="AS210" s="24" t="str">
        <f>IF(AND(A210&lt;&gt;"",X210&lt;&gt;""),SUM(X210,$AS$8)/$AS$2*100,"")</f>
        <v/>
      </c>
      <c r="AT210" s="89">
        <f>IF(AND(A210&lt;&gt;"",OR(ISNUMBER(W210),ISNUMBER(X210))),SUM(W210:X210,$AT$8)/$AT$2*100,"")</f>
        <v>100</v>
      </c>
      <c r="AU210" s="24">
        <f>AA210</f>
        <v>72.786885245901644</v>
      </c>
      <c r="AV210" s="24"/>
      <c r="AW210" s="27">
        <f>IF(A210&lt;&gt;"",AE210-AA210,"")</f>
        <v>27.213114754098356</v>
      </c>
      <c r="AY210" s="27" t="b">
        <f>S210&gt;R210</f>
        <v>0</v>
      </c>
      <c r="BA210" s="27" t="e">
        <f>AND(AA210&gt;$BA$3,(W210+$W$8)/$W$2&lt;$BB$3,(X210+$X$8)/$X$2&lt;$BB$3)</f>
        <v>#VALUE!</v>
      </c>
      <c r="BB210" s="27" t="e">
        <f>AND(AA210&lt;$BA$3,AND(W210/$W$2&gt;$BB$3,X210/$X$2&gt;$BB$3))</f>
        <v>#VALUE!</v>
      </c>
      <c r="BC210" s="27" t="e">
        <f>AND(AA210&lt;$BA$3,OR(W210/$W$2&gt;$BB$3,X210/$X$2&gt;$BB$3))</f>
        <v>#VALUE!</v>
      </c>
      <c r="BE210" s="32" t="s">
        <v>84</v>
      </c>
    </row>
    <row r="211" spans="1:57" s="27" customFormat="1" ht="12.75" customHeight="1" x14ac:dyDescent="0.2">
      <c r="A211" s="10">
        <v>401835</v>
      </c>
      <c r="B211" s="2">
        <v>24</v>
      </c>
      <c r="C211" s="10">
        <v>25</v>
      </c>
      <c r="D211" s="10">
        <v>25</v>
      </c>
      <c r="E211" s="10"/>
      <c r="F211" s="10"/>
      <c r="G211" s="10"/>
      <c r="H211" s="10"/>
      <c r="I211" s="10"/>
      <c r="J211" s="2">
        <v>29</v>
      </c>
      <c r="K211" s="10">
        <v>52</v>
      </c>
      <c r="L211" s="10">
        <v>52</v>
      </c>
      <c r="M211" s="10"/>
      <c r="N211" s="10"/>
      <c r="O211" s="12"/>
      <c r="P211" s="41">
        <v>101</v>
      </c>
      <c r="Q211" s="41"/>
      <c r="R211" s="2"/>
      <c r="S211" s="10"/>
      <c r="T211" s="13"/>
      <c r="U211" s="7">
        <f t="array" ref="U211">IF(AND(A211&lt;&gt;"",OR(ISNUMBER(B211:I211))),SUM(B211:I211),"")</f>
        <v>74</v>
      </c>
      <c r="V211" s="10">
        <f t="array" ref="V211">IF(AND(A211&lt;&gt;"",OR(ISNUMBER(J211:O211))),SUM(J211:O211),"")</f>
        <v>133</v>
      </c>
      <c r="W211" s="10">
        <f t="array" ref="W211">IF(AND(A211&lt;&gt;"",OR(ISNUMBER(P211),ISNUMBER(Q211))),SUM(MAX(P211:Q211),Q211),"")</f>
        <v>101</v>
      </c>
      <c r="X211" s="10" t="str">
        <f t="array" ref="X211">IF(AND(A211&lt;&gt;"",OR(ISNUMBER(S211),ISNUMBER(T211))),SUM(S211,T211),"")</f>
        <v/>
      </c>
      <c r="Y211" s="13">
        <v>1</v>
      </c>
      <c r="Z211" s="13">
        <f>IF(A211&lt;&gt;"",SUM(U211:Y211),"")</f>
        <v>309</v>
      </c>
      <c r="AA211" s="27">
        <f>IF(A211&lt;&gt;"",(Z211+Normalize_To_Add)/(Point_Total_So_Far)*100,"")</f>
        <v>101.31147540983608</v>
      </c>
      <c r="AB211" s="10">
        <f>IF(A211&lt;&gt;"",RANK(AA211,All_Student_XC),"")</f>
        <v>35</v>
      </c>
      <c r="AC211" s="32" t="str">
        <f>IF(A211&lt;&gt;"",CHOOSE(10-MIN(9,TRUNC((AA211+0.5)/10)),"A","B","C","D","F","F","F","F","F","F"),"")</f>
        <v>A</v>
      </c>
      <c r="AD211" s="32" t="str">
        <f>IF(A211&lt;&gt;"",IF(OR(AA211+0.5&gt;=93,AA211+0.5&lt;60),"",IF(MOD(AA211+0.5,10)&gt;=7,"+",IF(MOD(AA211+0.5,10)&lt;3,"-",""))),"")</f>
        <v/>
      </c>
      <c r="AE211" s="32">
        <f>IF(A211&lt;&gt;"",SUM(W211:X211,$W$8:$X$8)/SUM($W$2:$X$2)*100,"")</f>
        <v>101</v>
      </c>
      <c r="AF211" s="32" t="str">
        <f>IF(A211&lt;&gt;"",CHOOSE(10-MIN(9,TRUNC((AE211+0.5)/10)),"A","B","C","D","F","F","F","F","F","F"),"")</f>
        <v>A</v>
      </c>
      <c r="AG211" s="32" t="str">
        <f>IF(A211&lt;&gt;"",IF(OR(AE211+0.5&gt;=93,AE211+0.5&lt;60),"",IF(MOD(AE211+0.5,10)&gt;=7,"+",IF(MOD(AE211+0.5,10)&lt;3,"-",""))),"")</f>
        <v/>
      </c>
      <c r="AH211" s="36">
        <f>IF(A211&lt;&gt;"",MIN(MAX(AA211,AE211),AA211+$AH$8,AE211+$AH$8),"")</f>
        <v>101.31147540983608</v>
      </c>
      <c r="AI211" s="32" t="str">
        <f>IF(A211&lt;&gt;"",CHOOSE(10-MIN(9,TRUNC((AH211+0.5)/10)),"A","B","C","D","F","F","F","F","F","F"),"")</f>
        <v>A</v>
      </c>
      <c r="AJ211" s="32" t="str">
        <f>IF(A211&lt;&gt;"",IF(OR(AH211+0.5&gt;=93,AH211+0.5&lt;60),"",IF(MOD(AH211+0.5,10)&gt;=7,"+",IF(MOD(AH211+0.5,10)&lt;3,"-",""))),"")</f>
        <v/>
      </c>
      <c r="AK211" s="32" t="b">
        <f>IF(A211&lt;&gt;"",OR(AI211&lt;&gt;AC211,AJ211&lt;&gt;AD211),"")</f>
        <v>0</v>
      </c>
      <c r="AL211" s="84">
        <f>IF(AND(A211&lt;&gt;"",U211&lt;&gt;""),SUM(U211,$AL$8)/$AL$2*100,"")</f>
        <v>98.666666666666671</v>
      </c>
      <c r="AM211" s="24">
        <f>IF(AND(A211&lt;&gt;"",V211&lt;&gt;""),SUM(V211,$AM$8)/$AM$2*100,"")</f>
        <v>102.30769230769229</v>
      </c>
      <c r="AN211" s="24">
        <f>IF(AND(A211&lt;&gt;"",ISNUMBER(P211),P211&gt;=0),SUM(P211,$AN$8)/$AN$2*100,"")</f>
        <v>101</v>
      </c>
      <c r="AO211" s="24" t="str">
        <f>IF(AND(A211&lt;&gt;"",ISNUMBER(Q211),Q211&gt;=0),SUM(Q211,$AO$8)/$AO$2*100,"")</f>
        <v/>
      </c>
      <c r="AP211" s="24" t="str">
        <f>IF(AND(A211&lt;&gt;"",R211&lt;&gt;""),SUM(R211,$AP$8)/$AP$2*100,"")</f>
        <v/>
      </c>
      <c r="AQ211" s="24">
        <f>IF(AND(A211&lt;&gt;"",ISNUMBER(W211),W211&gt;=0),SUM(W211,$AQ$8)/$AQ$2*100,"")</f>
        <v>101</v>
      </c>
      <c r="AR211" s="24" t="str">
        <f>IF(AND(A211&lt;&gt;"",T211&gt;0,ISNUMBER(T211)),SUM(T211,$AR$8)/$AR$2*100,"")</f>
        <v/>
      </c>
      <c r="AS211" s="24" t="str">
        <f>IF(AND(A211&lt;&gt;"",X211&lt;&gt;""),SUM(X211,$AS$8)/$AS$2*100,"")</f>
        <v/>
      </c>
      <c r="AT211" s="89">
        <f>IF(AND(A211&lt;&gt;"",OR(ISNUMBER(W211),ISNUMBER(X211))),SUM(W211:X211,$AT$8)/$AT$2*100,"")</f>
        <v>101</v>
      </c>
      <c r="AU211" s="24">
        <f>AA211</f>
        <v>101.31147540983608</v>
      </c>
      <c r="AV211" s="24"/>
      <c r="AW211" s="27">
        <f>IF(A211&lt;&gt;"",AE211-AA211,"")</f>
        <v>-0.31147540983607769</v>
      </c>
      <c r="AY211" s="27" t="b">
        <f>S211&gt;R211</f>
        <v>0</v>
      </c>
      <c r="BA211" s="27" t="e">
        <f>AND(AA211&gt;$BA$3,(W211+$W$8)/$W$2&lt;$BB$3,(X211+$X$8)/$X$2&lt;$BB$3)</f>
        <v>#VALUE!</v>
      </c>
      <c r="BB211" s="27" t="e">
        <f>AND(AA211&lt;$BA$3,AND(W211/$W$2&gt;$BB$3,X211/$X$2&gt;$BB$3))</f>
        <v>#VALUE!</v>
      </c>
      <c r="BC211" s="27" t="e">
        <f>AND(AA211&lt;$BA$3,OR(W211/$W$2&gt;$BB$3,X211/$X$2&gt;$BB$3))</f>
        <v>#VALUE!</v>
      </c>
      <c r="BE211" s="32">
        <v>32</v>
      </c>
    </row>
    <row r="212" spans="1:57" s="27" customFormat="1" ht="12.75" customHeight="1" x14ac:dyDescent="0.2">
      <c r="A212" s="10">
        <v>402618</v>
      </c>
      <c r="B212" s="2">
        <v>23</v>
      </c>
      <c r="C212" s="10">
        <v>25</v>
      </c>
      <c r="D212" s="10">
        <v>25</v>
      </c>
      <c r="E212" s="10"/>
      <c r="F212" s="10"/>
      <c r="G212" s="10"/>
      <c r="H212" s="10"/>
      <c r="I212" s="10"/>
      <c r="J212" s="2">
        <v>32</v>
      </c>
      <c r="K212" s="10">
        <v>50</v>
      </c>
      <c r="L212" s="10">
        <v>49</v>
      </c>
      <c r="M212" s="10"/>
      <c r="N212" s="93"/>
      <c r="O212" s="13"/>
      <c r="P212" s="10">
        <v>80</v>
      </c>
      <c r="Q212" s="10"/>
      <c r="R212" s="2"/>
      <c r="S212" s="10"/>
      <c r="T212" s="13"/>
      <c r="U212" s="1">
        <f t="array" ref="U212">IF(AND(A212&lt;&gt;"",OR(ISNUMBER(B212:I212))),SUM(B212:I212),"")</f>
        <v>73</v>
      </c>
      <c r="V212" s="10">
        <f t="array" ref="V212">IF(AND(A212&lt;&gt;"",OR(ISNUMBER(J212:O212))),SUM(J212:O212),"")</f>
        <v>131</v>
      </c>
      <c r="W212" s="10">
        <f t="array" ref="W212">IF(AND(A212&lt;&gt;"",OR(ISNUMBER(P212),ISNUMBER(Q212))),SUM(MAX(P212:Q212),Q212),"")</f>
        <v>80</v>
      </c>
      <c r="X212" s="10" t="str">
        <f t="array" ref="X212">IF(AND(A212&lt;&gt;"",OR(ISNUMBER(S212),ISNUMBER(T212))),SUM(S212,T212),"")</f>
        <v/>
      </c>
      <c r="Y212" s="13">
        <v>1</v>
      </c>
      <c r="Z212" s="13">
        <f>IF(A212&lt;&gt;"",SUM(U212:Y212),"")</f>
        <v>285</v>
      </c>
      <c r="AA212" s="27">
        <f>IF(A212&lt;&gt;"",(Z212+Normalize_To_Add)/(Point_Total_So_Far)*100,"")</f>
        <v>93.442622950819683</v>
      </c>
      <c r="AB212" s="10">
        <f>IF(A212&lt;&gt;"",RANK(AA212,All_Student_XC),"")</f>
        <v>293</v>
      </c>
      <c r="AC212" s="32" t="str">
        <f>IF(A212&lt;&gt;"",CHOOSE(10-MIN(9,TRUNC((AA212+0.5)/10)),"A","B","C","D","F","F","F","F","F","F"),"")</f>
        <v>A</v>
      </c>
      <c r="AD212" s="31" t="str">
        <f>IF(A212&lt;&gt;"",IF(OR(AA212+0.5&gt;=93,AA212+0.5&lt;60),"",IF(MOD(AA212+0.5,10)&gt;=7,"+",IF(MOD(AA212+0.5,10)&lt;3,"-",""))),"")</f>
        <v/>
      </c>
      <c r="AE212" s="32">
        <f>IF(A212&lt;&gt;"",SUM(W212:X212,$W$8:$X$8)/SUM($W$2:$X$2)*100,"")</f>
        <v>80</v>
      </c>
      <c r="AF212" s="32" t="str">
        <f>IF(A212&lt;&gt;"",CHOOSE(10-MIN(9,TRUNC((AE212+0.5)/10)),"A","B","C","D","F","F","F","F","F","F"),"")</f>
        <v>B</v>
      </c>
      <c r="AG212" s="32" t="str">
        <f>IF(A212&lt;&gt;"",IF(OR(AE212+0.5&gt;=93,AE212+0.5&lt;60),"",IF(MOD(AE212+0.5,10)&gt;=7,"+",IF(MOD(AE212+0.5,10)&lt;3,"-",""))),"")</f>
        <v>-</v>
      </c>
      <c r="AH212" s="36">
        <f>IF(A212&lt;&gt;"",MIN(MAX(AA212,AE212),AA212+$AH$8,AE212+$AH$8),"")</f>
        <v>93.442622950819683</v>
      </c>
      <c r="AI212" s="32" t="str">
        <f>IF(A212&lt;&gt;"",CHOOSE(10-MIN(9,TRUNC((AH212+0.5)/10)),"A","B","C","D","F","F","F","F","F","F"),"")</f>
        <v>A</v>
      </c>
      <c r="AJ212" s="32" t="str">
        <f>IF(A212&lt;&gt;"",IF(OR(AH212+0.5&gt;=93,AH212+0.5&lt;60),"",IF(MOD(AH212+0.5,10)&gt;=7,"+",IF(MOD(AH212+0.5,10)&lt;3,"-",""))),"")</f>
        <v/>
      </c>
      <c r="AK212" s="71" t="b">
        <f>IF(A212&lt;&gt;"",OR(AI212&lt;&gt;AC212,AJ212&lt;&gt;AD212),"")</f>
        <v>0</v>
      </c>
      <c r="AL212" s="86">
        <f>IF(AND(A212&lt;&gt;"",U212&lt;&gt;""),SUM(U212,$AL$8)/$AL$2*100,"")</f>
        <v>97.333333333333343</v>
      </c>
      <c r="AM212" s="71">
        <f>IF(AND(A212&lt;&gt;"",V212&lt;&gt;""),SUM(V212,$AM$8)/$AM$2*100,"")</f>
        <v>100.76923076923077</v>
      </c>
      <c r="AN212" s="71">
        <f>IF(AND(A212&lt;&gt;"",ISNUMBER(P212),P212&gt;=0),SUM(P212,$AN$8)/$AN$2*100,"")</f>
        <v>80</v>
      </c>
      <c r="AO212" s="71" t="str">
        <f>IF(AND(A212&lt;&gt;"",ISNUMBER(Q212),Q212&gt;=0),SUM(Q212,$AO$8)/$AO$2*100,"")</f>
        <v/>
      </c>
      <c r="AP212" s="24" t="str">
        <f>IF(AND(A212&lt;&gt;"",R212&lt;&gt;""),SUM(R212,$AP$8)/$AP$2*100,"")</f>
        <v/>
      </c>
      <c r="AQ212" s="24">
        <f>IF(AND(A212&lt;&gt;"",ISNUMBER(W212),W212&gt;=0),SUM(W212,$AQ$8)/$AQ$2*100,"")</f>
        <v>80</v>
      </c>
      <c r="AR212" s="24" t="str">
        <f>IF(AND(A212&lt;&gt;"",T212&gt;0,ISNUMBER(T212)),SUM(T212,$AR$8)/$AR$2*100,"")</f>
        <v/>
      </c>
      <c r="AS212" s="24" t="str">
        <f>IF(AND(A212&lt;&gt;"",X212&lt;&gt;""),SUM(X212,$AS$8)/$AS$2*100,"")</f>
        <v/>
      </c>
      <c r="AT212" s="89">
        <f>IF(AND(A212&lt;&gt;"",OR(ISNUMBER(W212),ISNUMBER(X212))),SUM(W212:X212,$AT$8)/$AT$2*100,"")</f>
        <v>80</v>
      </c>
      <c r="AU212" s="24">
        <f>AA212</f>
        <v>93.442622950819683</v>
      </c>
      <c r="AV212" s="71"/>
      <c r="AW212" s="27">
        <f>IF(A212&lt;&gt;"",AE212-AA212,"")</f>
        <v>-13.442622950819683</v>
      </c>
      <c r="AY212" s="27" t="b">
        <f>S212&gt;R212</f>
        <v>0</v>
      </c>
      <c r="BA212" s="27" t="e">
        <f>AND(AA212&gt;$BA$3,(W212+$W$8)/$W$2&lt;$BB$3,(X212+$X$8)/$X$2&lt;$BB$3)</f>
        <v>#VALUE!</v>
      </c>
      <c r="BB212" s="27" t="e">
        <f>AND(AA212&lt;$BA$3,AND(W212/$W$2&gt;$BB$3,X212/$X$2&gt;$BB$3))</f>
        <v>#VALUE!</v>
      </c>
      <c r="BC212" s="27" t="e">
        <f>AND(AA212&lt;$BA$3,OR(W212/$W$2&gt;$BB$3,X212/$X$2&gt;$BB$3))</f>
        <v>#VALUE!</v>
      </c>
      <c r="BE212" s="32">
        <v>32</v>
      </c>
    </row>
    <row r="213" spans="1:57" s="27" customFormat="1" ht="12.75" customHeight="1" x14ac:dyDescent="0.2">
      <c r="A213" s="10">
        <v>404936</v>
      </c>
      <c r="B213" s="2">
        <v>23</v>
      </c>
      <c r="C213" s="10">
        <v>23</v>
      </c>
      <c r="D213" s="10">
        <v>25</v>
      </c>
      <c r="E213" s="10"/>
      <c r="F213" s="10"/>
      <c r="G213" s="10"/>
      <c r="H213" s="10"/>
      <c r="I213" s="10"/>
      <c r="J213" s="2">
        <v>32</v>
      </c>
      <c r="K213" s="10">
        <v>52</v>
      </c>
      <c r="L213" s="10">
        <v>51</v>
      </c>
      <c r="M213" s="10"/>
      <c r="N213" s="93"/>
      <c r="O213" s="13"/>
      <c r="P213" s="10">
        <v>101</v>
      </c>
      <c r="Q213" s="10"/>
      <c r="R213" s="2"/>
      <c r="S213" s="10"/>
      <c r="T213" s="13"/>
      <c r="U213" s="1">
        <f t="array" ref="U213">IF(AND(A213&lt;&gt;"",OR(ISNUMBER(B213:I213))),SUM(B213:I213),"")</f>
        <v>71</v>
      </c>
      <c r="V213" s="10">
        <f t="array" ref="V213">IF(AND(A213&lt;&gt;"",OR(ISNUMBER(J213:O213))),SUM(J213:O213),"")</f>
        <v>135</v>
      </c>
      <c r="W213" s="10">
        <f t="array" ref="W213">IF(AND(A213&lt;&gt;"",OR(ISNUMBER(P213),ISNUMBER(Q213))),SUM(MAX(P213:Q213),Q213),"")</f>
        <v>101</v>
      </c>
      <c r="X213" s="10" t="str">
        <f t="array" ref="X213">IF(AND(A213&lt;&gt;"",OR(ISNUMBER(S213),ISNUMBER(T213))),SUM(S213,T213),"")</f>
        <v/>
      </c>
      <c r="Y213" s="13">
        <v>1</v>
      </c>
      <c r="Z213" s="13">
        <f>IF(A213&lt;&gt;"",SUM(U213:Y213),"")</f>
        <v>308</v>
      </c>
      <c r="AA213" s="27">
        <f>IF(A213&lt;&gt;"",(Z213+Normalize_To_Add)/(Point_Total_So_Far)*100,"")</f>
        <v>100.98360655737706</v>
      </c>
      <c r="AB213" s="10">
        <f>IF(A213&lt;&gt;"",RANK(AA213,All_Student_XC),"")</f>
        <v>57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>
        <f>IF(A213&lt;&gt;"",SUM(W213:X213,$W$8:$X$8)/SUM($W$2:$X$2)*100,"")</f>
        <v>101</v>
      </c>
      <c r="AF213" s="32" t="str">
        <f>IF(A213&lt;&gt;"",CHOOSE(10-MIN(9,TRUNC((AE213+0.5)/10)),"A","B","C","D","F","F","F","F","F","F"),"")</f>
        <v>A</v>
      </c>
      <c r="AG213" s="32" t="str">
        <f>IF(A213&lt;&gt;"",IF(OR(AE213+0.5&gt;=93,AE213+0.5&lt;60),"",IF(MOD(AE213+0.5,10)&gt;=7,"+",IF(MOD(AE213+0.5,10)&lt;3,"-",""))),"")</f>
        <v/>
      </c>
      <c r="AH213" s="36">
        <f>IF(A213&lt;&gt;"",MIN(MAX(AA213,AE213),AA213+$AH$8,AE213+$AH$8),"")</f>
        <v>101</v>
      </c>
      <c r="AI213" s="32" t="str">
        <f>IF(A213&lt;&gt;"",CHOOSE(10-MIN(9,TRUNC((AH213+0.5)/10)),"A","B","C","D","F","F","F","F","F","F"),"")</f>
        <v>A</v>
      </c>
      <c r="AJ213" s="32" t="str">
        <f>IF(A213&lt;&gt;"",IF(OR(AH213+0.5&gt;=93,AH213+0.5&lt;60),"",IF(MOD(AH213+0.5,10)&gt;=7,"+",IF(MOD(AH213+0.5,10)&lt;3,"-",""))),"")</f>
        <v/>
      </c>
      <c r="AK213" s="71" t="b">
        <f>IF(A213&lt;&gt;"",OR(AI213&lt;&gt;AC213,AJ213&lt;&gt;AD213),"")</f>
        <v>0</v>
      </c>
      <c r="AL213" s="86">
        <f>IF(AND(A213&lt;&gt;"",U213&lt;&gt;""),SUM(U213,$AL$8)/$AL$2*100,"")</f>
        <v>94.666666666666671</v>
      </c>
      <c r="AM213" s="71">
        <f>IF(AND(A213&lt;&gt;"",V213&lt;&gt;""),SUM(V213,$AM$8)/$AM$2*100,"")</f>
        <v>103.84615384615385</v>
      </c>
      <c r="AN213" s="71">
        <f>IF(AND(A213&lt;&gt;"",ISNUMBER(P213),P213&gt;=0),SUM(P213,$AN$8)/$AN$2*100,"")</f>
        <v>101</v>
      </c>
      <c r="AO213" s="71" t="str">
        <f>IF(AND(A213&lt;&gt;"",ISNUMBER(Q213),Q213&gt;=0),SUM(Q213,$AO$8)/$AO$2*100,"")</f>
        <v/>
      </c>
      <c r="AP213" s="24" t="str">
        <f>IF(AND(A213&lt;&gt;"",R213&lt;&gt;""),SUM(R213,$AP$8)/$AP$2*100,"")</f>
        <v/>
      </c>
      <c r="AQ213" s="24">
        <f>IF(AND(A213&lt;&gt;"",ISNUMBER(W213),W213&gt;=0),SUM(W213,$AQ$8)/$AQ$2*100,"")</f>
        <v>101</v>
      </c>
      <c r="AR213" s="24" t="str">
        <f>IF(AND(A213&lt;&gt;"",T213&gt;0,ISNUMBER(T213)),SUM(T213,$AR$8)/$AR$2*100,"")</f>
        <v/>
      </c>
      <c r="AS213" s="24" t="str">
        <f>IF(AND(A213&lt;&gt;"",X213&lt;&gt;""),SUM(X213,$AS$8)/$AS$2*100,"")</f>
        <v/>
      </c>
      <c r="AT213" s="89">
        <f>IF(AND(A213&lt;&gt;"",OR(ISNUMBER(W213),ISNUMBER(X213))),SUM(W213:X213,$AT$8)/$AT$2*100,"")</f>
        <v>101</v>
      </c>
      <c r="AU213" s="24">
        <f>AA213</f>
        <v>100.98360655737706</v>
      </c>
      <c r="AV213" s="71"/>
      <c r="AW213" s="27">
        <f>IF(A213&lt;&gt;"",AE213-AA213,"")</f>
        <v>1.6393442622941734E-2</v>
      </c>
      <c r="AY213" s="27" t="b">
        <f>S213&gt;R213</f>
        <v>0</v>
      </c>
      <c r="BA213" s="27" t="e">
        <f>AND(AA213&gt;$BA$3,(W213+$W$8)/$W$2&lt;$BB$3,(X213+$X$8)/$X$2&lt;$BB$3)</f>
        <v>#VALUE!</v>
      </c>
      <c r="BB213" s="27" t="e">
        <f>AND(AA213&lt;$BA$3,AND(W213/$W$2&gt;$BB$3,X213/$X$2&gt;$BB$3))</f>
        <v>#VALUE!</v>
      </c>
      <c r="BC213" s="27" t="e">
        <f>AND(AA213&lt;$BA$3,OR(W213/$W$2&gt;$BB$3,X213/$X$2&gt;$BB$3))</f>
        <v>#VALUE!</v>
      </c>
      <c r="BE213" s="32">
        <v>32</v>
      </c>
    </row>
    <row r="214" spans="1:57" s="27" customFormat="1" ht="12.75" customHeight="1" x14ac:dyDescent="0.2">
      <c r="A214" s="10">
        <v>410614</v>
      </c>
      <c r="B214" s="2">
        <v>20</v>
      </c>
      <c r="C214" s="10">
        <v>20</v>
      </c>
      <c r="D214" s="10">
        <v>25</v>
      </c>
      <c r="E214" s="10"/>
      <c r="F214" s="10"/>
      <c r="G214" s="10"/>
      <c r="H214" s="10"/>
      <c r="I214" s="10"/>
      <c r="J214" s="2">
        <v>30</v>
      </c>
      <c r="K214" s="10">
        <v>48</v>
      </c>
      <c r="L214" s="10">
        <v>51</v>
      </c>
      <c r="M214" s="10"/>
      <c r="N214" s="93"/>
      <c r="O214" s="13"/>
      <c r="P214" s="10">
        <v>100</v>
      </c>
      <c r="Q214" s="10"/>
      <c r="R214" s="2"/>
      <c r="S214" s="10"/>
      <c r="T214" s="13"/>
      <c r="U214" s="1">
        <f t="array" ref="U214">IF(AND(A214&lt;&gt;"",OR(ISNUMBER(B214:I214))),SUM(B214:I214),"")</f>
        <v>65</v>
      </c>
      <c r="V214" s="10">
        <f t="array" ref="V214">IF(AND(A214&lt;&gt;"",OR(ISNUMBER(J214:O214))),SUM(J214:O214),"")</f>
        <v>129</v>
      </c>
      <c r="W214" s="10">
        <f t="array" ref="W214">IF(AND(A214&lt;&gt;"",OR(ISNUMBER(P214),ISNUMBER(Q214))),SUM(MAX(P214:Q214),Q214),"")</f>
        <v>100</v>
      </c>
      <c r="X214" s="10" t="str">
        <f t="array" ref="X214">IF(AND(A214&lt;&gt;"",OR(ISNUMBER(S214),ISNUMBER(T214))),SUM(S214,T214),"")</f>
        <v/>
      </c>
      <c r="Y214" s="13">
        <v>1</v>
      </c>
      <c r="Z214" s="13">
        <f>IF(A214&lt;&gt;"",SUM(U214:Y214),"")</f>
        <v>295</v>
      </c>
      <c r="AA214" s="27">
        <f>IF(A214&lt;&gt;"",(Z214+Normalize_To_Add)/(Point_Total_So_Far)*100,"")</f>
        <v>96.721311475409834</v>
      </c>
      <c r="AB214" s="10">
        <f>IF(A214&lt;&gt;"",RANK(AA214,All_Student_XC),"")</f>
        <v>243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/>
      </c>
      <c r="AE214" s="32">
        <f>IF(A214&lt;&gt;"",SUM(W214:X214,$W$8:$X$8)/SUM($W$2:$X$2)*100,"")</f>
        <v>100</v>
      </c>
      <c r="AF214" s="32" t="str">
        <f>IF(A214&lt;&gt;"",CHOOSE(10-MIN(9,TRUNC((AE214+0.5)/10)),"A","B","C","D","F","F","F","F","F","F"),"")</f>
        <v>A</v>
      </c>
      <c r="AG214" s="32" t="str">
        <f>IF(A214&lt;&gt;"",IF(OR(AE214+0.5&gt;=93,AE214+0.5&lt;60),"",IF(MOD(AE214+0.5,10)&gt;=7,"+",IF(MOD(AE214+0.5,10)&lt;3,"-",""))),"")</f>
        <v/>
      </c>
      <c r="AH214" s="36">
        <f>IF(A214&lt;&gt;"",MIN(MAX(AA214,AE214),AA214+$AH$8,AE214+$AH$8),"")</f>
        <v>100</v>
      </c>
      <c r="AI214" s="32" t="str">
        <f>IF(A214&lt;&gt;"",CHOOSE(10-MIN(9,TRUNC((AH214+0.5)/10)),"A","B","C","D","F","F","F","F","F","F"),"")</f>
        <v>A</v>
      </c>
      <c r="AJ214" s="32" t="str">
        <f>IF(A214&lt;&gt;"",IF(OR(AH214+0.5&gt;=93,AH214+0.5&lt;60),"",IF(MOD(AH214+0.5,10)&gt;=7,"+",IF(MOD(AH214+0.5,10)&lt;3,"-",""))),"")</f>
        <v/>
      </c>
      <c r="AK214" s="71" t="b">
        <f>IF(A214&lt;&gt;"",OR(AI214&lt;&gt;AC214,AJ214&lt;&gt;AD214),"")</f>
        <v>0</v>
      </c>
      <c r="AL214" s="86">
        <f>IF(AND(A214&lt;&gt;"",U214&lt;&gt;""),SUM(U214,$AL$8)/$AL$2*100,"")</f>
        <v>86.666666666666671</v>
      </c>
      <c r="AM214" s="71">
        <f>IF(AND(A214&lt;&gt;"",V214&lt;&gt;""),SUM(V214,$AM$8)/$AM$2*100,"")</f>
        <v>99.230769230769226</v>
      </c>
      <c r="AN214" s="71">
        <f>IF(AND(A214&lt;&gt;"",ISNUMBER(P214),P214&gt;=0),SUM(P214,$AN$8)/$AN$2*100,"")</f>
        <v>100</v>
      </c>
      <c r="AO214" s="71" t="str">
        <f>IF(AND(A214&lt;&gt;"",ISNUMBER(Q214),Q214&gt;=0),SUM(Q214,$AO$8)/$AO$2*100,"")</f>
        <v/>
      </c>
      <c r="AP214" s="24" t="str">
        <f>IF(AND(A214&lt;&gt;"",R214&lt;&gt;""),SUM(R214,$AP$8)/$AP$2*100,"")</f>
        <v/>
      </c>
      <c r="AQ214" s="24">
        <f>IF(AND(A214&lt;&gt;"",ISNUMBER(W214),W214&gt;=0),SUM(W214,$AQ$8)/$AQ$2*100,"")</f>
        <v>100</v>
      </c>
      <c r="AR214" s="24" t="str">
        <f>IF(AND(A214&lt;&gt;"",T214&gt;0,ISNUMBER(T214)),SUM(T214,$AR$8)/$AR$2*100,"")</f>
        <v/>
      </c>
      <c r="AS214" s="24" t="str">
        <f>IF(AND(A214&lt;&gt;"",X214&lt;&gt;""),SUM(X214,$AS$8)/$AS$2*100,"")</f>
        <v/>
      </c>
      <c r="AT214" s="89">
        <f>IF(AND(A214&lt;&gt;"",OR(ISNUMBER(W214),ISNUMBER(X214))),SUM(W214:X214,$AT$8)/$AT$2*100,"")</f>
        <v>100</v>
      </c>
      <c r="AU214" s="24">
        <f>AA214</f>
        <v>96.721311475409834</v>
      </c>
      <c r="AV214" s="71"/>
      <c r="AW214" s="27">
        <f>IF(A214&lt;&gt;"",AE214-AA214,"")</f>
        <v>3.2786885245901658</v>
      </c>
      <c r="AY214" s="27" t="b">
        <f>S214&gt;R214</f>
        <v>0</v>
      </c>
      <c r="BA214" s="27" t="e">
        <f>AND(AA214&gt;$BA$3,(W214+$W$8)/$W$2&lt;$BB$3,(X214+$X$8)/$X$2&lt;$BB$3)</f>
        <v>#VALUE!</v>
      </c>
      <c r="BB214" s="27" t="e">
        <f>AND(AA214&lt;$BA$3,AND(W214/$W$2&gt;$BB$3,X214/$X$2&gt;$BB$3))</f>
        <v>#VALUE!</v>
      </c>
      <c r="BC214" s="27" t="e">
        <f>AND(AA214&lt;$BA$3,OR(W214/$W$2&gt;$BB$3,X214/$X$2&gt;$BB$3))</f>
        <v>#VALUE!</v>
      </c>
      <c r="BE214" s="32" t="s">
        <v>84</v>
      </c>
    </row>
    <row r="215" spans="1:57" s="27" customFormat="1" ht="12.75" customHeight="1" x14ac:dyDescent="0.2">
      <c r="A215" s="10">
        <v>414021</v>
      </c>
      <c r="B215" s="2">
        <v>24</v>
      </c>
      <c r="C215" s="10">
        <v>23</v>
      </c>
      <c r="D215" s="10">
        <v>25</v>
      </c>
      <c r="E215" s="10"/>
      <c r="F215" s="10"/>
      <c r="G215" s="10"/>
      <c r="H215" s="10"/>
      <c r="I215" s="10"/>
      <c r="J215" s="2">
        <v>31</v>
      </c>
      <c r="K215" s="10">
        <v>52</v>
      </c>
      <c r="L215" s="10">
        <v>50</v>
      </c>
      <c r="M215" s="10"/>
      <c r="N215" s="10"/>
      <c r="O215" s="12"/>
      <c r="P215" s="7">
        <v>101</v>
      </c>
      <c r="Q215" s="7"/>
      <c r="R215" s="2"/>
      <c r="S215" s="10"/>
      <c r="T215" s="13"/>
      <c r="U215" s="77">
        <f t="array" ref="U215">IF(AND(A215&lt;&gt;"",OR(ISNUMBER(B215:I215))),SUM(B215:I215),"")</f>
        <v>72</v>
      </c>
      <c r="V215" s="10">
        <f t="array" ref="V215">IF(AND(A215&lt;&gt;"",OR(ISNUMBER(J215:O215))),SUM(J215:O215),"")</f>
        <v>133</v>
      </c>
      <c r="W215" s="10">
        <f t="array" ref="W215">IF(AND(A215&lt;&gt;"",OR(ISNUMBER(P215),ISNUMBER(Q215))),SUM(MAX(P215:Q215),Q215),"")</f>
        <v>101</v>
      </c>
      <c r="X215" s="10" t="str">
        <f t="array" ref="X215">IF(AND(A215&lt;&gt;"",OR(ISNUMBER(S215),ISNUMBER(T215))),SUM(S215,T215),"")</f>
        <v/>
      </c>
      <c r="Y215" s="13">
        <v>1</v>
      </c>
      <c r="Z215" s="13">
        <f>IF(A215&lt;&gt;"",SUM(U215:Y215),"")</f>
        <v>307</v>
      </c>
      <c r="AA215" s="27">
        <f>IF(A215&lt;&gt;"",(Z215+Normalize_To_Add)/(Point_Total_So_Far)*100,"")</f>
        <v>100.65573770491802</v>
      </c>
      <c r="AB215" s="10">
        <f>IF(A215&lt;&gt;"",RANK(AA215,All_Student_XC),"")</f>
        <v>72</v>
      </c>
      <c r="AC215" s="32" t="str">
        <f>IF(A215&lt;&gt;"",CHOOSE(10-MIN(9,TRUNC((AA215+0.5)/10)),"A","B","C","D","F","F","F","F","F","F"),"")</f>
        <v>A</v>
      </c>
      <c r="AD215" s="32" t="str">
        <f>IF(A215&lt;&gt;"",IF(OR(AA215+0.5&gt;=93,AA215+0.5&lt;60),"",IF(MOD(AA215+0.5,10)&gt;=7,"+",IF(MOD(AA215+0.5,10)&lt;3,"-",""))),"")</f>
        <v/>
      </c>
      <c r="AE215" s="32">
        <f>IF(A215&lt;&gt;"",SUM(W215:X215,$W$8:$X$8)/SUM($W$2:$X$2)*100,"")</f>
        <v>101</v>
      </c>
      <c r="AF215" s="32" t="str">
        <f>IF(A215&lt;&gt;"",CHOOSE(10-MIN(9,TRUNC((AE215+0.5)/10)),"A","B","C","D","F","F","F","F","F","F"),"")</f>
        <v>A</v>
      </c>
      <c r="AG215" s="32" t="str">
        <f>IF(A215&lt;&gt;"",IF(OR(AE215+0.5&gt;=93,AE215+0.5&lt;60),"",IF(MOD(AE215+0.5,10)&gt;=7,"+",IF(MOD(AE215+0.5,10)&lt;3,"-",""))),"")</f>
        <v/>
      </c>
      <c r="AH215" s="36">
        <f>IF(A215&lt;&gt;"",MIN(MAX(AA215,AE215),AA215+$AH$8,AE215+$AH$8),"")</f>
        <v>101</v>
      </c>
      <c r="AI215" s="32" t="str">
        <f>IF(A215&lt;&gt;"",CHOOSE(10-MIN(9,TRUNC((AH215+0.5)/10)),"A","B","C","D","F","F","F","F","F","F"),"")</f>
        <v>A</v>
      </c>
      <c r="AJ215" s="32" t="str">
        <f>IF(A215&lt;&gt;"",IF(OR(AH215+0.5&gt;=93,AH215+0.5&lt;60),"",IF(MOD(AH215+0.5,10)&gt;=7,"+",IF(MOD(AH215+0.5,10)&lt;3,"-",""))),"")</f>
        <v/>
      </c>
      <c r="AK215" s="32" t="b">
        <f>IF(A215&lt;&gt;"",OR(AI215&lt;&gt;AC215,AJ215&lt;&gt;AD215),"")</f>
        <v>0</v>
      </c>
      <c r="AL215" s="84">
        <f>IF(AND(A215&lt;&gt;"",U215&lt;&gt;""),SUM(U215,$AL$8)/$AL$2*100,"")</f>
        <v>96</v>
      </c>
      <c r="AM215" s="24">
        <f>IF(AND(A215&lt;&gt;"",V215&lt;&gt;""),SUM(V215,$AM$8)/$AM$2*100,"")</f>
        <v>102.30769230769229</v>
      </c>
      <c r="AN215" s="24">
        <f>IF(AND(A215&lt;&gt;"",ISNUMBER(P215),P215&gt;=0),SUM(P215,$AN$8)/$AN$2*100,"")</f>
        <v>101</v>
      </c>
      <c r="AO215" s="24" t="str">
        <f>IF(AND(A215&lt;&gt;"",ISNUMBER(Q215),Q215&gt;=0),SUM(Q215,$AO$8)/$AO$2*100,"")</f>
        <v/>
      </c>
      <c r="AP215" s="24" t="str">
        <f>IF(AND(A215&lt;&gt;"",R215&lt;&gt;""),SUM(R215,$AP$8)/$AP$2*100,"")</f>
        <v/>
      </c>
      <c r="AQ215" s="24">
        <f>IF(AND(A215&lt;&gt;"",ISNUMBER(W215),W215&gt;=0),SUM(W215,$AQ$8)/$AQ$2*100,"")</f>
        <v>101</v>
      </c>
      <c r="AR215" s="24" t="str">
        <f>IF(AND(A215&lt;&gt;"",T215&gt;0,ISNUMBER(T215)),SUM(T215,$AR$8)/$AR$2*100,"")</f>
        <v/>
      </c>
      <c r="AS215" s="24" t="str">
        <f>IF(AND(A215&lt;&gt;"",X215&lt;&gt;""),SUM(X215,$AS$8)/$AS$2*100,"")</f>
        <v/>
      </c>
      <c r="AT215" s="89">
        <f>IF(AND(A215&lt;&gt;"",OR(ISNUMBER(W215),ISNUMBER(X215))),SUM(W215:X215,$AT$8)/$AT$2*100,"")</f>
        <v>101</v>
      </c>
      <c r="AU215" s="24">
        <f>AA215</f>
        <v>100.65573770491802</v>
      </c>
      <c r="AV215" s="24"/>
      <c r="AW215" s="27">
        <f>IF(A215&lt;&gt;"",AE215-AA215,"")</f>
        <v>0.34426229508197537</v>
      </c>
      <c r="AY215" s="27" t="b">
        <f>S215&gt;R215</f>
        <v>0</v>
      </c>
      <c r="BA215" s="27" t="e">
        <f>AND(AA215&gt;$BA$3,(W215+$W$8)/$W$2&lt;$BB$3,(X215+$X$8)/$X$2&lt;$BB$3)</f>
        <v>#VALUE!</v>
      </c>
      <c r="BB215" s="27" t="e">
        <f>AND(AA215&lt;$BA$3,AND(W215/$W$2&gt;$BB$3,X215/$X$2&gt;$BB$3))</f>
        <v>#VALUE!</v>
      </c>
      <c r="BC215" s="27" t="e">
        <f>AND(AA215&lt;$BA$3,OR(W215/$W$2&gt;$BB$3,X215/$X$2&gt;$BB$3))</f>
        <v>#VALUE!</v>
      </c>
      <c r="BE215" s="32" t="s">
        <v>84</v>
      </c>
    </row>
    <row r="216" spans="1:57" s="27" customFormat="1" ht="12.75" customHeight="1" x14ac:dyDescent="0.2">
      <c r="A216" s="56">
        <v>418443</v>
      </c>
      <c r="B216" s="2">
        <v>24</v>
      </c>
      <c r="C216" s="10">
        <v>24</v>
      </c>
      <c r="D216" s="10">
        <v>25</v>
      </c>
      <c r="E216" s="10"/>
      <c r="F216" s="10"/>
      <c r="G216" s="10"/>
      <c r="H216" s="10"/>
      <c r="I216" s="10"/>
      <c r="J216" s="2">
        <v>32</v>
      </c>
      <c r="K216" s="10">
        <v>52</v>
      </c>
      <c r="L216" s="10">
        <v>52</v>
      </c>
      <c r="M216" s="10"/>
      <c r="N216" s="93"/>
      <c r="O216" s="13"/>
      <c r="P216" s="10">
        <v>101</v>
      </c>
      <c r="Q216" s="10"/>
      <c r="R216" s="2"/>
      <c r="S216" s="10"/>
      <c r="T216" s="13"/>
      <c r="U216" s="1">
        <f t="array" ref="U216">IF(AND(A216&lt;&gt;"",OR(ISNUMBER(B216:I216))),SUM(B216:I216),"")</f>
        <v>73</v>
      </c>
      <c r="V216" s="10">
        <f t="array" ref="V216">IF(AND(A216&lt;&gt;"",OR(ISNUMBER(J216:O216))),SUM(J216:O216),"")</f>
        <v>136</v>
      </c>
      <c r="W216" s="10">
        <f t="array" ref="W216">IF(AND(A216&lt;&gt;"",OR(ISNUMBER(P216),ISNUMBER(Q216))),SUM(MAX(P216:Q216),Q216),"")</f>
        <v>101</v>
      </c>
      <c r="X216" s="10" t="str">
        <f t="array" ref="X216">IF(AND(A216&lt;&gt;"",OR(ISNUMBER(S216),ISNUMBER(T216))),SUM(S216,T216),"")</f>
        <v/>
      </c>
      <c r="Y216" s="13">
        <v>1</v>
      </c>
      <c r="Z216" s="13">
        <f>IF(A216&lt;&gt;"",SUM(U216:Y216),"")</f>
        <v>311</v>
      </c>
      <c r="AA216" s="27">
        <f>IF(A216&lt;&gt;"",(Z216+Normalize_To_Add)/(Point_Total_So_Far)*100,"")</f>
        <v>101.9672131147541</v>
      </c>
      <c r="AB216" s="10">
        <f>IF(A216&lt;&gt;"",RANK(AA216,All_Student_XC),"")</f>
        <v>7</v>
      </c>
      <c r="AC216" s="32" t="str">
        <f>IF(A216&lt;&gt;"",CHOOSE(10-MIN(9,TRUNC((AA216+0.5)/10)),"A","B","C","D","F","F","F","F","F","F"),"")</f>
        <v>A</v>
      </c>
      <c r="AD216" s="31" t="str">
        <f>IF(A216&lt;&gt;"",IF(OR(AA216+0.5&gt;=93,AA216+0.5&lt;60),"",IF(MOD(AA216+0.5,10)&gt;=7,"+",IF(MOD(AA216+0.5,10)&lt;3,"-",""))),"")</f>
        <v/>
      </c>
      <c r="AE216" s="32">
        <f>IF(A216&lt;&gt;"",SUM(W216:X216,$W$8:$X$8)/SUM($W$2:$X$2)*100,"")</f>
        <v>101</v>
      </c>
      <c r="AF216" s="32" t="str">
        <f>IF(A216&lt;&gt;"",CHOOSE(10-MIN(9,TRUNC((AE216+0.5)/10)),"A","B","C","D","F","F","F","F","F","F"),"")</f>
        <v>A</v>
      </c>
      <c r="AG216" s="32" t="str">
        <f>IF(A216&lt;&gt;"",IF(OR(AE216+0.5&gt;=93,AE216+0.5&lt;60),"",IF(MOD(AE216+0.5,10)&gt;=7,"+",IF(MOD(AE216+0.5,10)&lt;3,"-",""))),"")</f>
        <v/>
      </c>
      <c r="AH216" s="36">
        <f>IF(A216&lt;&gt;"",MIN(MAX(AA216,AE216),AA216+$AH$8,AE216+$AH$8),"")</f>
        <v>101.9672131147541</v>
      </c>
      <c r="AI216" s="32" t="str">
        <f>IF(A216&lt;&gt;"",CHOOSE(10-MIN(9,TRUNC((AH216+0.5)/10)),"A","B","C","D","F","F","F","F","F","F"),"")</f>
        <v>A</v>
      </c>
      <c r="AJ216" s="32" t="str">
        <f>IF(A216&lt;&gt;"",IF(OR(AH216+0.5&gt;=93,AH216+0.5&lt;60),"",IF(MOD(AH216+0.5,10)&gt;=7,"+",IF(MOD(AH216+0.5,10)&lt;3,"-",""))),"")</f>
        <v/>
      </c>
      <c r="AK216" s="71" t="b">
        <f>IF(A216&lt;&gt;"",OR(AI216&lt;&gt;AC216,AJ216&lt;&gt;AD216),"")</f>
        <v>0</v>
      </c>
      <c r="AL216" s="86">
        <f>IF(AND(A216&lt;&gt;"",U216&lt;&gt;""),SUM(U216,$AL$8)/$AL$2*100,"")</f>
        <v>97.333333333333343</v>
      </c>
      <c r="AM216" s="71">
        <f>IF(AND(A216&lt;&gt;"",V216&lt;&gt;""),SUM(V216,$AM$8)/$AM$2*100,"")</f>
        <v>104.61538461538463</v>
      </c>
      <c r="AN216" s="71">
        <f>IF(AND(A216&lt;&gt;"",ISNUMBER(P216),P216&gt;=0),SUM(P216,$AN$8)/$AN$2*100,"")</f>
        <v>101</v>
      </c>
      <c r="AO216" s="71" t="str">
        <f>IF(AND(A216&lt;&gt;"",ISNUMBER(Q216),Q216&gt;=0),SUM(Q216,$AO$8)/$AO$2*100,"")</f>
        <v/>
      </c>
      <c r="AP216" s="24" t="str">
        <f>IF(AND(A216&lt;&gt;"",R216&lt;&gt;""),SUM(R216,$AP$8)/$AP$2*100,"")</f>
        <v/>
      </c>
      <c r="AQ216" s="24">
        <f>IF(AND(A216&lt;&gt;"",ISNUMBER(W216),W216&gt;=0),SUM(W216,$AQ$8)/$AQ$2*100,"")</f>
        <v>101</v>
      </c>
      <c r="AR216" s="24" t="str">
        <f>IF(AND(A216&lt;&gt;"",T216&gt;0,ISNUMBER(T216)),SUM(T216,$AR$8)/$AR$2*100,"")</f>
        <v/>
      </c>
      <c r="AS216" s="24" t="str">
        <f>IF(AND(A216&lt;&gt;"",X216&lt;&gt;""),SUM(X216,$AS$8)/$AS$2*100,"")</f>
        <v/>
      </c>
      <c r="AT216" s="89">
        <f>IF(AND(A216&lt;&gt;"",OR(ISNUMBER(W216),ISNUMBER(X216))),SUM(W216:X216,$AT$8)/$AT$2*100,"")</f>
        <v>101</v>
      </c>
      <c r="AU216" s="24">
        <f>AA216</f>
        <v>101.9672131147541</v>
      </c>
      <c r="AV216" s="71"/>
      <c r="AW216" s="27">
        <f>IF(A216&lt;&gt;"",AE216-AA216,"")</f>
        <v>-0.96721311475410232</v>
      </c>
      <c r="AY216" s="27" t="b">
        <f>S216&gt;R216</f>
        <v>0</v>
      </c>
      <c r="BA216" s="27" t="e">
        <f>AND(AA216&gt;$BA$3,(W216+$W$8)/$W$2&lt;$BB$3,(X216+$X$8)/$X$2&lt;$BB$3)</f>
        <v>#VALUE!</v>
      </c>
      <c r="BB216" s="27" t="e">
        <f>AND(AA216&lt;$BA$3,AND(W216/$W$2&gt;$BB$3,X216/$X$2&gt;$BB$3))</f>
        <v>#VALUE!</v>
      </c>
      <c r="BC216" s="27" t="e">
        <f>AND(AA216&lt;$BA$3,OR(W216/$W$2&gt;$BB$3,X216/$X$2&gt;$BB$3))</f>
        <v>#VALUE!</v>
      </c>
      <c r="BE216" s="32" t="s">
        <v>84</v>
      </c>
    </row>
    <row r="217" spans="1:57" s="27" customFormat="1" ht="12.75" customHeight="1" x14ac:dyDescent="0.2">
      <c r="A217" s="56">
        <v>419175</v>
      </c>
      <c r="B217" s="2">
        <v>11</v>
      </c>
      <c r="C217" s="10">
        <v>20</v>
      </c>
      <c r="D217" s="10">
        <v>25</v>
      </c>
      <c r="E217" s="10"/>
      <c r="F217" s="10"/>
      <c r="G217" s="3"/>
      <c r="H217" s="10"/>
      <c r="I217" s="10"/>
      <c r="J217" s="2">
        <v>10</v>
      </c>
      <c r="K217" s="10">
        <v>52</v>
      </c>
      <c r="L217" s="10">
        <v>52</v>
      </c>
      <c r="M217" s="10"/>
      <c r="N217" s="93"/>
      <c r="O217" s="12"/>
      <c r="P217" s="10">
        <v>80</v>
      </c>
      <c r="Q217" s="41"/>
      <c r="R217" s="2"/>
      <c r="S217" s="10"/>
      <c r="T217" s="13"/>
      <c r="U217" s="1">
        <f t="array" ref="U217">IF(AND(A217&lt;&gt;"",OR(ISNUMBER(B217:I217))),SUM(B217:I217),"")</f>
        <v>56</v>
      </c>
      <c r="V217" s="10">
        <f t="array" ref="V217">IF(AND(A217&lt;&gt;"",OR(ISNUMBER(J217:O217))),SUM(J217:O217),"")</f>
        <v>114</v>
      </c>
      <c r="W217" s="10">
        <f t="array" ref="W217">IF(AND(A217&lt;&gt;"",OR(ISNUMBER(P217),ISNUMBER(Q217))),SUM(MAX(P217:Q217),Q217),"")</f>
        <v>80</v>
      </c>
      <c r="X217" s="10" t="str">
        <f t="array" ref="X217">IF(AND(A217&lt;&gt;"",OR(ISNUMBER(S217),ISNUMBER(T217))),SUM(S217,T217),"")</f>
        <v/>
      </c>
      <c r="Y217" s="13">
        <v>1</v>
      </c>
      <c r="Z217" s="13">
        <f>IF(A217&lt;&gt;"",SUM(U217:Y217),"")</f>
        <v>251</v>
      </c>
      <c r="AA217" s="27">
        <f>IF(A217&lt;&gt;"",(Z217+Normalize_To_Add)/(Point_Total_So_Far)*100,"")</f>
        <v>82.295081967213108</v>
      </c>
      <c r="AB217" s="10">
        <f>IF(A217&lt;&gt;"",RANK(AA217,All_Student_XC),"")</f>
        <v>395</v>
      </c>
      <c r="AC217" s="32" t="str">
        <f>IF(A217&lt;&gt;"",CHOOSE(10-MIN(9,TRUNC((AA217+0.5)/10)),"A","B","C","D","F","F","F","F","F","F"),"")</f>
        <v>B</v>
      </c>
      <c r="AD217" s="32" t="str">
        <f>IF(A217&lt;&gt;"",IF(OR(AA217+0.5&gt;=93,AA217+0.5&lt;60),"",IF(MOD(AA217+0.5,10)&gt;=7,"+",IF(MOD(AA217+0.5,10)&lt;3,"-",""))),"")</f>
        <v>-</v>
      </c>
      <c r="AE217" s="32">
        <f>IF(A217&lt;&gt;"",SUM(W217:X217,$W$8:$X$8)/SUM($W$2:$X$2)*100,"")</f>
        <v>80</v>
      </c>
      <c r="AF217" s="32" t="str">
        <f>IF(A217&lt;&gt;"",CHOOSE(10-MIN(9,TRUNC((AE217+0.5)/10)),"A","B","C","D","F","F","F","F","F","F"),"")</f>
        <v>B</v>
      </c>
      <c r="AG217" s="32" t="str">
        <f>IF(A217&lt;&gt;"",IF(OR(AE217+0.5&gt;=93,AE217+0.5&lt;60),"",IF(MOD(AE217+0.5,10)&gt;=7,"+",IF(MOD(AE217+0.5,10)&lt;3,"-",""))),"")</f>
        <v>-</v>
      </c>
      <c r="AH217" s="36">
        <f>IF(A217&lt;&gt;"",MIN(MAX(AA217,AE217),AA217+$AH$8,AE217+$AH$8),"")</f>
        <v>82.295081967213108</v>
      </c>
      <c r="AI217" s="32" t="str">
        <f>IF(A217&lt;&gt;"",CHOOSE(10-MIN(9,TRUNC((AH217+0.5)/10)),"A","B","C","D","F","F","F","F","F","F"),"")</f>
        <v>B</v>
      </c>
      <c r="AJ217" s="32" t="str">
        <f>IF(A217&lt;&gt;"",IF(OR(AH217+0.5&gt;=93,AH217+0.5&lt;60),"",IF(MOD(AH217+0.5,10)&gt;=7,"+",IF(MOD(AH217+0.5,10)&lt;3,"-",""))),"")</f>
        <v>-</v>
      </c>
      <c r="AK217" s="32" t="b">
        <f>IF(A217&lt;&gt;"",OR(AI217&lt;&gt;AC217,AJ217&lt;&gt;AD217),"")</f>
        <v>0</v>
      </c>
      <c r="AL217" s="84">
        <f>IF(AND(A217&lt;&gt;"",U217&lt;&gt;""),SUM(U217,$AL$8)/$AL$2*100,"")</f>
        <v>74.666666666666671</v>
      </c>
      <c r="AM217" s="24">
        <f>IF(AND(A217&lt;&gt;"",V217&lt;&gt;""),SUM(V217,$AM$8)/$AM$2*100,"")</f>
        <v>87.692307692307693</v>
      </c>
      <c r="AN217" s="24">
        <f>IF(AND(A217&lt;&gt;"",ISNUMBER(P217),P217&gt;=0),SUM(P217,$AN$8)/$AN$2*100,"")</f>
        <v>80</v>
      </c>
      <c r="AO217" s="24" t="str">
        <f>IF(AND(A217&lt;&gt;"",ISNUMBER(Q217),Q217&gt;=0),SUM(Q217,$AO$8)/$AO$2*100,"")</f>
        <v/>
      </c>
      <c r="AP217" s="24" t="str">
        <f>IF(AND(A217&lt;&gt;"",R217&lt;&gt;""),SUM(R217,$AP$8)/$AP$2*100,"")</f>
        <v/>
      </c>
      <c r="AQ217" s="24">
        <f>IF(AND(A217&lt;&gt;"",ISNUMBER(W217),W217&gt;=0),SUM(W217,$AQ$8)/$AQ$2*100,"")</f>
        <v>80</v>
      </c>
      <c r="AR217" s="24" t="str">
        <f>IF(AND(A217&lt;&gt;"",T217&gt;0,ISNUMBER(T217)),SUM(T217,$AR$8)/$AR$2*100,"")</f>
        <v/>
      </c>
      <c r="AS217" s="24" t="str">
        <f>IF(AND(A217&lt;&gt;"",X217&lt;&gt;""),SUM(X217,$AS$8)/$AS$2*100,"")</f>
        <v/>
      </c>
      <c r="AT217" s="89">
        <f>IF(AND(A217&lt;&gt;"",OR(ISNUMBER(W217),ISNUMBER(X217))),SUM(W217:X217,$AT$8)/$AT$2*100,"")</f>
        <v>80</v>
      </c>
      <c r="AU217" s="24">
        <f>AA217</f>
        <v>82.295081967213108</v>
      </c>
      <c r="AV217" s="24"/>
      <c r="AW217" s="27">
        <f>IF(A217&lt;&gt;"",AE217-AA217,"")</f>
        <v>-2.2950819672131075</v>
      </c>
      <c r="AY217" s="27" t="b">
        <f>S217&gt;R217</f>
        <v>0</v>
      </c>
      <c r="BA217" s="27" t="e">
        <f>AND(AA217&gt;$BA$3,(W217+$W$8)/$W$2&lt;$BB$3,(X217+$X$8)/$X$2&lt;$BB$3)</f>
        <v>#VALUE!</v>
      </c>
      <c r="BB217" s="27" t="e">
        <f>AND(AA217&lt;$BA$3,AND(W217/$W$2&gt;$BB$3,X217/$X$2&gt;$BB$3))</f>
        <v>#VALUE!</v>
      </c>
      <c r="BC217" s="27" t="e">
        <f>AND(AA217&lt;$BA$3,OR(W217/$W$2&gt;$BB$3,X217/$X$2&gt;$BB$3))</f>
        <v>#VALUE!</v>
      </c>
      <c r="BE217" s="32">
        <v>32</v>
      </c>
    </row>
    <row r="218" spans="1:57" s="27" customFormat="1" ht="12.75" customHeight="1" x14ac:dyDescent="0.2">
      <c r="A218" s="10">
        <v>419211</v>
      </c>
      <c r="B218" s="2">
        <v>21</v>
      </c>
      <c r="C218" s="10">
        <v>23</v>
      </c>
      <c r="D218" s="10">
        <v>25</v>
      </c>
      <c r="E218" s="10"/>
      <c r="F218" s="10"/>
      <c r="G218" s="10"/>
      <c r="H218" s="10"/>
      <c r="I218" s="10"/>
      <c r="J218" s="2">
        <v>28</v>
      </c>
      <c r="K218" s="10">
        <v>52</v>
      </c>
      <c r="L218" s="10">
        <v>52</v>
      </c>
      <c r="M218" s="10"/>
      <c r="N218" s="93"/>
      <c r="O218" s="12"/>
      <c r="P218" s="10">
        <v>101</v>
      </c>
      <c r="Q218" s="41"/>
      <c r="R218" s="2"/>
      <c r="S218" s="10"/>
      <c r="T218" s="13"/>
      <c r="U218" s="1">
        <f t="array" ref="U218">IF(AND(A218&lt;&gt;"",OR(ISNUMBER(B218:I218))),SUM(B218:I218),"")</f>
        <v>69</v>
      </c>
      <c r="V218" s="10">
        <f t="array" ref="V218">IF(AND(A218&lt;&gt;"",OR(ISNUMBER(J218:O218))),SUM(J218:O218),"")</f>
        <v>132</v>
      </c>
      <c r="W218" s="10">
        <f t="array" ref="W218">IF(AND(A218&lt;&gt;"",OR(ISNUMBER(P218),ISNUMBER(Q218))),SUM(MAX(P218:Q218),Q218),"")</f>
        <v>101</v>
      </c>
      <c r="X218" s="10" t="str">
        <f t="array" ref="X218">IF(AND(A218&lt;&gt;"",OR(ISNUMBER(S218),ISNUMBER(T218))),SUM(S218,T218),"")</f>
        <v/>
      </c>
      <c r="Y218" s="13">
        <v>1</v>
      </c>
      <c r="Z218" s="13">
        <f>IF(A218&lt;&gt;"",SUM(U218:Y218),"")</f>
        <v>303</v>
      </c>
      <c r="AA218" s="27">
        <f>IF(A218&lt;&gt;"",(Z218+Normalize_To_Add)/(Point_Total_So_Far)*100,"")</f>
        <v>99.344262295081961</v>
      </c>
      <c r="AB218" s="10">
        <f>IF(A218&lt;&gt;"",RANK(AA218,All_Student_XC),"")</f>
        <v>145</v>
      </c>
      <c r="AC218" s="32" t="str">
        <f>IF(A218&lt;&gt;"",CHOOSE(10-MIN(9,TRUNC((AA218+0.5)/10)),"A","B","C","D","F","F","F","F","F","F"),"")</f>
        <v>A</v>
      </c>
      <c r="AD218" s="32" t="str">
        <f>IF(A218&lt;&gt;"",IF(OR(AA218+0.5&gt;=93,AA218+0.5&lt;60),"",IF(MOD(AA218+0.5,10)&gt;=7,"+",IF(MOD(AA218+0.5,10)&lt;3,"-",""))),"")</f>
        <v/>
      </c>
      <c r="AE218" s="32">
        <f>IF(A218&lt;&gt;"",SUM(W218:X218,$W$8:$X$8)/SUM($W$2:$X$2)*100,"")</f>
        <v>101</v>
      </c>
      <c r="AF218" s="32" t="str">
        <f>IF(A218&lt;&gt;"",CHOOSE(10-MIN(9,TRUNC((AE218+0.5)/10)),"A","B","C","D","F","F","F","F","F","F"),"")</f>
        <v>A</v>
      </c>
      <c r="AG218" s="32" t="str">
        <f>IF(A218&lt;&gt;"",IF(OR(AE218+0.5&gt;=93,AE218+0.5&lt;60),"",IF(MOD(AE218+0.5,10)&gt;=7,"+",IF(MOD(AE218+0.5,10)&lt;3,"-",""))),"")</f>
        <v/>
      </c>
      <c r="AH218" s="36">
        <f>IF(A218&lt;&gt;"",MIN(MAX(AA218,AE218),AA218+$AH$8,AE218+$AH$8),"")</f>
        <v>101</v>
      </c>
      <c r="AI218" s="32" t="str">
        <f>IF(A218&lt;&gt;"",CHOOSE(10-MIN(9,TRUNC((AH218+0.5)/10)),"A","B","C","D","F","F","F","F","F","F"),"")</f>
        <v>A</v>
      </c>
      <c r="AJ218" s="32" t="str">
        <f>IF(A218&lt;&gt;"",IF(OR(AH218+0.5&gt;=93,AH218+0.5&lt;60),"",IF(MOD(AH218+0.5,10)&gt;=7,"+",IF(MOD(AH218+0.5,10)&lt;3,"-",""))),"")</f>
        <v/>
      </c>
      <c r="AK218" s="32" t="b">
        <f>IF(A218&lt;&gt;"",OR(AI218&lt;&gt;AC218,AJ218&lt;&gt;AD218),"")</f>
        <v>0</v>
      </c>
      <c r="AL218" s="84">
        <f>IF(AND(A218&lt;&gt;"",U218&lt;&gt;""),SUM(U218,$AL$8)/$AL$2*100,"")</f>
        <v>92</v>
      </c>
      <c r="AM218" s="24">
        <f>IF(AND(A218&lt;&gt;"",V218&lt;&gt;""),SUM(V218,$AM$8)/$AM$2*100,"")</f>
        <v>101.53846153846153</v>
      </c>
      <c r="AN218" s="24">
        <f>IF(AND(A218&lt;&gt;"",ISNUMBER(P218),P218&gt;=0),SUM(P218,$AN$8)/$AN$2*100,"")</f>
        <v>101</v>
      </c>
      <c r="AO218" s="24" t="str">
        <f>IF(AND(A218&lt;&gt;"",ISNUMBER(Q218),Q218&gt;=0),SUM(Q218,$AO$8)/$AO$2*100,"")</f>
        <v/>
      </c>
      <c r="AP218" s="24" t="str">
        <f>IF(AND(A218&lt;&gt;"",R218&lt;&gt;""),SUM(R218,$AP$8)/$AP$2*100,"")</f>
        <v/>
      </c>
      <c r="AQ218" s="24">
        <f>IF(AND(A218&lt;&gt;"",ISNUMBER(W218),W218&gt;=0),SUM(W218,$AQ$8)/$AQ$2*100,"")</f>
        <v>101</v>
      </c>
      <c r="AR218" s="24" t="str">
        <f>IF(AND(A218&lt;&gt;"",T218&gt;0,ISNUMBER(T218)),SUM(T218,$AR$8)/$AR$2*100,"")</f>
        <v/>
      </c>
      <c r="AS218" s="24" t="str">
        <f>IF(AND(A218&lt;&gt;"",X218&lt;&gt;""),SUM(X218,$AS$8)/$AS$2*100,"")</f>
        <v/>
      </c>
      <c r="AT218" s="89">
        <f>IF(AND(A218&lt;&gt;"",OR(ISNUMBER(W218),ISNUMBER(X218))),SUM(W218:X218,$AT$8)/$AT$2*100,"")</f>
        <v>101</v>
      </c>
      <c r="AU218" s="24">
        <f>AA218</f>
        <v>99.344262295081961</v>
      </c>
      <c r="AV218" s="24"/>
      <c r="AW218" s="27">
        <f>IF(A218&lt;&gt;"",AE218-AA218,"")</f>
        <v>1.6557377049180388</v>
      </c>
      <c r="AY218" s="27" t="b">
        <f>S218&gt;R218</f>
        <v>0</v>
      </c>
      <c r="BA218" s="27" t="e">
        <f>AND(AA218&gt;$BA$3,(W218+$W$8)/$W$2&lt;$BB$3,(X218+$X$8)/$X$2&lt;$BB$3)</f>
        <v>#VALUE!</v>
      </c>
      <c r="BB218" s="27" t="e">
        <f>AND(AA218&lt;$BA$3,AND(W218/$W$2&gt;$BB$3,X218/$X$2&gt;$BB$3))</f>
        <v>#VALUE!</v>
      </c>
      <c r="BC218" s="27" t="e">
        <f>AND(AA218&lt;$BA$3,OR(W218/$W$2&gt;$BB$3,X218/$X$2&gt;$BB$3))</f>
        <v>#VALUE!</v>
      </c>
      <c r="BE218" s="32" t="s">
        <v>84</v>
      </c>
    </row>
    <row r="219" spans="1:57" s="27" customFormat="1" ht="12.75" customHeight="1" x14ac:dyDescent="0.2">
      <c r="A219" s="10">
        <v>419952</v>
      </c>
      <c r="B219" s="2">
        <v>18</v>
      </c>
      <c r="C219" s="10">
        <v>23</v>
      </c>
      <c r="D219" s="10">
        <v>25</v>
      </c>
      <c r="E219" s="10"/>
      <c r="F219" s="10"/>
      <c r="G219" s="10"/>
      <c r="H219" s="10"/>
      <c r="I219" s="10"/>
      <c r="J219" s="2">
        <v>28</v>
      </c>
      <c r="K219" s="10">
        <v>26</v>
      </c>
      <c r="L219" s="10">
        <v>0</v>
      </c>
      <c r="M219" s="10"/>
      <c r="N219" s="93"/>
      <c r="O219" s="13"/>
      <c r="P219" s="10">
        <v>101</v>
      </c>
      <c r="Q219" s="10"/>
      <c r="R219" s="2"/>
      <c r="S219" s="10"/>
      <c r="T219" s="13"/>
      <c r="U219" s="7">
        <f t="array" ref="U219">IF(AND(A219&lt;&gt;"",OR(ISNUMBER(B219:I219))),SUM(B219:I219),"")</f>
        <v>66</v>
      </c>
      <c r="V219" s="10">
        <f t="array" ref="V219">IF(AND(A219&lt;&gt;"",OR(ISNUMBER(J219:O219))),SUM(J219:O219),"")</f>
        <v>54</v>
      </c>
      <c r="W219" s="10">
        <f t="array" ref="W219">IF(AND(A219&lt;&gt;"",OR(ISNUMBER(P219),ISNUMBER(Q219))),SUM(MAX(P219:Q219),Q219),"")</f>
        <v>101</v>
      </c>
      <c r="X219" s="10" t="str">
        <f t="array" ref="X219">IF(AND(A219&lt;&gt;"",OR(ISNUMBER(S219),ISNUMBER(T219))),SUM(S219,T219),"")</f>
        <v/>
      </c>
      <c r="Y219" s="13">
        <v>1</v>
      </c>
      <c r="Z219" s="13">
        <f>IF(A219&lt;&gt;"",SUM(U219:Y219),"")</f>
        <v>222</v>
      </c>
      <c r="AA219" s="27">
        <f>IF(A219&lt;&gt;"",(Z219+Normalize_To_Add)/(Point_Total_So_Far)*100,"")</f>
        <v>72.786885245901644</v>
      </c>
      <c r="AB219" s="10">
        <f>IF(A219&lt;&gt;"",RANK(AA219,All_Student_XC),"")</f>
        <v>444</v>
      </c>
      <c r="AC219" s="32" t="str">
        <f>IF(A219&lt;&gt;"",CHOOSE(10-MIN(9,TRUNC((AA219+0.5)/10)),"A","B","C","D","F","F","F","F","F","F"),"")</f>
        <v>C</v>
      </c>
      <c r="AD219" s="31" t="str">
        <f>IF(A219&lt;&gt;"",IF(OR(AA219+0.5&gt;=93,AA219+0.5&lt;60),"",IF(MOD(AA219+0.5,10)&gt;=7,"+",IF(MOD(AA219+0.5,10)&lt;3,"-",""))),"")</f>
        <v/>
      </c>
      <c r="AE219" s="32">
        <f>IF(A219&lt;&gt;"",SUM(W219:X219,$W$8:$X$8)/SUM($W$2:$X$2)*100,"")</f>
        <v>101</v>
      </c>
      <c r="AF219" s="32" t="str">
        <f>IF(A219&lt;&gt;"",CHOOSE(10-MIN(9,TRUNC((AE219+0.5)/10)),"A","B","C","D","F","F","F","F","F","F"),"")</f>
        <v>A</v>
      </c>
      <c r="AG219" s="32" t="str">
        <f>IF(A219&lt;&gt;"",IF(OR(AE219+0.5&gt;=93,AE219+0.5&lt;60),"",IF(MOD(AE219+0.5,10)&gt;=7,"+",IF(MOD(AE219+0.5,10)&lt;3,"-",""))),"")</f>
        <v/>
      </c>
      <c r="AH219" s="36">
        <f>IF(A219&lt;&gt;"",MIN(MAX(AA219,AE219),AA219+$AH$8,AE219+$AH$8),"")</f>
        <v>101</v>
      </c>
      <c r="AI219" s="32" t="str">
        <f>IF(A219&lt;&gt;"",CHOOSE(10-MIN(9,TRUNC((AH219+0.5)/10)),"A","B","C","D","F","F","F","F","F","F"),"")</f>
        <v>A</v>
      </c>
      <c r="AJ219" s="32" t="str">
        <f>IF(A219&lt;&gt;"",IF(OR(AH219+0.5&gt;=93,AH219+0.5&lt;60),"",IF(MOD(AH219+0.5,10)&gt;=7,"+",IF(MOD(AH219+0.5,10)&lt;3,"-",""))),"")</f>
        <v/>
      </c>
      <c r="AK219" s="71" t="b">
        <f>IF(A219&lt;&gt;"",OR(AI219&lt;&gt;AC219,AJ219&lt;&gt;AD219),"")</f>
        <v>1</v>
      </c>
      <c r="AL219" s="86">
        <f>IF(AND(A219&lt;&gt;"",U219&lt;&gt;""),SUM(U219,$AL$8)/$AL$2*100,"")</f>
        <v>88</v>
      </c>
      <c r="AM219" s="71">
        <f>IF(AND(A219&lt;&gt;"",V219&lt;&gt;""),SUM(V219,$AM$8)/$AM$2*100,"")</f>
        <v>41.53846153846154</v>
      </c>
      <c r="AN219" s="71">
        <f>IF(AND(A219&lt;&gt;"",ISNUMBER(P219),P219&gt;=0),SUM(P219,$AN$8)/$AN$2*100,"")</f>
        <v>101</v>
      </c>
      <c r="AO219" s="71" t="str">
        <f>IF(AND(A219&lt;&gt;"",ISNUMBER(Q219),Q219&gt;=0),SUM(Q219,$AO$8)/$AO$2*100,"")</f>
        <v/>
      </c>
      <c r="AP219" s="24" t="str">
        <f>IF(AND(A219&lt;&gt;"",R219&lt;&gt;""),SUM(R219,$AP$8)/$AP$2*100,"")</f>
        <v/>
      </c>
      <c r="AQ219" s="24">
        <f>IF(AND(A219&lt;&gt;"",ISNUMBER(W219),W219&gt;=0),SUM(W219,$AQ$8)/$AQ$2*100,"")</f>
        <v>101</v>
      </c>
      <c r="AR219" s="24" t="str">
        <f>IF(AND(A219&lt;&gt;"",T219&gt;0,ISNUMBER(T219)),SUM(T219,$AR$8)/$AR$2*100,"")</f>
        <v/>
      </c>
      <c r="AS219" s="24" t="str">
        <f>IF(AND(A219&lt;&gt;"",X219&lt;&gt;""),SUM(X219,$AS$8)/$AS$2*100,"")</f>
        <v/>
      </c>
      <c r="AT219" s="89">
        <f>IF(AND(A219&lt;&gt;"",OR(ISNUMBER(W219),ISNUMBER(X219))),SUM(W219:X219,$AT$8)/$AT$2*100,"")</f>
        <v>101</v>
      </c>
      <c r="AU219" s="24">
        <f>AA219</f>
        <v>72.786885245901644</v>
      </c>
      <c r="AV219" s="71"/>
      <c r="AW219" s="27">
        <f>IF(A219&lt;&gt;"",AE219-AA219,"")</f>
        <v>28.213114754098356</v>
      </c>
      <c r="AY219" s="27" t="b">
        <f>S219&gt;R219</f>
        <v>0</v>
      </c>
      <c r="BA219" s="27" t="e">
        <f>AND(AA219&gt;$BA$3,(W219+$W$8)/$W$2&lt;$BB$3,(X219+$X$8)/$X$2&lt;$BB$3)</f>
        <v>#VALUE!</v>
      </c>
      <c r="BB219" s="27" t="e">
        <f>AND(AA219&lt;$BA$3,AND(W219/$W$2&gt;$BB$3,X219/$X$2&gt;$BB$3))</f>
        <v>#VALUE!</v>
      </c>
      <c r="BC219" s="27" t="e">
        <f>AND(AA219&lt;$BA$3,OR(W219/$W$2&gt;$BB$3,X219/$X$2&gt;$BB$3))</f>
        <v>#VALUE!</v>
      </c>
      <c r="BE219" s="32" t="s">
        <v>84</v>
      </c>
    </row>
    <row r="220" spans="1:57" s="27" customFormat="1" ht="12.75" customHeight="1" x14ac:dyDescent="0.2">
      <c r="A220" s="10">
        <v>422365</v>
      </c>
      <c r="B220" s="2">
        <v>22</v>
      </c>
      <c r="C220" s="10">
        <v>18</v>
      </c>
      <c r="D220" s="10">
        <v>25</v>
      </c>
      <c r="E220" s="10"/>
      <c r="F220" s="10"/>
      <c r="G220" s="10"/>
      <c r="H220" s="10"/>
      <c r="I220" s="10"/>
      <c r="J220" s="2">
        <v>30</v>
      </c>
      <c r="K220" s="10">
        <v>47</v>
      </c>
      <c r="L220" s="10">
        <v>49</v>
      </c>
      <c r="M220" s="10"/>
      <c r="N220" s="93"/>
      <c r="O220" s="13"/>
      <c r="P220" s="10">
        <v>100</v>
      </c>
      <c r="Q220" s="10"/>
      <c r="R220" s="2"/>
      <c r="S220" s="10"/>
      <c r="T220" s="13"/>
      <c r="U220" s="7">
        <f t="array" ref="U220">IF(AND(A220&lt;&gt;"",OR(ISNUMBER(B220:I220))),SUM(B220:I220),"")</f>
        <v>65</v>
      </c>
      <c r="V220" s="10">
        <f t="array" ref="V220">IF(AND(A220&lt;&gt;"",OR(ISNUMBER(J220:O220))),SUM(J220:O220),"")</f>
        <v>126</v>
      </c>
      <c r="W220" s="10">
        <f t="array" ref="W220">IF(AND(A220&lt;&gt;"",OR(ISNUMBER(P220),ISNUMBER(Q220))),SUM(MAX(P220:Q220),Q220),"")</f>
        <v>100</v>
      </c>
      <c r="X220" s="10" t="str">
        <f t="array" ref="X220">IF(AND(A220&lt;&gt;"",OR(ISNUMBER(S220),ISNUMBER(T220))),SUM(S220,T220),"")</f>
        <v/>
      </c>
      <c r="Y220" s="13">
        <v>1</v>
      </c>
      <c r="Z220" s="13">
        <f>IF(A220&lt;&gt;"",SUM(U220:Y220),"")</f>
        <v>292</v>
      </c>
      <c r="AA220" s="27">
        <f>IF(A220&lt;&gt;"",(Z220+Normalize_To_Add)/(Point_Total_So_Far)*100,"")</f>
        <v>95.73770491803279</v>
      </c>
      <c r="AB220" s="10">
        <f>IF(A220&lt;&gt;"",RANK(AA220,All_Student_XC),"")</f>
        <v>261</v>
      </c>
      <c r="AC220" s="32" t="str">
        <f>IF(A220&lt;&gt;"",CHOOSE(10-MIN(9,TRUNC((AA220+0.5)/10)),"A","B","C","D","F","F","F","F","F","F"),"")</f>
        <v>A</v>
      </c>
      <c r="AD220" s="31" t="str">
        <f>IF(A220&lt;&gt;"",IF(OR(AA220+0.5&gt;=93,AA220+0.5&lt;60),"",IF(MOD(AA220+0.5,10)&gt;=7,"+",IF(MOD(AA220+0.5,10)&lt;3,"-",""))),"")</f>
        <v/>
      </c>
      <c r="AE220" s="32">
        <f>IF(A220&lt;&gt;"",SUM(W220:X220,$W$8:$X$8)/SUM($W$2:$X$2)*100,"")</f>
        <v>100</v>
      </c>
      <c r="AF220" s="32" t="str">
        <f>IF(A220&lt;&gt;"",CHOOSE(10-MIN(9,TRUNC((AE220+0.5)/10)),"A","B","C","D","F","F","F","F","F","F"),"")</f>
        <v>A</v>
      </c>
      <c r="AG220" s="32" t="str">
        <f>IF(A220&lt;&gt;"",IF(OR(AE220+0.5&gt;=93,AE220+0.5&lt;60),"",IF(MOD(AE220+0.5,10)&gt;=7,"+",IF(MOD(AE220+0.5,10)&lt;3,"-",""))),"")</f>
        <v/>
      </c>
      <c r="AH220" s="36">
        <f>IF(A220&lt;&gt;"",MIN(MAX(AA220,AE220),AA220+$AH$8,AE220+$AH$8),"")</f>
        <v>100</v>
      </c>
      <c r="AI220" s="32" t="str">
        <f>IF(A220&lt;&gt;"",CHOOSE(10-MIN(9,TRUNC((AH220+0.5)/10)),"A","B","C","D","F","F","F","F","F","F"),"")</f>
        <v>A</v>
      </c>
      <c r="AJ220" s="32" t="str">
        <f>IF(A220&lt;&gt;"",IF(OR(AH220+0.5&gt;=93,AH220+0.5&lt;60),"",IF(MOD(AH220+0.5,10)&gt;=7,"+",IF(MOD(AH220+0.5,10)&lt;3,"-",""))),"")</f>
        <v/>
      </c>
      <c r="AK220" s="71" t="b">
        <f>IF(A220&lt;&gt;"",OR(AI220&lt;&gt;AC220,AJ220&lt;&gt;AD220),"")</f>
        <v>0</v>
      </c>
      <c r="AL220" s="86">
        <f>IF(AND(A220&lt;&gt;"",U220&lt;&gt;""),SUM(U220,$AL$8)/$AL$2*100,"")</f>
        <v>86.666666666666671</v>
      </c>
      <c r="AM220" s="71">
        <f>IF(AND(A220&lt;&gt;"",V220&lt;&gt;""),SUM(V220,$AM$8)/$AM$2*100,"")</f>
        <v>96.92307692307692</v>
      </c>
      <c r="AN220" s="71">
        <f>IF(AND(A220&lt;&gt;"",ISNUMBER(P220),P220&gt;=0),SUM(P220,$AN$8)/$AN$2*100,"")</f>
        <v>100</v>
      </c>
      <c r="AO220" s="71" t="str">
        <f>IF(AND(A220&lt;&gt;"",ISNUMBER(Q220),Q220&gt;=0),SUM(Q220,$AO$8)/$AO$2*100,"")</f>
        <v/>
      </c>
      <c r="AP220" s="24" t="str">
        <f>IF(AND(A220&lt;&gt;"",R220&lt;&gt;""),SUM(R220,$AP$8)/$AP$2*100,"")</f>
        <v/>
      </c>
      <c r="AQ220" s="24">
        <f>IF(AND(A220&lt;&gt;"",ISNUMBER(W220),W220&gt;=0),SUM(W220,$AQ$8)/$AQ$2*100,"")</f>
        <v>100</v>
      </c>
      <c r="AR220" s="24" t="str">
        <f>IF(AND(A220&lt;&gt;"",T220&gt;0,ISNUMBER(T220)),SUM(T220,$AR$8)/$AR$2*100,"")</f>
        <v/>
      </c>
      <c r="AS220" s="24" t="str">
        <f>IF(AND(A220&lt;&gt;"",X220&lt;&gt;""),SUM(X220,$AS$8)/$AS$2*100,"")</f>
        <v/>
      </c>
      <c r="AT220" s="89">
        <f>IF(AND(A220&lt;&gt;"",OR(ISNUMBER(W220),ISNUMBER(X220))),SUM(W220:X220,$AT$8)/$AT$2*100,"")</f>
        <v>100</v>
      </c>
      <c r="AU220" s="24">
        <f>AA220</f>
        <v>95.73770491803279</v>
      </c>
      <c r="AV220" s="71"/>
      <c r="AW220" s="27">
        <f>IF(A220&lt;&gt;"",AE220-AA220,"")</f>
        <v>4.2622950819672099</v>
      </c>
      <c r="AY220" s="27" t="b">
        <f>S220&gt;R220</f>
        <v>0</v>
      </c>
      <c r="BA220" s="27" t="e">
        <f>AND(AA220&gt;$BA$3,(W220+$W$8)/$W$2&lt;$BB$3,(X220+$X$8)/$X$2&lt;$BB$3)</f>
        <v>#VALUE!</v>
      </c>
      <c r="BB220" s="27" t="e">
        <f>AND(AA220&lt;$BA$3,AND(W220/$W$2&gt;$BB$3,X220/$X$2&gt;$BB$3))</f>
        <v>#VALUE!</v>
      </c>
      <c r="BC220" s="27" t="e">
        <f>AND(AA220&lt;$BA$3,OR(W220/$W$2&gt;$BB$3,X220/$X$2&gt;$BB$3))</f>
        <v>#VALUE!</v>
      </c>
      <c r="BE220" s="32" t="s">
        <v>84</v>
      </c>
    </row>
    <row r="221" spans="1:57" s="27" customFormat="1" ht="12.75" customHeight="1" x14ac:dyDescent="0.2">
      <c r="A221" s="10">
        <v>425881</v>
      </c>
      <c r="B221" s="2">
        <v>8</v>
      </c>
      <c r="C221" s="10">
        <v>21</v>
      </c>
      <c r="D221" s="10">
        <v>22</v>
      </c>
      <c r="E221" s="10"/>
      <c r="F221" s="10"/>
      <c r="G221" s="10"/>
      <c r="H221" s="10"/>
      <c r="I221" s="10"/>
      <c r="J221" s="2">
        <v>17</v>
      </c>
      <c r="K221" s="10">
        <v>44</v>
      </c>
      <c r="L221" s="10">
        <v>26</v>
      </c>
      <c r="M221" s="10"/>
      <c r="N221" s="93"/>
      <c r="O221" s="13"/>
      <c r="P221" s="10">
        <v>20</v>
      </c>
      <c r="Q221" s="10"/>
      <c r="R221" s="2"/>
      <c r="S221" s="10"/>
      <c r="T221" s="13"/>
      <c r="U221" s="1">
        <f t="array" ref="U221">IF(AND(A221&lt;&gt;"",OR(ISNUMBER(B221:I221))),SUM(B221:I221),"")</f>
        <v>51</v>
      </c>
      <c r="V221" s="10">
        <f t="array" ref="V221">IF(AND(A221&lt;&gt;"",OR(ISNUMBER(J221:O221))),SUM(J221:O221),"")</f>
        <v>87</v>
      </c>
      <c r="W221" s="10">
        <f t="array" ref="W221">IF(AND(A221&lt;&gt;"",OR(ISNUMBER(P221),ISNUMBER(Q221))),SUM(MAX(P221:Q221),Q221),"")</f>
        <v>20</v>
      </c>
      <c r="X221" s="10" t="str">
        <f t="array" ref="X221">IF(AND(A221&lt;&gt;"",OR(ISNUMBER(S221),ISNUMBER(T221))),SUM(S221,T221),"")</f>
        <v/>
      </c>
      <c r="Y221" s="13">
        <v>1</v>
      </c>
      <c r="Z221" s="13">
        <f>IF(A221&lt;&gt;"",SUM(U221:Y221),"")</f>
        <v>159</v>
      </c>
      <c r="AA221" s="27">
        <f>IF(A221&lt;&gt;"",(Z221+Normalize_To_Add)/(Point_Total_So_Far)*100,"")</f>
        <v>52.131147540983605</v>
      </c>
      <c r="AB221" s="10">
        <f>IF(A221&lt;&gt;"",RANK(AA221,All_Student_XC),"")</f>
        <v>490</v>
      </c>
      <c r="AC221" s="32" t="str">
        <f>IF(A221&lt;&gt;"",CHOOSE(10-MIN(9,TRUNC((AA221+0.5)/10)),"A","B","C","D","F","F","F","F","F","F"),"")</f>
        <v>F</v>
      </c>
      <c r="AD221" s="31" t="str">
        <f>IF(A221&lt;&gt;"",IF(OR(AA221+0.5&gt;=93,AA221+0.5&lt;60),"",IF(MOD(AA221+0.5,10)&gt;=7,"+",IF(MOD(AA221+0.5,10)&lt;3,"-",""))),"")</f>
        <v/>
      </c>
      <c r="AE221" s="32">
        <f>IF(A221&lt;&gt;"",SUM(W221:X221,$W$8:$X$8)/SUM($W$2:$X$2)*100,"")</f>
        <v>20</v>
      </c>
      <c r="AF221" s="32" t="str">
        <f>IF(A221&lt;&gt;"",CHOOSE(10-MIN(9,TRUNC((AE221+0.5)/10)),"A","B","C","D","F","F","F","F","F","F"),"")</f>
        <v>F</v>
      </c>
      <c r="AG221" s="32" t="str">
        <f>IF(A221&lt;&gt;"",IF(OR(AE221+0.5&gt;=93,AE221+0.5&lt;60),"",IF(MOD(AE221+0.5,10)&gt;=7,"+",IF(MOD(AE221+0.5,10)&lt;3,"-",""))),"")</f>
        <v/>
      </c>
      <c r="AH221" s="36">
        <f>IF(A221&lt;&gt;"",MIN(MAX(AA221,AE221),AA221+$AH$8,AE221+$AH$8),"")</f>
        <v>52.131147540983605</v>
      </c>
      <c r="AI221" s="32" t="str">
        <f>IF(A221&lt;&gt;"",CHOOSE(10-MIN(9,TRUNC((AH221+0.5)/10)),"A","B","C","D","F","F","F","F","F","F"),"")</f>
        <v>F</v>
      </c>
      <c r="AJ221" s="32" t="str">
        <f>IF(A221&lt;&gt;"",IF(OR(AH221+0.5&gt;=93,AH221+0.5&lt;60),"",IF(MOD(AH221+0.5,10)&gt;=7,"+",IF(MOD(AH221+0.5,10)&lt;3,"-",""))),"")</f>
        <v/>
      </c>
      <c r="AK221" s="71" t="b">
        <f>IF(A221&lt;&gt;"",OR(AI221&lt;&gt;AC221,AJ221&lt;&gt;AD221),"")</f>
        <v>0</v>
      </c>
      <c r="AL221" s="86">
        <f>IF(AND(A221&lt;&gt;"",U221&lt;&gt;""),SUM(U221,$AL$8)/$AL$2*100,"")</f>
        <v>68</v>
      </c>
      <c r="AM221" s="71">
        <f>IF(AND(A221&lt;&gt;"",V221&lt;&gt;""),SUM(V221,$AM$8)/$AM$2*100,"")</f>
        <v>66.92307692307692</v>
      </c>
      <c r="AN221" s="71">
        <f>IF(AND(A221&lt;&gt;"",ISNUMBER(P221),P221&gt;=0),SUM(P221,$AN$8)/$AN$2*100,"")</f>
        <v>20</v>
      </c>
      <c r="AO221" s="71" t="str">
        <f>IF(AND(A221&lt;&gt;"",ISNUMBER(Q221),Q221&gt;=0),SUM(Q221,$AO$8)/$AO$2*100,"")</f>
        <v/>
      </c>
      <c r="AP221" s="24" t="str">
        <f>IF(AND(A221&lt;&gt;"",R221&lt;&gt;""),SUM(R221,$AP$8)/$AP$2*100,"")</f>
        <v/>
      </c>
      <c r="AQ221" s="24">
        <f>IF(AND(A221&lt;&gt;"",ISNUMBER(W221),W221&gt;=0),SUM(W221,$AQ$8)/$AQ$2*100,"")</f>
        <v>20</v>
      </c>
      <c r="AR221" s="24" t="str">
        <f>IF(AND(A221&lt;&gt;"",T221&gt;0,ISNUMBER(T221)),SUM(T221,$AR$8)/$AR$2*100,"")</f>
        <v/>
      </c>
      <c r="AS221" s="24" t="str">
        <f>IF(AND(A221&lt;&gt;"",X221&lt;&gt;""),SUM(X221,$AS$8)/$AS$2*100,"")</f>
        <v/>
      </c>
      <c r="AT221" s="89">
        <f>IF(AND(A221&lt;&gt;"",OR(ISNUMBER(W221),ISNUMBER(X221))),SUM(W221:X221,$AT$8)/$AT$2*100,"")</f>
        <v>20</v>
      </c>
      <c r="AU221" s="24">
        <f>AA221</f>
        <v>52.131147540983605</v>
      </c>
      <c r="AV221" s="71"/>
      <c r="AW221" s="27">
        <f>IF(A221&lt;&gt;"",AE221-AA221,"")</f>
        <v>-32.131147540983605</v>
      </c>
      <c r="AY221" s="27" t="b">
        <f>S221&gt;R221</f>
        <v>0</v>
      </c>
      <c r="BA221" s="27" t="e">
        <f>AND(AA221&gt;$BA$3,(W221+$W$8)/$W$2&lt;$BB$3,(X221+$X$8)/$X$2&lt;$BB$3)</f>
        <v>#VALUE!</v>
      </c>
      <c r="BB221" s="27" t="e">
        <f>AND(AA221&lt;$BA$3,AND(W221/$W$2&gt;$BB$3,X221/$X$2&gt;$BB$3))</f>
        <v>#VALUE!</v>
      </c>
      <c r="BC221" s="27" t="e">
        <f>AND(AA221&lt;$BA$3,OR(W221/$W$2&gt;$BB$3,X221/$X$2&gt;$BB$3))</f>
        <v>#VALUE!</v>
      </c>
      <c r="BE221" s="32">
        <v>32</v>
      </c>
    </row>
    <row r="222" spans="1:57" s="27" customFormat="1" ht="12.75" customHeight="1" x14ac:dyDescent="0.2">
      <c r="A222" s="10">
        <v>431720</v>
      </c>
      <c r="B222" s="2">
        <v>22</v>
      </c>
      <c r="C222" s="10">
        <v>23</v>
      </c>
      <c r="D222" s="10">
        <v>25</v>
      </c>
      <c r="E222" s="10"/>
      <c r="F222" s="10"/>
      <c r="G222" s="10"/>
      <c r="H222" s="10"/>
      <c r="I222" s="10"/>
      <c r="J222" s="2">
        <v>31</v>
      </c>
      <c r="K222" s="10">
        <v>51</v>
      </c>
      <c r="L222" s="10">
        <v>51</v>
      </c>
      <c r="M222" s="10"/>
      <c r="N222" s="93"/>
      <c r="O222" s="13"/>
      <c r="P222" s="10">
        <v>101</v>
      </c>
      <c r="Q222" s="10"/>
      <c r="R222" s="2"/>
      <c r="S222" s="10"/>
      <c r="T222" s="13"/>
      <c r="U222" s="1">
        <f t="array" ref="U222">IF(AND(A222&lt;&gt;"",OR(ISNUMBER(B222:I222))),SUM(B222:I222),"")</f>
        <v>70</v>
      </c>
      <c r="V222" s="10">
        <f t="array" ref="V222">IF(AND(A222&lt;&gt;"",OR(ISNUMBER(J222:O222))),SUM(J222:O222),"")</f>
        <v>133</v>
      </c>
      <c r="W222" s="10">
        <f t="array" ref="W222">IF(AND(A222&lt;&gt;"",OR(ISNUMBER(P222),ISNUMBER(Q222))),SUM(MAX(P222:Q222),Q222),"")</f>
        <v>101</v>
      </c>
      <c r="X222" s="10" t="str">
        <f t="array" ref="X222">IF(AND(A222&lt;&gt;"",OR(ISNUMBER(S222),ISNUMBER(T222))),SUM(S222,T222),"")</f>
        <v/>
      </c>
      <c r="Y222" s="13">
        <v>1</v>
      </c>
      <c r="Z222" s="13">
        <f>IF(A222&lt;&gt;"",SUM(U222:Y222),"")</f>
        <v>305</v>
      </c>
      <c r="AA222" s="27">
        <f>IF(A222&lt;&gt;"",(Z222+Normalize_To_Add)/(Point_Total_So_Far)*100,"")</f>
        <v>100</v>
      </c>
      <c r="AB222" s="10">
        <f>IF(A222&lt;&gt;"",RANK(AA222,All_Student_XC),"")</f>
        <v>109</v>
      </c>
      <c r="AC222" s="32" t="str">
        <f>IF(A222&lt;&gt;"",CHOOSE(10-MIN(9,TRUNC((AA222+0.5)/10)),"A","B","C","D","F","F","F","F","F","F"),"")</f>
        <v>A</v>
      </c>
      <c r="AD222" s="31" t="str">
        <f>IF(A222&lt;&gt;"",IF(OR(AA222+0.5&gt;=93,AA222+0.5&lt;60),"",IF(MOD(AA222+0.5,10)&gt;=7,"+",IF(MOD(AA222+0.5,10)&lt;3,"-",""))),"")</f>
        <v/>
      </c>
      <c r="AE222" s="32">
        <f>IF(A222&lt;&gt;"",SUM(W222:X222,$W$8:$X$8)/SUM($W$2:$X$2)*100,"")</f>
        <v>101</v>
      </c>
      <c r="AF222" s="32" t="str">
        <f>IF(A222&lt;&gt;"",CHOOSE(10-MIN(9,TRUNC((AE222+0.5)/10)),"A","B","C","D","F","F","F","F","F","F"),"")</f>
        <v>A</v>
      </c>
      <c r="AG222" s="32" t="str">
        <f>IF(A222&lt;&gt;"",IF(OR(AE222+0.5&gt;=93,AE222+0.5&lt;60),"",IF(MOD(AE222+0.5,10)&gt;=7,"+",IF(MOD(AE222+0.5,10)&lt;3,"-",""))),"")</f>
        <v/>
      </c>
      <c r="AH222" s="36">
        <f>IF(A222&lt;&gt;"",MIN(MAX(AA222,AE222),AA222+$AH$8,AE222+$AH$8),"")</f>
        <v>101</v>
      </c>
      <c r="AI222" s="32" t="str">
        <f>IF(A222&lt;&gt;"",CHOOSE(10-MIN(9,TRUNC((AH222+0.5)/10)),"A","B","C","D","F","F","F","F","F","F"),"")</f>
        <v>A</v>
      </c>
      <c r="AJ222" s="32" t="str">
        <f>IF(A222&lt;&gt;"",IF(OR(AH222+0.5&gt;=93,AH222+0.5&lt;60),"",IF(MOD(AH222+0.5,10)&gt;=7,"+",IF(MOD(AH222+0.5,10)&lt;3,"-",""))),"")</f>
        <v/>
      </c>
      <c r="AK222" s="71" t="b">
        <f>IF(A222&lt;&gt;"",OR(AI222&lt;&gt;AC222,AJ222&lt;&gt;AD222),"")</f>
        <v>0</v>
      </c>
      <c r="AL222" s="86">
        <f>IF(AND(A222&lt;&gt;"",U222&lt;&gt;""),SUM(U222,$AL$8)/$AL$2*100,"")</f>
        <v>93.333333333333329</v>
      </c>
      <c r="AM222" s="71">
        <f>IF(AND(A222&lt;&gt;"",V222&lt;&gt;""),SUM(V222,$AM$8)/$AM$2*100,"")</f>
        <v>102.30769230769229</v>
      </c>
      <c r="AN222" s="71">
        <f>IF(AND(A222&lt;&gt;"",ISNUMBER(P222),P222&gt;=0),SUM(P222,$AN$8)/$AN$2*100,"")</f>
        <v>101</v>
      </c>
      <c r="AO222" s="71" t="str">
        <f>IF(AND(A222&lt;&gt;"",ISNUMBER(Q222),Q222&gt;=0),SUM(Q222,$AO$8)/$AO$2*100,"")</f>
        <v/>
      </c>
      <c r="AP222" s="24" t="str">
        <f>IF(AND(A222&lt;&gt;"",R222&lt;&gt;""),SUM(R222,$AP$8)/$AP$2*100,"")</f>
        <v/>
      </c>
      <c r="AQ222" s="24">
        <f>IF(AND(A222&lt;&gt;"",ISNUMBER(W222),W222&gt;=0),SUM(W222,$AQ$8)/$AQ$2*100,"")</f>
        <v>101</v>
      </c>
      <c r="AR222" s="24" t="str">
        <f>IF(AND(A222&lt;&gt;"",T222&gt;0,ISNUMBER(T222)),SUM(T222,$AR$8)/$AR$2*100,"")</f>
        <v/>
      </c>
      <c r="AS222" s="24" t="str">
        <f>IF(AND(A222&lt;&gt;"",X222&lt;&gt;""),SUM(X222,$AS$8)/$AS$2*100,"")</f>
        <v/>
      </c>
      <c r="AT222" s="89">
        <f>IF(AND(A222&lt;&gt;"",OR(ISNUMBER(W222),ISNUMBER(X222))),SUM(W222:X222,$AT$8)/$AT$2*100,"")</f>
        <v>101</v>
      </c>
      <c r="AU222" s="24">
        <f>AA222</f>
        <v>100</v>
      </c>
      <c r="AV222" s="71"/>
      <c r="AW222" s="27">
        <f>IF(A222&lt;&gt;"",AE222-AA222,"")</f>
        <v>1</v>
      </c>
      <c r="AY222" s="27" t="b">
        <f>S222&gt;R222</f>
        <v>0</v>
      </c>
      <c r="BA222" s="27" t="e">
        <f>AND(AA222&gt;$BA$3,(W222+$W$8)/$W$2&lt;$BB$3,(X222+$X$8)/$X$2&lt;$BB$3)</f>
        <v>#VALUE!</v>
      </c>
      <c r="BB222" s="27" t="e">
        <f>AND(AA222&lt;$BA$3,AND(W222/$W$2&gt;$BB$3,X222/$X$2&gt;$BB$3))</f>
        <v>#VALUE!</v>
      </c>
      <c r="BC222" s="27" t="e">
        <f>AND(AA222&lt;$BA$3,OR(W222/$W$2&gt;$BB$3,X222/$X$2&gt;$BB$3))</f>
        <v>#VALUE!</v>
      </c>
      <c r="BE222" s="32" t="s">
        <v>84</v>
      </c>
    </row>
    <row r="223" spans="1:57" s="27" customFormat="1" ht="12.75" customHeight="1" x14ac:dyDescent="0.2">
      <c r="A223" s="10">
        <v>435356</v>
      </c>
      <c r="B223" s="2">
        <v>24</v>
      </c>
      <c r="C223" s="10">
        <v>0</v>
      </c>
      <c r="D223" s="10">
        <v>25</v>
      </c>
      <c r="E223" s="10"/>
      <c r="F223" s="10"/>
      <c r="G223" s="3"/>
      <c r="H223" s="10"/>
      <c r="I223" s="10"/>
      <c r="J223" s="2">
        <v>32</v>
      </c>
      <c r="K223" s="10">
        <v>52</v>
      </c>
      <c r="L223" s="10">
        <v>51</v>
      </c>
      <c r="M223" s="10"/>
      <c r="N223" s="10"/>
      <c r="O223" s="12"/>
      <c r="P223" s="7">
        <v>101</v>
      </c>
      <c r="Q223" s="7"/>
      <c r="R223" s="2"/>
      <c r="S223" s="10"/>
      <c r="T223" s="13"/>
      <c r="U223" s="77">
        <f t="array" ref="U223">IF(AND(A223&lt;&gt;"",OR(ISNUMBER(B223:I223))),SUM(B223:I223),"")</f>
        <v>49</v>
      </c>
      <c r="V223" s="10">
        <f t="array" ref="V223">IF(AND(A223&lt;&gt;"",OR(ISNUMBER(J223:O223))),SUM(J223:O223),"")</f>
        <v>135</v>
      </c>
      <c r="W223" s="10">
        <f t="array" ref="W223">IF(AND(A223&lt;&gt;"",OR(ISNUMBER(P223),ISNUMBER(Q223))),SUM(MAX(P223:Q223),Q223),"")</f>
        <v>101</v>
      </c>
      <c r="X223" s="10" t="str">
        <f t="array" ref="X223">IF(AND(A223&lt;&gt;"",OR(ISNUMBER(S223),ISNUMBER(T223))),SUM(S223,T223),"")</f>
        <v/>
      </c>
      <c r="Y223" s="13">
        <v>1</v>
      </c>
      <c r="Z223" s="13">
        <f>IF(A223&lt;&gt;"",SUM(U223:Y223),"")</f>
        <v>286</v>
      </c>
      <c r="AA223" s="27">
        <f>IF(A223&lt;&gt;"",(Z223+Normalize_To_Add)/(Point_Total_So_Far)*100,"")</f>
        <v>93.770491803278688</v>
      </c>
      <c r="AB223" s="10">
        <f>IF(A223&lt;&gt;"",RANK(AA223,All_Student_XC),"")</f>
        <v>287</v>
      </c>
      <c r="AC223" s="32" t="str">
        <f>IF(A223&lt;&gt;"",CHOOSE(10-MIN(9,TRUNC((AA223+0.5)/10)),"A","B","C","D","F","F","F","F","F","F"),"")</f>
        <v>A</v>
      </c>
      <c r="AD223" s="32" t="str">
        <f>IF(A223&lt;&gt;"",IF(OR(AA223+0.5&gt;=93,AA223+0.5&lt;60),"",IF(MOD(AA223+0.5,10)&gt;=7,"+",IF(MOD(AA223+0.5,10)&lt;3,"-",""))),"")</f>
        <v/>
      </c>
      <c r="AE223" s="32">
        <f>IF(A223&lt;&gt;"",SUM(W223:X223,$W$8:$X$8)/SUM($W$2:$X$2)*100,"")</f>
        <v>101</v>
      </c>
      <c r="AF223" s="32" t="str">
        <f>IF(A223&lt;&gt;"",CHOOSE(10-MIN(9,TRUNC((AE223+0.5)/10)),"A","B","C","D","F","F","F","F","F","F"),"")</f>
        <v>A</v>
      </c>
      <c r="AG223" s="32" t="str">
        <f>IF(A223&lt;&gt;"",IF(OR(AE223+0.5&gt;=93,AE223+0.5&lt;60),"",IF(MOD(AE223+0.5,10)&gt;=7,"+",IF(MOD(AE223+0.5,10)&lt;3,"-",""))),"")</f>
        <v/>
      </c>
      <c r="AH223" s="36">
        <f>IF(A223&lt;&gt;"",MIN(MAX(AA223,AE223),AA223+$AH$8,AE223+$AH$8),"")</f>
        <v>101</v>
      </c>
      <c r="AI223" s="32" t="str">
        <f>IF(A223&lt;&gt;"",CHOOSE(10-MIN(9,TRUNC((AH223+0.5)/10)),"A","B","C","D","F","F","F","F","F","F"),"")</f>
        <v>A</v>
      </c>
      <c r="AJ223" s="32" t="str">
        <f>IF(A223&lt;&gt;"",IF(OR(AH223+0.5&gt;=93,AH223+0.5&lt;60),"",IF(MOD(AH223+0.5,10)&gt;=7,"+",IF(MOD(AH223+0.5,10)&lt;3,"-",""))),"")</f>
        <v/>
      </c>
      <c r="AK223" s="32" t="b">
        <f>IF(A223&lt;&gt;"",OR(AI223&lt;&gt;AC223,AJ223&lt;&gt;AD223),"")</f>
        <v>0</v>
      </c>
      <c r="AL223" s="84">
        <f>IF(AND(A223&lt;&gt;"",U223&lt;&gt;""),SUM(U223,$AL$8)/$AL$2*100,"")</f>
        <v>65.333333333333329</v>
      </c>
      <c r="AM223" s="24">
        <f>IF(AND(A223&lt;&gt;"",V223&lt;&gt;""),SUM(V223,$AM$8)/$AM$2*100,"")</f>
        <v>103.84615384615385</v>
      </c>
      <c r="AN223" s="24">
        <f>IF(AND(A223&lt;&gt;"",ISNUMBER(P223),P223&gt;=0),SUM(P223,$AN$8)/$AN$2*100,"")</f>
        <v>101</v>
      </c>
      <c r="AO223" s="24" t="str">
        <f>IF(AND(A223&lt;&gt;"",ISNUMBER(Q223),Q223&gt;=0),SUM(Q223,$AO$8)/$AO$2*100,"")</f>
        <v/>
      </c>
      <c r="AP223" s="24" t="str">
        <f>IF(AND(A223&lt;&gt;"",R223&lt;&gt;""),SUM(R223,$AP$8)/$AP$2*100,"")</f>
        <v/>
      </c>
      <c r="AQ223" s="24">
        <f>IF(AND(A223&lt;&gt;"",ISNUMBER(W223),W223&gt;=0),SUM(W223,$AQ$8)/$AQ$2*100,"")</f>
        <v>101</v>
      </c>
      <c r="AR223" s="24" t="str">
        <f>IF(AND(A223&lt;&gt;"",T223&gt;0,ISNUMBER(T223)),SUM(T223,$AR$8)/$AR$2*100,"")</f>
        <v/>
      </c>
      <c r="AS223" s="24" t="str">
        <f>IF(AND(A223&lt;&gt;"",X223&lt;&gt;""),SUM(X223,$AS$8)/$AS$2*100,"")</f>
        <v/>
      </c>
      <c r="AT223" s="89">
        <f>IF(AND(A223&lt;&gt;"",OR(ISNUMBER(W223),ISNUMBER(X223))),SUM(W223:X223,$AT$8)/$AT$2*100,"")</f>
        <v>101</v>
      </c>
      <c r="AU223" s="24">
        <f>AA223</f>
        <v>93.770491803278688</v>
      </c>
      <c r="AV223" s="24"/>
      <c r="AW223" s="27">
        <f>IF(A223&lt;&gt;"",AE223-AA223,"")</f>
        <v>7.2295081967213122</v>
      </c>
      <c r="AY223" s="27" t="b">
        <f>S223&gt;R223</f>
        <v>0</v>
      </c>
      <c r="BA223" s="27" t="e">
        <f>AND(AA223&gt;$BA$3,(W223+$W$8)/$W$2&lt;$BB$3,(X223+$X$8)/$X$2&lt;$BB$3)</f>
        <v>#VALUE!</v>
      </c>
      <c r="BB223" s="27" t="e">
        <f>AND(AA223&lt;$BA$3,AND(W223/$W$2&gt;$BB$3,X223/$X$2&gt;$BB$3))</f>
        <v>#VALUE!</v>
      </c>
      <c r="BC223" s="27" t="e">
        <f>AND(AA223&lt;$BA$3,OR(W223/$W$2&gt;$BB$3,X223/$X$2&gt;$BB$3))</f>
        <v>#VALUE!</v>
      </c>
      <c r="BE223" s="32">
        <v>32</v>
      </c>
    </row>
    <row r="224" spans="1:57" s="27" customFormat="1" ht="12.75" customHeight="1" x14ac:dyDescent="0.2">
      <c r="A224" s="10">
        <v>438297</v>
      </c>
      <c r="B224" s="2">
        <v>20</v>
      </c>
      <c r="C224" s="10">
        <v>21</v>
      </c>
      <c r="D224" s="10">
        <v>25</v>
      </c>
      <c r="E224" s="10"/>
      <c r="F224" s="10"/>
      <c r="G224" s="3"/>
      <c r="H224" s="10"/>
      <c r="I224" s="10"/>
      <c r="J224" s="2">
        <v>24</v>
      </c>
      <c r="K224" s="10">
        <v>43</v>
      </c>
      <c r="L224" s="10">
        <v>45</v>
      </c>
      <c r="M224" s="10"/>
      <c r="N224" s="93"/>
      <c r="O224" s="12"/>
      <c r="P224" s="10">
        <v>101</v>
      </c>
      <c r="Q224" s="41"/>
      <c r="R224" s="2"/>
      <c r="S224" s="10"/>
      <c r="T224" s="13"/>
      <c r="U224" s="1">
        <f t="array" ref="U224">IF(AND(A224&lt;&gt;"",OR(ISNUMBER(B224:I224))),SUM(B224:I224),"")</f>
        <v>66</v>
      </c>
      <c r="V224" s="10">
        <f t="array" ref="V224">IF(AND(A224&lt;&gt;"",OR(ISNUMBER(J224:O224))),SUM(J224:O224),"")</f>
        <v>112</v>
      </c>
      <c r="W224" s="10">
        <f t="array" ref="W224">IF(AND(A224&lt;&gt;"",OR(ISNUMBER(P224),ISNUMBER(Q224))),SUM(MAX(P224:Q224),Q224),"")</f>
        <v>101</v>
      </c>
      <c r="X224" s="10" t="str">
        <f t="array" ref="X224">IF(AND(A224&lt;&gt;"",OR(ISNUMBER(S224),ISNUMBER(T224))),SUM(S224,T224),"")</f>
        <v/>
      </c>
      <c r="Y224" s="13">
        <v>1</v>
      </c>
      <c r="Z224" s="13">
        <f>IF(A224&lt;&gt;"",SUM(U224:Y224),"")</f>
        <v>280</v>
      </c>
      <c r="AA224" s="27">
        <f>IF(A224&lt;&gt;"",(Z224+Normalize_To_Add)/(Point_Total_So_Far)*100,"")</f>
        <v>91.803278688524586</v>
      </c>
      <c r="AB224" s="10">
        <f>IF(A224&lt;&gt;"",RANK(AA224,All_Student_XC),"")</f>
        <v>310</v>
      </c>
      <c r="AC224" s="32" t="str">
        <f>IF(A224&lt;&gt;"",CHOOSE(10-MIN(9,TRUNC((AA224+0.5)/10)),"A","B","C","D","F","F","F","F","F","F"),"")</f>
        <v>A</v>
      </c>
      <c r="AD224" s="32" t="str">
        <f>IF(A224&lt;&gt;"",IF(OR(AA224+0.5&gt;=93,AA224+0.5&lt;60),"",IF(MOD(AA224+0.5,10)&gt;=7,"+",IF(MOD(AA224+0.5,10)&lt;3,"-",""))),"")</f>
        <v>-</v>
      </c>
      <c r="AE224" s="32">
        <f>IF(A224&lt;&gt;"",SUM(W224:X224,$W$8:$X$8)/SUM($W$2:$X$2)*100,"")</f>
        <v>101</v>
      </c>
      <c r="AF224" s="44" t="str">
        <f>IF(A224&lt;&gt;"",CHOOSE(10-MIN(9,TRUNC((AE224+0.5)/10)),"A","B","C","D","F","F","F","F","F","F"),"")</f>
        <v>A</v>
      </c>
      <c r="AG224" s="44" t="str">
        <f>IF(A224&lt;&gt;"",IF(OR(AE224+0.5&gt;=93,AE224+0.5&lt;60),"",IF(MOD(AE224+0.5,10)&gt;=7,"+",IF(MOD(AE224+0.5,10)&lt;3,"-",""))),"")</f>
        <v/>
      </c>
      <c r="AH224" s="36">
        <f>IF(A224&lt;&gt;"",MIN(MAX(AA224,AE224),AA224+$AH$8,AE224+$AH$8),"")</f>
        <v>101</v>
      </c>
      <c r="AI224" s="32" t="str">
        <f>IF(A224&lt;&gt;"",CHOOSE(10-MIN(9,TRUNC((AH224+0.5)/10)),"A","B","C","D","F","F","F","F","F","F"),"")</f>
        <v>A</v>
      </c>
      <c r="AJ224" s="32" t="str">
        <f>IF(A224&lt;&gt;"",IF(OR(AH224+0.5&gt;=93,AH224+0.5&lt;60),"",IF(MOD(AH224+0.5,10)&gt;=7,"+",IF(MOD(AH224+0.5,10)&lt;3,"-",""))),"")</f>
        <v/>
      </c>
      <c r="AK224" s="32" t="b">
        <f>IF(A224&lt;&gt;"",OR(AI224&lt;&gt;AC224,AJ224&lt;&gt;AD224),"")</f>
        <v>1</v>
      </c>
      <c r="AL224" s="84">
        <f>IF(AND(A224&lt;&gt;"",U224&lt;&gt;""),SUM(U224,$AL$8)/$AL$2*100,"")</f>
        <v>88</v>
      </c>
      <c r="AM224" s="24">
        <f>IF(AND(A224&lt;&gt;"",V224&lt;&gt;""),SUM(V224,$AM$8)/$AM$2*100,"")</f>
        <v>86.15384615384616</v>
      </c>
      <c r="AN224" s="24">
        <f>IF(AND(A224&lt;&gt;"",ISNUMBER(P224),P224&gt;=0),SUM(P224,$AN$8)/$AN$2*100,"")</f>
        <v>101</v>
      </c>
      <c r="AO224" s="24" t="str">
        <f>IF(AND(A224&lt;&gt;"",ISNUMBER(Q224),Q224&gt;=0),SUM(Q224,$AO$8)/$AO$2*100,"")</f>
        <v/>
      </c>
      <c r="AP224" s="24" t="str">
        <f>IF(AND(A224&lt;&gt;"",R224&lt;&gt;""),SUM(R224,$AP$8)/$AP$2*100,"")</f>
        <v/>
      </c>
      <c r="AQ224" s="24">
        <f>IF(AND(A224&lt;&gt;"",ISNUMBER(W224),W224&gt;=0),SUM(W224,$AQ$8)/$AQ$2*100,"")</f>
        <v>101</v>
      </c>
      <c r="AR224" s="24" t="str">
        <f>IF(AND(A224&lt;&gt;"",T224&gt;0,ISNUMBER(T224)),SUM(T224,$AR$8)/$AR$2*100,"")</f>
        <v/>
      </c>
      <c r="AS224" s="24" t="str">
        <f>IF(AND(A224&lt;&gt;"",X224&lt;&gt;""),SUM(X224,$AS$8)/$AS$2*100,"")</f>
        <v/>
      </c>
      <c r="AT224" s="89">
        <f>IF(AND(A224&lt;&gt;"",OR(ISNUMBER(W224),ISNUMBER(X224))),SUM(W224:X224,$AT$8)/$AT$2*100,"")</f>
        <v>101</v>
      </c>
      <c r="AU224" s="24">
        <f>AA224</f>
        <v>91.803278688524586</v>
      </c>
      <c r="AV224" s="24"/>
      <c r="AW224" s="27">
        <f>IF(A224&lt;&gt;"",AE224-AA224,"")</f>
        <v>9.1967213114754145</v>
      </c>
      <c r="AY224" s="27" t="b">
        <f>S224&gt;R224</f>
        <v>0</v>
      </c>
      <c r="BA224" s="27" t="e">
        <f>AND(AA224&gt;$BA$3,(W224+$W$8)/$W$2&lt;$BB$3,(X224+$X$8)/$X$2&lt;$BB$3)</f>
        <v>#VALUE!</v>
      </c>
      <c r="BB224" s="27" t="e">
        <f>AND(AA224&lt;$BA$3,AND(W224/$W$2&gt;$BB$3,X224/$X$2&gt;$BB$3))</f>
        <v>#VALUE!</v>
      </c>
      <c r="BC224" s="27" t="e">
        <f>AND(AA224&lt;$BA$3,OR(W224/$W$2&gt;$BB$3,X224/$X$2&gt;$BB$3))</f>
        <v>#VALUE!</v>
      </c>
      <c r="BE224" s="32">
        <v>32</v>
      </c>
    </row>
    <row r="225" spans="1:57" s="27" customFormat="1" ht="12.75" customHeight="1" x14ac:dyDescent="0.2">
      <c r="A225" s="10">
        <v>440952</v>
      </c>
      <c r="B225" s="2">
        <v>23</v>
      </c>
      <c r="C225" s="10">
        <v>20</v>
      </c>
      <c r="D225" s="10">
        <v>25</v>
      </c>
      <c r="E225" s="10"/>
      <c r="F225" s="10"/>
      <c r="G225" s="10"/>
      <c r="H225" s="10"/>
      <c r="I225" s="10"/>
      <c r="J225" s="2">
        <v>26</v>
      </c>
      <c r="K225" s="10">
        <v>52</v>
      </c>
      <c r="L225" s="10">
        <v>50</v>
      </c>
      <c r="M225" s="10"/>
      <c r="N225" s="93"/>
      <c r="O225" s="13"/>
      <c r="P225" s="10">
        <v>101</v>
      </c>
      <c r="Q225" s="10"/>
      <c r="R225" s="2"/>
      <c r="S225" s="10"/>
      <c r="T225" s="13"/>
      <c r="U225" s="1">
        <f t="array" ref="U225">IF(AND(A225&lt;&gt;"",OR(ISNUMBER(B225:I225))),SUM(B225:I225),"")</f>
        <v>68</v>
      </c>
      <c r="V225" s="10">
        <f t="array" ref="V225">IF(AND(A225&lt;&gt;"",OR(ISNUMBER(J225:O225))),SUM(J225:O225),"")</f>
        <v>128</v>
      </c>
      <c r="W225" s="10">
        <f t="array" ref="W225">IF(AND(A225&lt;&gt;"",OR(ISNUMBER(P225),ISNUMBER(Q225))),SUM(MAX(P225:Q225),Q225),"")</f>
        <v>101</v>
      </c>
      <c r="X225" s="10" t="str">
        <f t="array" ref="X225">IF(AND(A225&lt;&gt;"",OR(ISNUMBER(S225),ISNUMBER(T225))),SUM(S225,T225),"")</f>
        <v/>
      </c>
      <c r="Y225" s="13">
        <v>1</v>
      </c>
      <c r="Z225" s="13">
        <f>IF(A225&lt;&gt;"",SUM(U225:Y225),"")</f>
        <v>298</v>
      </c>
      <c r="AA225" s="27">
        <f>IF(A225&lt;&gt;"",(Z225+Normalize_To_Add)/(Point_Total_So_Far)*100,"")</f>
        <v>97.704918032786878</v>
      </c>
      <c r="AB225" s="10">
        <f>IF(A225&lt;&gt;"",RANK(AA225,All_Student_XC),"")</f>
        <v>210</v>
      </c>
      <c r="AC225" s="32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2">
        <f>IF(A225&lt;&gt;"",SUM(W225:X225,$W$8:$X$8)/SUM($W$2:$X$2)*100,"")</f>
        <v>101</v>
      </c>
      <c r="AF225" s="32" t="str">
        <f>IF(A225&lt;&gt;"",CHOOSE(10-MIN(9,TRUNC((AE225+0.5)/10)),"A","B","C","D","F","F","F","F","F","F"),"")</f>
        <v>A</v>
      </c>
      <c r="AG225" s="32" t="str">
        <f>IF(A225&lt;&gt;"",IF(OR(AE225+0.5&gt;=93,AE225+0.5&lt;60),"",IF(MOD(AE225+0.5,10)&gt;=7,"+",IF(MOD(AE225+0.5,10)&lt;3,"-",""))),"")</f>
        <v/>
      </c>
      <c r="AH225" s="36">
        <f>IF(A225&lt;&gt;"",MIN(MAX(AA225,AE225),AA225+$AH$8,AE225+$AH$8),"")</f>
        <v>101</v>
      </c>
      <c r="AI225" s="32" t="str">
        <f>IF(A225&lt;&gt;"",CHOOSE(10-MIN(9,TRUNC((AH225+0.5)/10)),"A","B","C","D","F","F","F","F","F","F"),"")</f>
        <v>A</v>
      </c>
      <c r="AJ225" s="32" t="str">
        <f>IF(A225&lt;&gt;"",IF(OR(AH225+0.5&gt;=93,AH225+0.5&lt;60),"",IF(MOD(AH225+0.5,10)&gt;=7,"+",IF(MOD(AH225+0.5,10)&lt;3,"-",""))),"")</f>
        <v/>
      </c>
      <c r="AK225" s="71" t="b">
        <f>IF(A225&lt;&gt;"",OR(AI225&lt;&gt;AC225,AJ225&lt;&gt;AD225),"")</f>
        <v>0</v>
      </c>
      <c r="AL225" s="86">
        <f>IF(AND(A225&lt;&gt;"",U225&lt;&gt;""),SUM(U225,$AL$8)/$AL$2*100,"")</f>
        <v>90.666666666666657</v>
      </c>
      <c r="AM225" s="71">
        <f>IF(AND(A225&lt;&gt;"",V225&lt;&gt;""),SUM(V225,$AM$8)/$AM$2*100,"")</f>
        <v>98.461538461538467</v>
      </c>
      <c r="AN225" s="71">
        <f>IF(AND(A225&lt;&gt;"",ISNUMBER(P225),P225&gt;=0),SUM(P225,$AN$8)/$AN$2*100,"")</f>
        <v>101</v>
      </c>
      <c r="AO225" s="71" t="str">
        <f>IF(AND(A225&lt;&gt;"",ISNUMBER(Q225),Q225&gt;=0),SUM(Q225,$AO$8)/$AO$2*100,"")</f>
        <v/>
      </c>
      <c r="AP225" s="24" t="str">
        <f>IF(AND(A225&lt;&gt;"",R225&lt;&gt;""),SUM(R225,$AP$8)/$AP$2*100,"")</f>
        <v/>
      </c>
      <c r="AQ225" s="24">
        <f>IF(AND(A225&lt;&gt;"",ISNUMBER(W225),W225&gt;=0),SUM(W225,$AQ$8)/$AQ$2*100,"")</f>
        <v>101</v>
      </c>
      <c r="AR225" s="24" t="str">
        <f>IF(AND(A225&lt;&gt;"",T225&gt;0,ISNUMBER(T225)),SUM(T225,$AR$8)/$AR$2*100,"")</f>
        <v/>
      </c>
      <c r="AS225" s="24" t="str">
        <f>IF(AND(A225&lt;&gt;"",X225&lt;&gt;""),SUM(X225,$AS$8)/$AS$2*100,"")</f>
        <v/>
      </c>
      <c r="AT225" s="89">
        <f>IF(AND(A225&lt;&gt;"",OR(ISNUMBER(W225),ISNUMBER(X225))),SUM(W225:X225,$AT$8)/$AT$2*100,"")</f>
        <v>101</v>
      </c>
      <c r="AU225" s="24">
        <f>AA225</f>
        <v>97.704918032786878</v>
      </c>
      <c r="AV225" s="71"/>
      <c r="AW225" s="27">
        <f>IF(A225&lt;&gt;"",AE225-AA225,"")</f>
        <v>3.2950819672131217</v>
      </c>
      <c r="AY225" s="27" t="b">
        <f>S225&gt;R225</f>
        <v>0</v>
      </c>
      <c r="BA225" s="27" t="e">
        <f>AND(AA225&gt;$BA$3,(W225+$W$8)/$W$2&lt;$BB$3,(X225+$X$8)/$X$2&lt;$BB$3)</f>
        <v>#VALUE!</v>
      </c>
      <c r="BB225" s="27" t="e">
        <f>AND(AA225&lt;$BA$3,AND(W225/$W$2&gt;$BB$3,X225/$X$2&gt;$BB$3))</f>
        <v>#VALUE!</v>
      </c>
      <c r="BC225" s="27" t="e">
        <f>AND(AA225&lt;$BA$3,OR(W225/$W$2&gt;$BB$3,X225/$X$2&gt;$BB$3))</f>
        <v>#VALUE!</v>
      </c>
      <c r="BE225" s="32" t="s">
        <v>84</v>
      </c>
    </row>
    <row r="226" spans="1:57" s="27" customFormat="1" ht="12.75" customHeight="1" x14ac:dyDescent="0.2">
      <c r="A226" s="10">
        <v>442156</v>
      </c>
      <c r="B226" s="2">
        <v>23</v>
      </c>
      <c r="C226" s="10">
        <v>25</v>
      </c>
      <c r="D226" s="10">
        <v>22</v>
      </c>
      <c r="E226" s="10"/>
      <c r="F226" s="10"/>
      <c r="G226" s="3"/>
      <c r="H226" s="10"/>
      <c r="I226" s="10"/>
      <c r="J226" s="2">
        <v>26</v>
      </c>
      <c r="K226" s="10">
        <v>38</v>
      </c>
      <c r="L226" s="10">
        <v>50</v>
      </c>
      <c r="M226" s="10"/>
      <c r="N226" s="10"/>
      <c r="O226" s="12"/>
      <c r="P226" s="41">
        <v>101</v>
      </c>
      <c r="Q226" s="41"/>
      <c r="R226" s="2"/>
      <c r="S226" s="10"/>
      <c r="T226" s="13"/>
      <c r="U226" s="1">
        <f t="array" ref="U226">IF(AND(A226&lt;&gt;"",OR(ISNUMBER(B226:I226))),SUM(B226:I226),"")</f>
        <v>70</v>
      </c>
      <c r="V226" s="10">
        <f t="array" ref="V226">IF(AND(A226&lt;&gt;"",OR(ISNUMBER(J226:O226))),SUM(J226:O226),"")</f>
        <v>114</v>
      </c>
      <c r="W226" s="10">
        <f t="array" ref="W226">IF(AND(A226&lt;&gt;"",OR(ISNUMBER(P226),ISNUMBER(Q226))),SUM(MAX(P226:Q226),Q226),"")</f>
        <v>101</v>
      </c>
      <c r="X226" s="10" t="str">
        <f t="array" ref="X226">IF(AND(A226&lt;&gt;"",OR(ISNUMBER(S226),ISNUMBER(T226))),SUM(S226,T226),"")</f>
        <v/>
      </c>
      <c r="Y226" s="13">
        <v>1</v>
      </c>
      <c r="Z226" s="13">
        <f>IF(A226&lt;&gt;"",SUM(U226:Y226),"")</f>
        <v>286</v>
      </c>
      <c r="AA226" s="27">
        <f>IF(A226&lt;&gt;"",(Z226+Normalize_To_Add)/(Point_Total_So_Far)*100,"")</f>
        <v>93.770491803278688</v>
      </c>
      <c r="AB226" s="10">
        <f>IF(A226&lt;&gt;"",RANK(AA226,All_Student_XC),"")</f>
        <v>287</v>
      </c>
      <c r="AC226" s="32" t="str">
        <f>IF(A226&lt;&gt;"",CHOOSE(10-MIN(9,TRUNC((AA226+0.5)/10)),"A","B","C","D","F","F","F","F","F","F"),"")</f>
        <v>A</v>
      </c>
      <c r="AD226" s="32" t="str">
        <f>IF(A226&lt;&gt;"",IF(OR(AA226+0.5&gt;=93,AA226+0.5&lt;60),"",IF(MOD(AA226+0.5,10)&gt;=7,"+",IF(MOD(AA226+0.5,10)&lt;3,"-",""))),"")</f>
        <v/>
      </c>
      <c r="AE226" s="32">
        <f>IF(A226&lt;&gt;"",SUM(W226:X226,$W$8:$X$8)/SUM($W$2:$X$2)*100,"")</f>
        <v>101</v>
      </c>
      <c r="AF226" s="32" t="str">
        <f>IF(A226&lt;&gt;"",CHOOSE(10-MIN(9,TRUNC((AE226+0.5)/10)),"A","B","C","D","F","F","F","F","F","F"),"")</f>
        <v>A</v>
      </c>
      <c r="AG226" s="32" t="str">
        <f>IF(A226&lt;&gt;"",IF(OR(AE226+0.5&gt;=93,AE226+0.5&lt;60),"",IF(MOD(AE226+0.5,10)&gt;=7,"+",IF(MOD(AE226+0.5,10)&lt;3,"-",""))),"")</f>
        <v/>
      </c>
      <c r="AH226" s="36">
        <f>IF(A226&lt;&gt;"",MIN(MAX(AA226,AE226),AA226+$AH$8,AE226+$AH$8),"")</f>
        <v>101</v>
      </c>
      <c r="AI226" s="32" t="str">
        <f>IF(A226&lt;&gt;"",CHOOSE(10-MIN(9,TRUNC((AH226+0.5)/10)),"A","B","C","D","F","F","F","F","F","F"),"")</f>
        <v>A</v>
      </c>
      <c r="AJ226" s="32" t="str">
        <f>IF(A226&lt;&gt;"",IF(OR(AH226+0.5&gt;=93,AH226+0.5&lt;60),"",IF(MOD(AH226+0.5,10)&gt;=7,"+",IF(MOD(AH226+0.5,10)&lt;3,"-",""))),"")</f>
        <v/>
      </c>
      <c r="AK226" s="32" t="b">
        <f>IF(A226&lt;&gt;"",OR(AI226&lt;&gt;AC226,AJ226&lt;&gt;AD226),"")</f>
        <v>0</v>
      </c>
      <c r="AL226" s="84">
        <f>IF(AND(A226&lt;&gt;"",U226&lt;&gt;""),SUM(U226,$AL$8)/$AL$2*100,"")</f>
        <v>93.333333333333329</v>
      </c>
      <c r="AM226" s="24">
        <f>IF(AND(A226&lt;&gt;"",V226&lt;&gt;""),SUM(V226,$AM$8)/$AM$2*100,"")</f>
        <v>87.692307692307693</v>
      </c>
      <c r="AN226" s="24">
        <f>IF(AND(A226&lt;&gt;"",ISNUMBER(P226),P226&gt;=0),SUM(P226,$AN$8)/$AN$2*100,"")</f>
        <v>101</v>
      </c>
      <c r="AO226" s="24" t="str">
        <f>IF(AND(A226&lt;&gt;"",ISNUMBER(Q226),Q226&gt;=0),SUM(Q226,$AO$8)/$AO$2*100,"")</f>
        <v/>
      </c>
      <c r="AP226" s="24" t="str">
        <f>IF(AND(A226&lt;&gt;"",R226&lt;&gt;""),SUM(R226,$AP$8)/$AP$2*100,"")</f>
        <v/>
      </c>
      <c r="AQ226" s="24">
        <f>IF(AND(A226&lt;&gt;"",ISNUMBER(W226),W226&gt;=0),SUM(W226,$AQ$8)/$AQ$2*100,"")</f>
        <v>101</v>
      </c>
      <c r="AR226" s="24" t="str">
        <f>IF(AND(A226&lt;&gt;"",T226&gt;0,ISNUMBER(T226)),SUM(T226,$AR$8)/$AR$2*100,"")</f>
        <v/>
      </c>
      <c r="AS226" s="24" t="str">
        <f>IF(AND(A226&lt;&gt;"",X226&lt;&gt;""),SUM(X226,$AS$8)/$AS$2*100,"")</f>
        <v/>
      </c>
      <c r="AT226" s="89">
        <f>IF(AND(A226&lt;&gt;"",OR(ISNUMBER(W226),ISNUMBER(X226))),SUM(W226:X226,$AT$8)/$AT$2*100,"")</f>
        <v>101</v>
      </c>
      <c r="AU226" s="24">
        <f>AA226</f>
        <v>93.770491803278688</v>
      </c>
      <c r="AV226" s="24"/>
      <c r="AW226" s="27">
        <f>IF(A226&lt;&gt;"",AE226-AA226,"")</f>
        <v>7.2295081967213122</v>
      </c>
      <c r="AY226" s="27" t="b">
        <f>S226&gt;R226</f>
        <v>0</v>
      </c>
      <c r="BA226" s="27" t="e">
        <f>AND(AA226&gt;$BA$3,(W226+$W$8)/$W$2&lt;$BB$3,(X226+$X$8)/$X$2&lt;$BB$3)</f>
        <v>#VALUE!</v>
      </c>
      <c r="BB226" s="27" t="e">
        <f>AND(AA226&lt;$BA$3,AND(W226/$W$2&gt;$BB$3,X226/$X$2&gt;$BB$3))</f>
        <v>#VALUE!</v>
      </c>
      <c r="BC226" s="27" t="e">
        <f>AND(AA226&lt;$BA$3,OR(W226/$W$2&gt;$BB$3,X226/$X$2&gt;$BB$3))</f>
        <v>#VALUE!</v>
      </c>
      <c r="BE226" s="32">
        <v>32</v>
      </c>
    </row>
    <row r="227" spans="1:57" s="27" customFormat="1" ht="12.75" customHeight="1" x14ac:dyDescent="0.2">
      <c r="A227" s="10">
        <v>443212</v>
      </c>
      <c r="B227" s="2">
        <v>20</v>
      </c>
      <c r="C227" s="10">
        <v>24</v>
      </c>
      <c r="D227" s="10">
        <v>25</v>
      </c>
      <c r="E227" s="10"/>
      <c r="F227" s="10"/>
      <c r="G227" s="10"/>
      <c r="H227" s="10"/>
      <c r="I227" s="10"/>
      <c r="J227" s="2">
        <v>32</v>
      </c>
      <c r="K227" s="10">
        <v>50</v>
      </c>
      <c r="L227" s="10">
        <v>52</v>
      </c>
      <c r="M227" s="10"/>
      <c r="N227" s="93"/>
      <c r="O227" s="13"/>
      <c r="P227" s="10">
        <v>101</v>
      </c>
      <c r="Q227" s="10"/>
      <c r="R227" s="2"/>
      <c r="S227" s="10"/>
      <c r="T227" s="13"/>
      <c r="U227" s="1">
        <f t="array" ref="U227">IF(AND(A227&lt;&gt;"",OR(ISNUMBER(B227:I227))),SUM(B227:I227),"")</f>
        <v>69</v>
      </c>
      <c r="V227" s="10">
        <f t="array" ref="V227">IF(AND(A227&lt;&gt;"",OR(ISNUMBER(J227:O227))),SUM(J227:O227),"")</f>
        <v>134</v>
      </c>
      <c r="W227" s="10">
        <f t="array" ref="W227">IF(AND(A227&lt;&gt;"",OR(ISNUMBER(P227),ISNUMBER(Q227))),SUM(MAX(P227:Q227),Q227),"")</f>
        <v>101</v>
      </c>
      <c r="X227" s="10" t="str">
        <f t="array" ref="X227">IF(AND(A227&lt;&gt;"",OR(ISNUMBER(S227),ISNUMBER(T227))),SUM(S227,T227),"")</f>
        <v/>
      </c>
      <c r="Y227" s="13">
        <v>1</v>
      </c>
      <c r="Z227" s="13">
        <f>IF(A227&lt;&gt;"",SUM(U227:Y227),"")</f>
        <v>305</v>
      </c>
      <c r="AA227" s="27">
        <f>IF(A227&lt;&gt;"",(Z227+Normalize_To_Add)/(Point_Total_So_Far)*100,"")</f>
        <v>100</v>
      </c>
      <c r="AB227" s="10">
        <f>IF(A227&lt;&gt;"",RANK(AA227,All_Student_XC),"")</f>
        <v>109</v>
      </c>
      <c r="AC227" s="32" t="str">
        <f>IF(A227&lt;&gt;"",CHOOSE(10-MIN(9,TRUNC((AA227+0.5)/10)),"A","B","C","D","F","F","F","F","F","F"),"")</f>
        <v>A</v>
      </c>
      <c r="AD227" s="31" t="str">
        <f>IF(A227&lt;&gt;"",IF(OR(AA227+0.5&gt;=93,AA227+0.5&lt;60),"",IF(MOD(AA227+0.5,10)&gt;=7,"+",IF(MOD(AA227+0.5,10)&lt;3,"-",""))),"")</f>
        <v/>
      </c>
      <c r="AE227" s="32">
        <f>IF(A227&lt;&gt;"",SUM(W227:X227,$W$8:$X$8)/SUM($W$2:$X$2)*100,"")</f>
        <v>101</v>
      </c>
      <c r="AF227" s="32" t="str">
        <f>IF(A227&lt;&gt;"",CHOOSE(10-MIN(9,TRUNC((AE227+0.5)/10)),"A","B","C","D","F","F","F","F","F","F"),"")</f>
        <v>A</v>
      </c>
      <c r="AG227" s="32" t="str">
        <f>IF(A227&lt;&gt;"",IF(OR(AE227+0.5&gt;=93,AE227+0.5&lt;60),"",IF(MOD(AE227+0.5,10)&gt;=7,"+",IF(MOD(AE227+0.5,10)&lt;3,"-",""))),"")</f>
        <v/>
      </c>
      <c r="AH227" s="36">
        <f>IF(A227&lt;&gt;"",MIN(MAX(AA227,AE227),AA227+$AH$8,AE227+$AH$8),"")</f>
        <v>101</v>
      </c>
      <c r="AI227" s="32" t="str">
        <f>IF(A227&lt;&gt;"",CHOOSE(10-MIN(9,TRUNC((AH227+0.5)/10)),"A","B","C","D","F","F","F","F","F","F"),"")</f>
        <v>A</v>
      </c>
      <c r="AJ227" s="32" t="str">
        <f>IF(A227&lt;&gt;"",IF(OR(AH227+0.5&gt;=93,AH227+0.5&lt;60),"",IF(MOD(AH227+0.5,10)&gt;=7,"+",IF(MOD(AH227+0.5,10)&lt;3,"-",""))),"")</f>
        <v/>
      </c>
      <c r="AK227" s="71" t="b">
        <f>IF(A227&lt;&gt;"",OR(AI227&lt;&gt;AC227,AJ227&lt;&gt;AD227),"")</f>
        <v>0</v>
      </c>
      <c r="AL227" s="86">
        <f>IF(AND(A227&lt;&gt;"",U227&lt;&gt;""),SUM(U227,$AL$8)/$AL$2*100,"")</f>
        <v>92</v>
      </c>
      <c r="AM227" s="71">
        <f>IF(AND(A227&lt;&gt;"",V227&lt;&gt;""),SUM(V227,$AM$8)/$AM$2*100,"")</f>
        <v>103.07692307692307</v>
      </c>
      <c r="AN227" s="71">
        <f>IF(AND(A227&lt;&gt;"",ISNUMBER(P227),P227&gt;=0),SUM(P227,$AN$8)/$AN$2*100,"")</f>
        <v>101</v>
      </c>
      <c r="AO227" s="71" t="str">
        <f>IF(AND(A227&lt;&gt;"",ISNUMBER(Q227),Q227&gt;=0),SUM(Q227,$AO$8)/$AO$2*100,"")</f>
        <v/>
      </c>
      <c r="AP227" s="24" t="str">
        <f>IF(AND(A227&lt;&gt;"",R227&lt;&gt;""),SUM(R227,$AP$8)/$AP$2*100,"")</f>
        <v/>
      </c>
      <c r="AQ227" s="24">
        <f>IF(AND(A227&lt;&gt;"",ISNUMBER(W227),W227&gt;=0),SUM(W227,$AQ$8)/$AQ$2*100,"")</f>
        <v>101</v>
      </c>
      <c r="AR227" s="24" t="str">
        <f>IF(AND(A227&lt;&gt;"",T227&gt;0,ISNUMBER(T227)),SUM(T227,$AR$8)/$AR$2*100,"")</f>
        <v/>
      </c>
      <c r="AS227" s="24" t="str">
        <f>IF(AND(A227&lt;&gt;"",X227&lt;&gt;""),SUM(X227,$AS$8)/$AS$2*100,"")</f>
        <v/>
      </c>
      <c r="AT227" s="89">
        <f>IF(AND(A227&lt;&gt;"",OR(ISNUMBER(W227),ISNUMBER(X227))),SUM(W227:X227,$AT$8)/$AT$2*100,"")</f>
        <v>101</v>
      </c>
      <c r="AU227" s="24">
        <f>AA227</f>
        <v>100</v>
      </c>
      <c r="AV227" s="71"/>
      <c r="AW227" s="27">
        <f>IF(A227&lt;&gt;"",AE227-AA227,"")</f>
        <v>1</v>
      </c>
      <c r="AY227" s="27" t="b">
        <f>S227&gt;R227</f>
        <v>0</v>
      </c>
      <c r="BA227" s="27" t="e">
        <f>AND(AA227&gt;$BA$3,(W227+$W$8)/$W$2&lt;$BB$3,(X227+$X$8)/$X$2&lt;$BB$3)</f>
        <v>#VALUE!</v>
      </c>
      <c r="BB227" s="27" t="e">
        <f>AND(AA227&lt;$BA$3,AND(W227/$W$2&gt;$BB$3,X227/$X$2&gt;$BB$3))</f>
        <v>#VALUE!</v>
      </c>
      <c r="BC227" s="27" t="e">
        <f>AND(AA227&lt;$BA$3,OR(W227/$W$2&gt;$BB$3,X227/$X$2&gt;$BB$3))</f>
        <v>#VALUE!</v>
      </c>
      <c r="BE227" s="32" t="s">
        <v>84</v>
      </c>
    </row>
    <row r="228" spans="1:57" s="27" customFormat="1" ht="12.75" customHeight="1" x14ac:dyDescent="0.2">
      <c r="A228" s="10">
        <v>446583</v>
      </c>
      <c r="B228" s="2">
        <v>16</v>
      </c>
      <c r="C228" s="10">
        <v>15</v>
      </c>
      <c r="D228" s="10">
        <v>22</v>
      </c>
      <c r="E228" s="10"/>
      <c r="F228" s="10"/>
      <c r="G228" s="3"/>
      <c r="H228" s="10"/>
      <c r="I228" s="10"/>
      <c r="J228" s="2">
        <v>30</v>
      </c>
      <c r="K228" s="10">
        <v>45</v>
      </c>
      <c r="L228" s="10">
        <v>49</v>
      </c>
      <c r="M228" s="10"/>
      <c r="N228" s="10"/>
      <c r="O228" s="12"/>
      <c r="P228" s="7">
        <v>101</v>
      </c>
      <c r="Q228" s="7"/>
      <c r="R228" s="2"/>
      <c r="S228" s="10"/>
      <c r="T228" s="13"/>
      <c r="U228" s="77">
        <f t="array" ref="U228">IF(AND(A228&lt;&gt;"",OR(ISNUMBER(B228:I228))),SUM(B228:I228),"")</f>
        <v>53</v>
      </c>
      <c r="V228" s="10">
        <f t="array" ref="V228">IF(AND(A228&lt;&gt;"",OR(ISNUMBER(J228:O228))),SUM(J228:O228),"")</f>
        <v>124</v>
      </c>
      <c r="W228" s="10">
        <f t="array" ref="W228">IF(AND(A228&lt;&gt;"",OR(ISNUMBER(P228),ISNUMBER(Q228))),SUM(MAX(P228:Q228),Q228),"")</f>
        <v>101</v>
      </c>
      <c r="X228" s="10" t="str">
        <f t="array" ref="X228">IF(AND(A228&lt;&gt;"",OR(ISNUMBER(S228),ISNUMBER(T228))),SUM(S228,T228),"")</f>
        <v/>
      </c>
      <c r="Y228" s="13">
        <v>1</v>
      </c>
      <c r="Z228" s="13">
        <f>IF(A228&lt;&gt;"",SUM(U228:Y228),"")</f>
        <v>279</v>
      </c>
      <c r="AA228" s="27">
        <f>IF(A228&lt;&gt;"",(Z228+Normalize_To_Add)/(Point_Total_So_Far)*100,"")</f>
        <v>91.475409836065566</v>
      </c>
      <c r="AB228" s="10">
        <f>IF(A228&lt;&gt;"",RANK(AA228,All_Student_XC),"")</f>
        <v>315</v>
      </c>
      <c r="AC228" s="32" t="str">
        <f>IF(A228&lt;&gt;"",CHOOSE(10-MIN(9,TRUNC((AA228+0.5)/10)),"A","B","C","D","F","F","F","F","F","F"),"")</f>
        <v>A</v>
      </c>
      <c r="AD228" s="32" t="str">
        <f>IF(A228&lt;&gt;"",IF(OR(AA228+0.5&gt;=93,AA228+0.5&lt;60),"",IF(MOD(AA228+0.5,10)&gt;=7,"+",IF(MOD(AA228+0.5,10)&lt;3,"-",""))),"")</f>
        <v>-</v>
      </c>
      <c r="AE228" s="32">
        <f>IF(A228&lt;&gt;"",SUM(W228:X228,$W$8:$X$8)/SUM($W$2:$X$2)*100,"")</f>
        <v>101</v>
      </c>
      <c r="AF228" s="32" t="str">
        <f>IF(A228&lt;&gt;"",CHOOSE(10-MIN(9,TRUNC((AE228+0.5)/10)),"A","B","C","D","F","F","F","F","F","F"),"")</f>
        <v>A</v>
      </c>
      <c r="AG228" s="32" t="str">
        <f>IF(A228&lt;&gt;"",IF(OR(AE228+0.5&gt;=93,AE228+0.5&lt;60),"",IF(MOD(AE228+0.5,10)&gt;=7,"+",IF(MOD(AE228+0.5,10)&lt;3,"-",""))),"")</f>
        <v/>
      </c>
      <c r="AH228" s="36">
        <f>IF(A228&lt;&gt;"",MIN(MAX(AA228,AE228),AA228+$AH$8,AE228+$AH$8),"")</f>
        <v>101</v>
      </c>
      <c r="AI228" s="32" t="str">
        <f>IF(A228&lt;&gt;"",CHOOSE(10-MIN(9,TRUNC((AH228+0.5)/10)),"A","B","C","D","F","F","F","F","F","F"),"")</f>
        <v>A</v>
      </c>
      <c r="AJ228" s="32" t="str">
        <f>IF(A228&lt;&gt;"",IF(OR(AH228+0.5&gt;=93,AH228+0.5&lt;60),"",IF(MOD(AH228+0.5,10)&gt;=7,"+",IF(MOD(AH228+0.5,10)&lt;3,"-",""))),"")</f>
        <v/>
      </c>
      <c r="AK228" s="32" t="b">
        <f>IF(A228&lt;&gt;"",OR(AI228&lt;&gt;AC228,AJ228&lt;&gt;AD228),"")</f>
        <v>1</v>
      </c>
      <c r="AL228" s="84">
        <f>IF(AND(A228&lt;&gt;"",U228&lt;&gt;""),SUM(U228,$AL$8)/$AL$2*100,"")</f>
        <v>70.666666666666671</v>
      </c>
      <c r="AM228" s="24">
        <f>IF(AND(A228&lt;&gt;"",V228&lt;&gt;""),SUM(V228,$AM$8)/$AM$2*100,"")</f>
        <v>95.384615384615387</v>
      </c>
      <c r="AN228" s="24">
        <f>IF(AND(A228&lt;&gt;"",ISNUMBER(P228),P228&gt;=0),SUM(P228,$AN$8)/$AN$2*100,"")</f>
        <v>101</v>
      </c>
      <c r="AO228" s="24" t="str">
        <f>IF(AND(A228&lt;&gt;"",ISNUMBER(Q228),Q228&gt;=0),SUM(Q228,$AO$8)/$AO$2*100,"")</f>
        <v/>
      </c>
      <c r="AP228" s="24" t="str">
        <f>IF(AND(A228&lt;&gt;"",R228&lt;&gt;""),SUM(R228,$AP$8)/$AP$2*100,"")</f>
        <v/>
      </c>
      <c r="AQ228" s="24">
        <f>IF(AND(A228&lt;&gt;"",ISNUMBER(W228),W228&gt;=0),SUM(W228,$AQ$8)/$AQ$2*100,"")</f>
        <v>101</v>
      </c>
      <c r="AR228" s="24" t="str">
        <f>IF(AND(A228&lt;&gt;"",T228&gt;0,ISNUMBER(T228)),SUM(T228,$AR$8)/$AR$2*100,"")</f>
        <v/>
      </c>
      <c r="AS228" s="24" t="str">
        <f>IF(AND(A228&lt;&gt;"",X228&lt;&gt;""),SUM(X228,$AS$8)/$AS$2*100,"")</f>
        <v/>
      </c>
      <c r="AT228" s="89">
        <f>IF(AND(A228&lt;&gt;"",OR(ISNUMBER(W228),ISNUMBER(X228))),SUM(W228:X228,$AT$8)/$AT$2*100,"")</f>
        <v>101</v>
      </c>
      <c r="AU228" s="24">
        <f>AA228</f>
        <v>91.475409836065566</v>
      </c>
      <c r="AV228" s="24"/>
      <c r="AW228" s="27">
        <f>IF(A228&lt;&gt;"",AE228-AA228,"")</f>
        <v>9.5245901639344339</v>
      </c>
      <c r="AY228" s="27" t="b">
        <f>S228&gt;R228</f>
        <v>0</v>
      </c>
      <c r="BA228" s="27" t="e">
        <f>AND(AA228&gt;$BA$3,(W228+$W$8)/$W$2&lt;$BB$3,(X228+$X$8)/$X$2&lt;$BB$3)</f>
        <v>#VALUE!</v>
      </c>
      <c r="BB228" s="27" t="e">
        <f>AND(AA228&lt;$BA$3,AND(W228/$W$2&gt;$BB$3,X228/$X$2&gt;$BB$3))</f>
        <v>#VALUE!</v>
      </c>
      <c r="BC228" s="27" t="e">
        <f>AND(AA228&lt;$BA$3,OR(W228/$W$2&gt;$BB$3,X228/$X$2&gt;$BB$3))</f>
        <v>#VALUE!</v>
      </c>
      <c r="BE228" s="32" t="s">
        <v>85</v>
      </c>
    </row>
    <row r="229" spans="1:57" s="27" customFormat="1" ht="12.75" customHeight="1" x14ac:dyDescent="0.2">
      <c r="A229" s="10">
        <v>450577</v>
      </c>
      <c r="B229" s="55">
        <v>7</v>
      </c>
      <c r="C229" s="10">
        <v>11</v>
      </c>
      <c r="D229" s="10">
        <v>11</v>
      </c>
      <c r="E229" s="10"/>
      <c r="F229" s="10"/>
      <c r="G229" s="3"/>
      <c r="H229" s="10"/>
      <c r="I229" s="10"/>
      <c r="J229" s="2">
        <v>21</v>
      </c>
      <c r="K229" s="10">
        <v>1</v>
      </c>
      <c r="L229" s="10">
        <v>20</v>
      </c>
      <c r="M229" s="10"/>
      <c r="N229" s="10"/>
      <c r="O229" s="12"/>
      <c r="P229" s="41">
        <v>100</v>
      </c>
      <c r="Q229" s="41"/>
      <c r="R229" s="2"/>
      <c r="S229" s="10"/>
      <c r="T229" s="13"/>
      <c r="U229" s="1">
        <f t="array" ref="U229">IF(AND(A229&lt;&gt;"",OR(ISNUMBER(B229:I229))),SUM(B229:I229),"")</f>
        <v>29</v>
      </c>
      <c r="V229" s="10">
        <f t="array" ref="V229">IF(AND(A229&lt;&gt;"",OR(ISNUMBER(J229:O229))),SUM(J229:O229),"")</f>
        <v>42</v>
      </c>
      <c r="W229" s="10">
        <f t="array" ref="W229">IF(AND(A229&lt;&gt;"",OR(ISNUMBER(P229),ISNUMBER(Q229))),SUM(MAX(P229:Q229),Q229),"")</f>
        <v>100</v>
      </c>
      <c r="X229" s="10" t="str">
        <f t="array" ref="X229">IF(AND(A229&lt;&gt;"",OR(ISNUMBER(S229),ISNUMBER(T229))),SUM(S229,T229),"")</f>
        <v/>
      </c>
      <c r="Y229" s="13">
        <v>1</v>
      </c>
      <c r="Z229" s="13">
        <f>IF(A229&lt;&gt;"",SUM(U229:Y229),"")</f>
        <v>172</v>
      </c>
      <c r="AA229" s="27">
        <f>IF(A229&lt;&gt;"",(Z229+Normalize_To_Add)/(Point_Total_So_Far)*100,"")</f>
        <v>56.393442622950815</v>
      </c>
      <c r="AB229" s="10">
        <f>IF(A229&lt;&gt;"",RANK(AA229,All_Student_XC),"")</f>
        <v>486</v>
      </c>
      <c r="AC229" s="32" t="str">
        <f>IF(A229&lt;&gt;"",CHOOSE(10-MIN(9,TRUNC((AA229+0.5)/10)),"A","B","C","D","F","F","F","F","F","F"),"")</f>
        <v>F</v>
      </c>
      <c r="AD229" s="32" t="str">
        <f>IF(A229&lt;&gt;"",IF(OR(AA229+0.5&gt;=93,AA229+0.5&lt;60),"",IF(MOD(AA229+0.5,10)&gt;=7,"+",IF(MOD(AA229+0.5,10)&lt;3,"-",""))),"")</f>
        <v/>
      </c>
      <c r="AE229" s="32">
        <f>IF(A229&lt;&gt;"",SUM(W229:X229,$W$8:$X$8)/SUM($W$2:$X$2)*100,"")</f>
        <v>100</v>
      </c>
      <c r="AF229" s="32" t="str">
        <f>IF(A229&lt;&gt;"",CHOOSE(10-MIN(9,TRUNC((AE229+0.5)/10)),"A","B","C","D","F","F","F","F","F","F"),"")</f>
        <v>A</v>
      </c>
      <c r="AG229" s="32" t="str">
        <f>IF(A229&lt;&gt;"",IF(OR(AE229+0.5&gt;=93,AE229+0.5&lt;60),"",IF(MOD(AE229+0.5,10)&gt;=7,"+",IF(MOD(AE229+0.5,10)&lt;3,"-",""))),"")</f>
        <v/>
      </c>
      <c r="AH229" s="36">
        <f>IF(A229&lt;&gt;"",MIN(MAX(AA229,AE229),AA229+$AH$8,AE229+$AH$8),"")</f>
        <v>100</v>
      </c>
      <c r="AI229" s="32" t="str">
        <f>IF(A229&lt;&gt;"",CHOOSE(10-MIN(9,TRUNC((AH229+0.5)/10)),"A","B","C","D","F","F","F","F","F","F"),"")</f>
        <v>A</v>
      </c>
      <c r="AJ229" s="32" t="str">
        <f>IF(A229&lt;&gt;"",IF(OR(AH229+0.5&gt;=93,AH229+0.5&lt;60),"",IF(MOD(AH229+0.5,10)&gt;=7,"+",IF(MOD(AH229+0.5,10)&lt;3,"-",""))),"")</f>
        <v/>
      </c>
      <c r="AK229" s="32" t="b">
        <f>IF(A229&lt;&gt;"",OR(AI229&lt;&gt;AC229,AJ229&lt;&gt;AD229),"")</f>
        <v>1</v>
      </c>
      <c r="AL229" s="84">
        <f>IF(AND(A229&lt;&gt;"",U229&lt;&gt;""),SUM(U229,$AL$8)/$AL$2*100,"")</f>
        <v>38.666666666666664</v>
      </c>
      <c r="AM229" s="24">
        <f>IF(AND(A229&lt;&gt;"",V229&lt;&gt;""),SUM(V229,$AM$8)/$AM$2*100,"")</f>
        <v>32.307692307692307</v>
      </c>
      <c r="AN229" s="24">
        <f>IF(AND(A229&lt;&gt;"",ISNUMBER(P229),P229&gt;=0),SUM(P229,$AN$8)/$AN$2*100,"")</f>
        <v>100</v>
      </c>
      <c r="AO229" s="24" t="str">
        <f>IF(AND(A229&lt;&gt;"",ISNUMBER(Q229),Q229&gt;=0),SUM(Q229,$AO$8)/$AO$2*100,"")</f>
        <v/>
      </c>
      <c r="AP229" s="24" t="str">
        <f>IF(AND(A229&lt;&gt;"",R229&lt;&gt;""),SUM(R229,$AP$8)/$AP$2*100,"")</f>
        <v/>
      </c>
      <c r="AQ229" s="24">
        <f>IF(AND(A229&lt;&gt;"",ISNUMBER(W229),W229&gt;=0),SUM(W229,$AQ$8)/$AQ$2*100,"")</f>
        <v>100</v>
      </c>
      <c r="AR229" s="24" t="str">
        <f>IF(AND(A229&lt;&gt;"",T229&gt;0,ISNUMBER(T229)),SUM(T229,$AR$8)/$AR$2*100,"")</f>
        <v/>
      </c>
      <c r="AS229" s="24" t="str">
        <f>IF(AND(A229&lt;&gt;"",X229&lt;&gt;""),SUM(X229,$AS$8)/$AS$2*100,"")</f>
        <v/>
      </c>
      <c r="AT229" s="89">
        <f>IF(AND(A229&lt;&gt;"",OR(ISNUMBER(W229),ISNUMBER(X229))),SUM(W229:X229,$AT$8)/$AT$2*100,"")</f>
        <v>100</v>
      </c>
      <c r="AU229" s="24">
        <f>AA229</f>
        <v>56.393442622950815</v>
      </c>
      <c r="AV229" s="24"/>
      <c r="AW229" s="27">
        <f>IF(A229&lt;&gt;"",AE229-AA229,"")</f>
        <v>43.606557377049185</v>
      </c>
      <c r="AY229" s="27" t="b">
        <f>S229&gt;R229</f>
        <v>0</v>
      </c>
      <c r="BA229" s="27" t="e">
        <f>AND(AA229&gt;$BA$3,(W229+$W$8)/$W$2&lt;$BB$3,(X229+$X$8)/$X$2&lt;$BB$3)</f>
        <v>#VALUE!</v>
      </c>
      <c r="BB229" s="27" t="e">
        <f>AND(AA229&lt;$BA$3,AND(W229/$W$2&gt;$BB$3,X229/$X$2&gt;$BB$3))</f>
        <v>#VALUE!</v>
      </c>
      <c r="BC229" s="27" t="e">
        <f>AND(AA229&lt;$BA$3,OR(W229/$W$2&gt;$BB$3,X229/$X$2&gt;$BB$3))</f>
        <v>#VALUE!</v>
      </c>
      <c r="BE229" s="32">
        <v>32</v>
      </c>
    </row>
    <row r="230" spans="1:57" s="27" customFormat="1" ht="12.75" customHeight="1" x14ac:dyDescent="0.2">
      <c r="A230" s="10">
        <v>451857</v>
      </c>
      <c r="B230" s="2">
        <v>24</v>
      </c>
      <c r="C230" s="10">
        <v>25</v>
      </c>
      <c r="D230" s="10">
        <v>25</v>
      </c>
      <c r="E230" s="10"/>
      <c r="F230" s="10"/>
      <c r="G230" s="10"/>
      <c r="H230" s="10"/>
      <c r="I230" s="10"/>
      <c r="J230" s="2">
        <v>29</v>
      </c>
      <c r="K230" s="10">
        <v>50</v>
      </c>
      <c r="L230" s="10">
        <v>50</v>
      </c>
      <c r="M230" s="10"/>
      <c r="N230" s="10"/>
      <c r="O230" s="12"/>
      <c r="P230" s="10">
        <v>101</v>
      </c>
      <c r="Q230" s="41"/>
      <c r="R230" s="2"/>
      <c r="S230" s="10"/>
      <c r="T230" s="13"/>
      <c r="U230" s="77">
        <f t="array" ref="U230">IF(AND(A230&lt;&gt;"",OR(ISNUMBER(B230:I230))),SUM(B230:I230),"")</f>
        <v>74</v>
      </c>
      <c r="V230" s="10">
        <f t="array" ref="V230">IF(AND(A230&lt;&gt;"",OR(ISNUMBER(J230:O230))),SUM(J230:O230),"")</f>
        <v>129</v>
      </c>
      <c r="W230" s="10">
        <f t="array" ref="W230">IF(AND(A230&lt;&gt;"",OR(ISNUMBER(P230),ISNUMBER(Q230))),SUM(MAX(P230:Q230),Q230),"")</f>
        <v>101</v>
      </c>
      <c r="X230" s="10" t="str">
        <f t="array" ref="X230">IF(AND(A230&lt;&gt;"",OR(ISNUMBER(S230),ISNUMBER(T230))),SUM(S230,T230),"")</f>
        <v/>
      </c>
      <c r="Y230" s="13">
        <v>1</v>
      </c>
      <c r="Z230" s="13">
        <f>IF(A230&lt;&gt;"",SUM(U230:Y230),"")</f>
        <v>305</v>
      </c>
      <c r="AA230" s="27">
        <f>IF(A230&lt;&gt;"",(Z230+Normalize_To_Add)/(Point_Total_So_Far)*100,"")</f>
        <v>100</v>
      </c>
      <c r="AB230" s="10">
        <f>IF(A230&lt;&gt;"",RANK(AA230,All_Student_XC),"")</f>
        <v>109</v>
      </c>
      <c r="AC230" s="32" t="str">
        <f>IF(A230&lt;&gt;"",CHOOSE(10-MIN(9,TRUNC((AA230+0.5)/10)),"A","B","C","D","F","F","F","F","F","F"),"")</f>
        <v>A</v>
      </c>
      <c r="AD230" s="32" t="str">
        <f>IF(A230&lt;&gt;"",IF(OR(AA230+0.5&gt;=93,AA230+0.5&lt;60),"",IF(MOD(AA230+0.5,10)&gt;=7,"+",IF(MOD(AA230+0.5,10)&lt;3,"-",""))),"")</f>
        <v/>
      </c>
      <c r="AE230" s="32">
        <f>IF(A230&lt;&gt;"",SUM(W230:X230,$W$8:$X$8)/SUM($W$2:$X$2)*100,"")</f>
        <v>101</v>
      </c>
      <c r="AF230" s="32" t="str">
        <f>IF(A230&lt;&gt;"",CHOOSE(10-MIN(9,TRUNC((AE230+0.5)/10)),"A","B","C","D","F","F","F","F","F","F"),"")</f>
        <v>A</v>
      </c>
      <c r="AG230" s="32" t="str">
        <f>IF(A230&lt;&gt;"",IF(OR(AE230+0.5&gt;=93,AE230+0.5&lt;60),"",IF(MOD(AE230+0.5,10)&gt;=7,"+",IF(MOD(AE230+0.5,10)&lt;3,"-",""))),"")</f>
        <v/>
      </c>
      <c r="AH230" s="36">
        <f>IF(A230&lt;&gt;"",MIN(MAX(AA230,AE230),AA230+$AH$8,AE230+$AH$8),"")</f>
        <v>101</v>
      </c>
      <c r="AI230" s="32" t="str">
        <f>IF(A230&lt;&gt;"",CHOOSE(10-MIN(9,TRUNC((AH230+0.5)/10)),"A","B","C","D","F","F","F","F","F","F"),"")</f>
        <v>A</v>
      </c>
      <c r="AJ230" s="32" t="str">
        <f>IF(A230&lt;&gt;"",IF(OR(AH230+0.5&gt;=93,AH230+0.5&lt;60),"",IF(MOD(AH230+0.5,10)&gt;=7,"+",IF(MOD(AH230+0.5,10)&lt;3,"-",""))),"")</f>
        <v/>
      </c>
      <c r="AK230" s="32" t="b">
        <f>IF(A230&lt;&gt;"",OR(AI230&lt;&gt;AC230,AJ230&lt;&gt;AD230),"")</f>
        <v>0</v>
      </c>
      <c r="AL230" s="84">
        <f>IF(AND(A230&lt;&gt;"",U230&lt;&gt;""),SUM(U230,$AL$8)/$AL$2*100,"")</f>
        <v>98.666666666666671</v>
      </c>
      <c r="AM230" s="24">
        <f>IF(AND(A230&lt;&gt;"",V230&lt;&gt;""),SUM(V230,$AM$8)/$AM$2*100,"")</f>
        <v>99.230769230769226</v>
      </c>
      <c r="AN230" s="24">
        <f>IF(AND(A230&lt;&gt;"",ISNUMBER(P230),P230&gt;=0),SUM(P230,$AN$8)/$AN$2*100,"")</f>
        <v>101</v>
      </c>
      <c r="AO230" s="24" t="str">
        <f>IF(AND(A230&lt;&gt;"",ISNUMBER(Q230),Q230&gt;=0),SUM(Q230,$AO$8)/$AO$2*100,"")</f>
        <v/>
      </c>
      <c r="AP230" s="24" t="str">
        <f>IF(AND(A230&lt;&gt;"",R230&lt;&gt;""),SUM(R230,$AP$8)/$AP$2*100,"")</f>
        <v/>
      </c>
      <c r="AQ230" s="24">
        <f>IF(AND(A230&lt;&gt;"",ISNUMBER(W230),W230&gt;=0),SUM(W230,$AQ$8)/$AQ$2*100,"")</f>
        <v>101</v>
      </c>
      <c r="AR230" s="24" t="str">
        <f>IF(AND(A230&lt;&gt;"",T230&gt;0,ISNUMBER(T230)),SUM(T230,$AR$8)/$AR$2*100,"")</f>
        <v/>
      </c>
      <c r="AS230" s="24" t="str">
        <f>IF(AND(A230&lt;&gt;"",X230&lt;&gt;""),SUM(X230,$AS$8)/$AS$2*100,"")</f>
        <v/>
      </c>
      <c r="AT230" s="89">
        <f>IF(AND(A230&lt;&gt;"",OR(ISNUMBER(W230),ISNUMBER(X230))),SUM(W230:X230,$AT$8)/$AT$2*100,"")</f>
        <v>101</v>
      </c>
      <c r="AU230" s="24">
        <f>AA230</f>
        <v>100</v>
      </c>
      <c r="AV230" s="24"/>
      <c r="AW230" s="27">
        <f>IF(A230&lt;&gt;"",AE230-AA230,"")</f>
        <v>1</v>
      </c>
      <c r="AY230" s="27" t="b">
        <f>S230&gt;R230</f>
        <v>0</v>
      </c>
      <c r="BA230" s="27" t="e">
        <f>AND(AA230&gt;$BA$3,(W230+$W$8)/$W$2&lt;$BB$3,(X230+$X$8)/$X$2&lt;$BB$3)</f>
        <v>#VALUE!</v>
      </c>
      <c r="BB230" s="27" t="e">
        <f>AND(AA230&lt;$BA$3,AND(W230/$W$2&gt;$BB$3,X230/$X$2&gt;$BB$3))</f>
        <v>#VALUE!</v>
      </c>
      <c r="BC230" s="27" t="e">
        <f>AND(AA230&lt;$BA$3,OR(W230/$W$2&gt;$BB$3,X230/$X$2&gt;$BB$3))</f>
        <v>#VALUE!</v>
      </c>
      <c r="BE230" s="32">
        <v>32</v>
      </c>
    </row>
    <row r="231" spans="1:57" s="27" customFormat="1" ht="12.75" customHeight="1" x14ac:dyDescent="0.2">
      <c r="A231" s="10">
        <v>452068</v>
      </c>
      <c r="B231" s="2">
        <v>2</v>
      </c>
      <c r="C231" s="10">
        <v>10</v>
      </c>
      <c r="D231" s="10">
        <v>12</v>
      </c>
      <c r="E231" s="10"/>
      <c r="F231" s="10"/>
      <c r="G231" s="3"/>
      <c r="H231" s="10"/>
      <c r="I231" s="10"/>
      <c r="J231" s="2">
        <v>23</v>
      </c>
      <c r="K231" s="10">
        <v>52</v>
      </c>
      <c r="L231" s="10">
        <v>49</v>
      </c>
      <c r="M231" s="10"/>
      <c r="N231" s="10"/>
      <c r="O231" s="12"/>
      <c r="P231" s="41">
        <v>30</v>
      </c>
      <c r="Q231" s="41"/>
      <c r="R231" s="2"/>
      <c r="S231" s="10"/>
      <c r="T231" s="13"/>
      <c r="U231" s="1">
        <f t="array" ref="U231">IF(AND(A231&lt;&gt;"",OR(ISNUMBER(B231:I231))),SUM(B231:I231),"")</f>
        <v>24</v>
      </c>
      <c r="V231" s="10">
        <f t="array" ref="V231">IF(AND(A231&lt;&gt;"",OR(ISNUMBER(J231:O231))),SUM(J231:O231),"")</f>
        <v>124</v>
      </c>
      <c r="W231" s="10">
        <f t="array" ref="W231">IF(AND(A231&lt;&gt;"",OR(ISNUMBER(P231),ISNUMBER(Q231))),SUM(MAX(P231:Q231),Q231),"")</f>
        <v>30</v>
      </c>
      <c r="X231" s="10" t="str">
        <f t="array" ref="X231">IF(AND(A231&lt;&gt;"",OR(ISNUMBER(S231),ISNUMBER(T231))),SUM(S231,T231),"")</f>
        <v/>
      </c>
      <c r="Y231" s="13">
        <v>1</v>
      </c>
      <c r="Z231" s="13">
        <f>IF(A231&lt;&gt;"",SUM(U231:Y231),"")</f>
        <v>179</v>
      </c>
      <c r="AA231" s="27">
        <f>IF(A231&lt;&gt;"",(Z231+Normalize_To_Add)/(Point_Total_So_Far)*100,"")</f>
        <v>58.688524590163937</v>
      </c>
      <c r="AB231" s="10">
        <f>IF(A231&lt;&gt;"",RANK(AA231,All_Student_XC),"")</f>
        <v>480</v>
      </c>
      <c r="AC231" s="32" t="str">
        <f>IF(A231&lt;&gt;"",CHOOSE(10-MIN(9,TRUNC((AA231+0.5)/10)),"A","B","C","D","F","F","F","F","F","F"),"")</f>
        <v>F</v>
      </c>
      <c r="AD231" s="32" t="str">
        <f>IF(A231&lt;&gt;"",IF(OR(AA231+0.5&gt;=93,AA231+0.5&lt;60),"",IF(MOD(AA231+0.5,10)&gt;=7,"+",IF(MOD(AA231+0.5,10)&lt;3,"-",""))),"")</f>
        <v/>
      </c>
      <c r="AE231" s="32">
        <f>IF(A231&lt;&gt;"",SUM(W231:X231,$W$8:$X$8)/SUM($W$2:$X$2)*100,"")</f>
        <v>30</v>
      </c>
      <c r="AF231" s="32" t="str">
        <f>IF(A231&lt;&gt;"",CHOOSE(10-MIN(9,TRUNC((AE231+0.5)/10)),"A","B","C","D","F","F","F","F","F","F"),"")</f>
        <v>F</v>
      </c>
      <c r="AG231" s="32" t="str">
        <f>IF(A231&lt;&gt;"",IF(OR(AE231+0.5&gt;=93,AE231+0.5&lt;60),"",IF(MOD(AE231+0.5,10)&gt;=7,"+",IF(MOD(AE231+0.5,10)&lt;3,"-",""))),"")</f>
        <v/>
      </c>
      <c r="AH231" s="36">
        <f>IF(A231&lt;&gt;"",MIN(MAX(AA231,AE231),AA231+$AH$8,AE231+$AH$8),"")</f>
        <v>58.688524590163937</v>
      </c>
      <c r="AI231" s="32" t="str">
        <f>IF(A231&lt;&gt;"",CHOOSE(10-MIN(9,TRUNC((AH231+0.5)/10)),"A","B","C","D","F","F","F","F","F","F"),"")</f>
        <v>F</v>
      </c>
      <c r="AJ231" s="32" t="str">
        <f>IF(A231&lt;&gt;"",IF(OR(AH231+0.5&gt;=93,AH231+0.5&lt;60),"",IF(MOD(AH231+0.5,10)&gt;=7,"+",IF(MOD(AH231+0.5,10)&lt;3,"-",""))),"")</f>
        <v/>
      </c>
      <c r="AK231" s="32" t="b">
        <f>IF(A231&lt;&gt;"",OR(AI231&lt;&gt;AC231,AJ231&lt;&gt;AD231),"")</f>
        <v>0</v>
      </c>
      <c r="AL231" s="84">
        <f>IF(AND(A231&lt;&gt;"",U231&lt;&gt;""),SUM(U231,$AL$8)/$AL$2*100,"")</f>
        <v>32</v>
      </c>
      <c r="AM231" s="24">
        <f>IF(AND(A231&lt;&gt;"",V231&lt;&gt;""),SUM(V231,$AM$8)/$AM$2*100,"")</f>
        <v>95.384615384615387</v>
      </c>
      <c r="AN231" s="24">
        <f>IF(AND(A231&lt;&gt;"",ISNUMBER(P231),P231&gt;=0),SUM(P231,$AN$8)/$AN$2*100,"")</f>
        <v>30</v>
      </c>
      <c r="AO231" s="24" t="str">
        <f>IF(AND(A231&lt;&gt;"",ISNUMBER(Q231),Q231&gt;=0),SUM(Q231,$AO$8)/$AO$2*100,"")</f>
        <v/>
      </c>
      <c r="AP231" s="24" t="str">
        <f>IF(AND(A231&lt;&gt;"",R231&lt;&gt;""),SUM(R231,$AP$8)/$AP$2*100,"")</f>
        <v/>
      </c>
      <c r="AQ231" s="24">
        <f>IF(AND(A231&lt;&gt;"",ISNUMBER(W231),W231&gt;=0),SUM(W231,$AQ$8)/$AQ$2*100,"")</f>
        <v>30</v>
      </c>
      <c r="AR231" s="24" t="str">
        <f>IF(AND(A231&lt;&gt;"",T231&gt;0,ISNUMBER(T231)),SUM(T231,$AR$8)/$AR$2*100,"")</f>
        <v/>
      </c>
      <c r="AS231" s="24" t="str">
        <f>IF(AND(A231&lt;&gt;"",X231&lt;&gt;""),SUM(X231,$AS$8)/$AS$2*100,"")</f>
        <v/>
      </c>
      <c r="AT231" s="89">
        <f>IF(AND(A231&lt;&gt;"",OR(ISNUMBER(W231),ISNUMBER(X231))),SUM(W231:X231,$AT$8)/$AT$2*100,"")</f>
        <v>30</v>
      </c>
      <c r="AU231" s="24">
        <f>AA231</f>
        <v>58.688524590163937</v>
      </c>
      <c r="AV231" s="24"/>
      <c r="AW231" s="27">
        <f>IF(A231&lt;&gt;"",AE231-AA231,"")</f>
        <v>-28.688524590163937</v>
      </c>
      <c r="AY231" s="27" t="b">
        <f>S231&gt;R231</f>
        <v>0</v>
      </c>
      <c r="BA231" s="27" t="e">
        <f>AND(AA231&gt;$BA$3,(W231+$W$8)/$W$2&lt;$BB$3,(X231+$X$8)/$X$2&lt;$BB$3)</f>
        <v>#VALUE!</v>
      </c>
      <c r="BB231" s="27" t="e">
        <f>AND(AA231&lt;$BA$3,AND(W231/$W$2&gt;$BB$3,X231/$X$2&gt;$BB$3))</f>
        <v>#VALUE!</v>
      </c>
      <c r="BC231" s="27" t="e">
        <f>AND(AA231&lt;$BA$3,OR(W231/$W$2&gt;$BB$3,X231/$X$2&gt;$BB$3))</f>
        <v>#VALUE!</v>
      </c>
      <c r="BE231" s="32" t="s">
        <v>85</v>
      </c>
    </row>
    <row r="232" spans="1:57" s="27" customFormat="1" ht="12.75" customHeight="1" x14ac:dyDescent="0.2">
      <c r="A232" s="10">
        <v>452530</v>
      </c>
      <c r="B232" s="2">
        <v>22</v>
      </c>
      <c r="C232" s="10">
        <v>13</v>
      </c>
      <c r="D232" s="10">
        <v>22</v>
      </c>
      <c r="E232" s="10"/>
      <c r="F232" s="10"/>
      <c r="G232" s="3"/>
      <c r="H232" s="10"/>
      <c r="I232" s="10"/>
      <c r="J232" s="2">
        <v>28</v>
      </c>
      <c r="K232" s="10">
        <v>51</v>
      </c>
      <c r="L232" s="10">
        <v>29</v>
      </c>
      <c r="M232" s="10"/>
      <c r="N232" s="10"/>
      <c r="O232" s="12"/>
      <c r="P232" s="41">
        <v>80</v>
      </c>
      <c r="Q232" s="41"/>
      <c r="R232" s="2"/>
      <c r="S232" s="10"/>
      <c r="T232" s="13"/>
      <c r="U232" s="1">
        <f t="array" ref="U232">IF(AND(A232&lt;&gt;"",OR(ISNUMBER(B232:I232))),SUM(B232:I232),"")</f>
        <v>57</v>
      </c>
      <c r="V232" s="10">
        <f t="array" ref="V232">IF(AND(A232&lt;&gt;"",OR(ISNUMBER(J232:O232))),SUM(J232:O232),"")</f>
        <v>108</v>
      </c>
      <c r="W232" s="10">
        <f t="array" ref="W232">IF(AND(A232&lt;&gt;"",OR(ISNUMBER(P232),ISNUMBER(Q232))),SUM(MAX(P232:Q232),Q232),"")</f>
        <v>80</v>
      </c>
      <c r="X232" s="10" t="str">
        <f t="array" ref="X232">IF(AND(A232&lt;&gt;"",OR(ISNUMBER(S232),ISNUMBER(T232))),SUM(S232,T232),"")</f>
        <v/>
      </c>
      <c r="Y232" s="13">
        <v>1</v>
      </c>
      <c r="Z232" s="13">
        <f>IF(A232&lt;&gt;"",SUM(U232:Y232),"")</f>
        <v>246</v>
      </c>
      <c r="AA232" s="27">
        <f>IF(A232&lt;&gt;"",(Z232+Normalize_To_Add)/(Point_Total_So_Far)*100,"")</f>
        <v>80.655737704918025</v>
      </c>
      <c r="AB232" s="10">
        <f>IF(A232&lt;&gt;"",RANK(AA232,All_Student_XC),"")</f>
        <v>407</v>
      </c>
      <c r="AC232" s="32" t="str">
        <f>IF(A232&lt;&gt;"",CHOOSE(10-MIN(9,TRUNC((AA232+0.5)/10)),"A","B","C","D","F","F","F","F","F","F"),"")</f>
        <v>B</v>
      </c>
      <c r="AD232" s="32" t="str">
        <f>IF(A232&lt;&gt;"",IF(OR(AA232+0.5&gt;=93,AA232+0.5&lt;60),"",IF(MOD(AA232+0.5,10)&gt;=7,"+",IF(MOD(AA232+0.5,10)&lt;3,"-",""))),"")</f>
        <v>-</v>
      </c>
      <c r="AE232" s="32">
        <f>IF(A232&lt;&gt;"",SUM(W232:X232,$W$8:$X$8)/SUM($W$2:$X$2)*100,"")</f>
        <v>80</v>
      </c>
      <c r="AF232" s="32" t="str">
        <f>IF(A232&lt;&gt;"",CHOOSE(10-MIN(9,TRUNC((AE232+0.5)/10)),"A","B","C","D","F","F","F","F","F","F"),"")</f>
        <v>B</v>
      </c>
      <c r="AG232" s="32" t="str">
        <f>IF(A232&lt;&gt;"",IF(OR(AE232+0.5&gt;=93,AE232+0.5&lt;60),"",IF(MOD(AE232+0.5,10)&gt;=7,"+",IF(MOD(AE232+0.5,10)&lt;3,"-",""))),"")</f>
        <v>-</v>
      </c>
      <c r="AH232" s="36">
        <f>IF(A232&lt;&gt;"",MIN(MAX(AA232,AE232),AA232+$AH$8,AE232+$AH$8),"")</f>
        <v>80.655737704918025</v>
      </c>
      <c r="AI232" s="32" t="str">
        <f>IF(A232&lt;&gt;"",CHOOSE(10-MIN(9,TRUNC((AH232+0.5)/10)),"A","B","C","D","F","F","F","F","F","F"),"")</f>
        <v>B</v>
      </c>
      <c r="AJ232" s="32" t="str">
        <f>IF(A232&lt;&gt;"",IF(OR(AH232+0.5&gt;=93,AH232+0.5&lt;60),"",IF(MOD(AH232+0.5,10)&gt;=7,"+",IF(MOD(AH232+0.5,10)&lt;3,"-",""))),"")</f>
        <v>-</v>
      </c>
      <c r="AK232" s="32" t="b">
        <f>IF(A232&lt;&gt;"",OR(AI232&lt;&gt;AC232,AJ232&lt;&gt;AD232),"")</f>
        <v>0</v>
      </c>
      <c r="AL232" s="84">
        <f>IF(AND(A232&lt;&gt;"",U232&lt;&gt;""),SUM(U232,$AL$8)/$AL$2*100,"")</f>
        <v>76</v>
      </c>
      <c r="AM232" s="24">
        <f>IF(AND(A232&lt;&gt;"",V232&lt;&gt;""),SUM(V232,$AM$8)/$AM$2*100,"")</f>
        <v>83.07692307692308</v>
      </c>
      <c r="AN232" s="24">
        <f>IF(AND(A232&lt;&gt;"",ISNUMBER(P232),P232&gt;=0),SUM(P232,$AN$8)/$AN$2*100,"")</f>
        <v>80</v>
      </c>
      <c r="AO232" s="24" t="str">
        <f>IF(AND(A232&lt;&gt;"",ISNUMBER(Q232),Q232&gt;=0),SUM(Q232,$AO$8)/$AO$2*100,"")</f>
        <v/>
      </c>
      <c r="AP232" s="24" t="str">
        <f>IF(AND(A232&lt;&gt;"",R232&lt;&gt;""),SUM(R232,$AP$8)/$AP$2*100,"")</f>
        <v/>
      </c>
      <c r="AQ232" s="24">
        <f>IF(AND(A232&lt;&gt;"",ISNUMBER(W232),W232&gt;=0),SUM(W232,$AQ$8)/$AQ$2*100,"")</f>
        <v>80</v>
      </c>
      <c r="AR232" s="24" t="str">
        <f>IF(AND(A232&lt;&gt;"",T232&gt;0,ISNUMBER(T232)),SUM(T232,$AR$8)/$AR$2*100,"")</f>
        <v/>
      </c>
      <c r="AS232" s="24" t="str">
        <f>IF(AND(A232&lt;&gt;"",X232&lt;&gt;""),SUM(X232,$AS$8)/$AS$2*100,"")</f>
        <v/>
      </c>
      <c r="AT232" s="89">
        <f>IF(AND(A232&lt;&gt;"",OR(ISNUMBER(W232),ISNUMBER(X232))),SUM(W232:X232,$AT$8)/$AT$2*100,"")</f>
        <v>80</v>
      </c>
      <c r="AU232" s="24">
        <f>AA232</f>
        <v>80.655737704918025</v>
      </c>
      <c r="AV232" s="24"/>
      <c r="AW232" s="27">
        <f>IF(A232&lt;&gt;"",AE232-AA232,"")</f>
        <v>-0.65573770491802463</v>
      </c>
      <c r="AY232" s="27" t="b">
        <f>S232&gt;R232</f>
        <v>0</v>
      </c>
      <c r="BA232" s="27" t="e">
        <f>AND(AA232&gt;$BA$3,(W232+$W$8)/$W$2&lt;$BB$3,(X232+$X$8)/$X$2&lt;$BB$3)</f>
        <v>#VALUE!</v>
      </c>
      <c r="BB232" s="27" t="e">
        <f>AND(AA232&lt;$BA$3,AND(W232/$W$2&gt;$BB$3,X232/$X$2&gt;$BB$3))</f>
        <v>#VALUE!</v>
      </c>
      <c r="BC232" s="27" t="e">
        <f>AND(AA232&lt;$BA$3,OR(W232/$W$2&gt;$BB$3,X232/$X$2&gt;$BB$3))</f>
        <v>#VALUE!</v>
      </c>
      <c r="BE232" s="32">
        <v>32</v>
      </c>
    </row>
    <row r="233" spans="1:57" s="27" customFormat="1" ht="12.75" customHeight="1" x14ac:dyDescent="0.2">
      <c r="A233" s="10">
        <v>460187</v>
      </c>
      <c r="B233" s="2">
        <v>20</v>
      </c>
      <c r="C233" s="10">
        <v>21</v>
      </c>
      <c r="D233" s="10">
        <v>22</v>
      </c>
      <c r="E233" s="10"/>
      <c r="F233" s="10"/>
      <c r="G233" s="3"/>
      <c r="H233" s="10"/>
      <c r="I233" s="10"/>
      <c r="J233" s="2">
        <v>28</v>
      </c>
      <c r="K233" s="10">
        <v>29</v>
      </c>
      <c r="L233" s="10">
        <v>41</v>
      </c>
      <c r="M233" s="10"/>
      <c r="N233" s="10"/>
      <c r="O233" s="12"/>
      <c r="P233" s="41">
        <v>100</v>
      </c>
      <c r="Q233" s="41"/>
      <c r="R233" s="2"/>
      <c r="S233" s="10"/>
      <c r="T233" s="13"/>
      <c r="U233" s="1">
        <f t="array" ref="U233">IF(AND(A233&lt;&gt;"",OR(ISNUMBER(B233:I233))),SUM(B233:I233),"")</f>
        <v>63</v>
      </c>
      <c r="V233" s="10">
        <f t="array" ref="V233">IF(AND(A233&lt;&gt;"",OR(ISNUMBER(J233:O233))),SUM(J233:O233),"")</f>
        <v>98</v>
      </c>
      <c r="W233" s="10">
        <f t="array" ref="W233">IF(AND(A233&lt;&gt;"",OR(ISNUMBER(P233),ISNUMBER(Q233))),SUM(MAX(P233:Q233),Q233),"")</f>
        <v>100</v>
      </c>
      <c r="X233" s="10" t="str">
        <f t="array" ref="X233">IF(AND(A233&lt;&gt;"",OR(ISNUMBER(S233),ISNUMBER(T233))),SUM(S233,T233),"")</f>
        <v/>
      </c>
      <c r="Y233" s="13">
        <v>1</v>
      </c>
      <c r="Z233" s="13">
        <f>IF(A233&lt;&gt;"",SUM(U233:Y233),"")</f>
        <v>262</v>
      </c>
      <c r="AA233" s="27">
        <f>IF(A233&lt;&gt;"",(Z233+Normalize_To_Add)/(Point_Total_So_Far)*100,"")</f>
        <v>85.901639344262293</v>
      </c>
      <c r="AB233" s="10">
        <f>IF(A233&lt;&gt;"",RANK(AA233,All_Student_XC),"")</f>
        <v>370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/>
      </c>
      <c r="AE233" s="32">
        <f>IF(A233&lt;&gt;"",SUM(W233:X233,$W$8:$X$8)/SUM($W$2:$X$2)*100,"")</f>
        <v>100</v>
      </c>
      <c r="AF233" s="32" t="str">
        <f>IF(A233&lt;&gt;"",CHOOSE(10-MIN(9,TRUNC((AE233+0.5)/10)),"A","B","C","D","F","F","F","F","F","F"),"")</f>
        <v>A</v>
      </c>
      <c r="AG233" s="32" t="str">
        <f>IF(A233&lt;&gt;"",IF(OR(AE233+0.5&gt;=93,AE233+0.5&lt;60),"",IF(MOD(AE233+0.5,10)&gt;=7,"+",IF(MOD(AE233+0.5,10)&lt;3,"-",""))),"")</f>
        <v/>
      </c>
      <c r="AH233" s="36">
        <f>IF(A233&lt;&gt;"",MIN(MAX(AA233,AE233),AA233+$AH$8,AE233+$AH$8),"")</f>
        <v>100</v>
      </c>
      <c r="AI233" s="32" t="str">
        <f>IF(A233&lt;&gt;"",CHOOSE(10-MIN(9,TRUNC((AH233+0.5)/10)),"A","B","C","D","F","F","F","F","F","F"),"")</f>
        <v>A</v>
      </c>
      <c r="AJ233" s="32" t="str">
        <f>IF(A233&lt;&gt;"",IF(OR(AH233+0.5&gt;=93,AH233+0.5&lt;60),"",IF(MOD(AH233+0.5,10)&gt;=7,"+",IF(MOD(AH233+0.5,10)&lt;3,"-",""))),"")</f>
        <v/>
      </c>
      <c r="AK233" s="32" t="b">
        <f>IF(A233&lt;&gt;"",OR(AI233&lt;&gt;AC233,AJ233&lt;&gt;AD233),"")</f>
        <v>1</v>
      </c>
      <c r="AL233" s="84">
        <f>IF(AND(A233&lt;&gt;"",U233&lt;&gt;""),SUM(U233,$AL$8)/$AL$2*100,"")</f>
        <v>84</v>
      </c>
      <c r="AM233" s="24">
        <f>IF(AND(A233&lt;&gt;"",V233&lt;&gt;""),SUM(V233,$AM$8)/$AM$2*100,"")</f>
        <v>75.384615384615387</v>
      </c>
      <c r="AN233" s="24">
        <f>IF(AND(A233&lt;&gt;"",ISNUMBER(P233),P233&gt;=0),SUM(P233,$AN$8)/$AN$2*100,"")</f>
        <v>100</v>
      </c>
      <c r="AO233" s="24" t="str">
        <f>IF(AND(A233&lt;&gt;"",ISNUMBER(Q233),Q233&gt;=0),SUM(Q233,$AO$8)/$AO$2*100,"")</f>
        <v/>
      </c>
      <c r="AP233" s="24" t="str">
        <f>IF(AND(A233&lt;&gt;"",R233&lt;&gt;""),SUM(R233,$AP$8)/$AP$2*100,"")</f>
        <v/>
      </c>
      <c r="AQ233" s="24">
        <f>IF(AND(A233&lt;&gt;"",ISNUMBER(W233),W233&gt;=0),SUM(W233,$AQ$8)/$AQ$2*100,"")</f>
        <v>100</v>
      </c>
      <c r="AR233" s="24" t="str">
        <f>IF(AND(A233&lt;&gt;"",T233&gt;0,ISNUMBER(T233)),SUM(T233,$AR$8)/$AR$2*100,"")</f>
        <v/>
      </c>
      <c r="AS233" s="24" t="str">
        <f>IF(AND(A233&lt;&gt;"",X233&lt;&gt;""),SUM(X233,$AS$8)/$AS$2*100,"")</f>
        <v/>
      </c>
      <c r="AT233" s="89">
        <f>IF(AND(A233&lt;&gt;"",OR(ISNUMBER(W233),ISNUMBER(X233))),SUM(W233:X233,$AT$8)/$AT$2*100,"")</f>
        <v>100</v>
      </c>
      <c r="AU233" s="24">
        <f>AA233</f>
        <v>85.901639344262293</v>
      </c>
      <c r="AV233" s="24"/>
      <c r="AW233" s="27">
        <f>IF(A233&lt;&gt;"",AE233-AA233,"")</f>
        <v>14.098360655737707</v>
      </c>
      <c r="AY233" s="27" t="b">
        <f>S233&gt;R233</f>
        <v>0</v>
      </c>
      <c r="BA233" s="27" t="e">
        <f>AND(AA233&gt;$BA$3,(W233+$W$8)/$W$2&lt;$BB$3,(X233+$X$8)/$X$2&lt;$BB$3)</f>
        <v>#VALUE!</v>
      </c>
      <c r="BB233" s="27" t="e">
        <f>AND(AA233&lt;$BA$3,AND(W233/$W$2&gt;$BB$3,X233/$X$2&gt;$BB$3))</f>
        <v>#VALUE!</v>
      </c>
      <c r="BC233" s="27" t="e">
        <f>AND(AA233&lt;$BA$3,OR(W233/$W$2&gt;$BB$3,X233/$X$2&gt;$BB$3))</f>
        <v>#VALUE!</v>
      </c>
      <c r="BE233" s="32" t="s">
        <v>84</v>
      </c>
    </row>
    <row r="234" spans="1:57" s="27" customFormat="1" ht="12.75" customHeight="1" x14ac:dyDescent="0.2">
      <c r="A234" s="10">
        <v>463317</v>
      </c>
      <c r="B234" s="2">
        <v>21</v>
      </c>
      <c r="C234" s="10">
        <v>25</v>
      </c>
      <c r="D234" s="10">
        <v>25</v>
      </c>
      <c r="E234" s="10"/>
      <c r="F234" s="10"/>
      <c r="G234" s="10"/>
      <c r="H234" s="10"/>
      <c r="I234" s="10"/>
      <c r="J234" s="2">
        <v>31</v>
      </c>
      <c r="K234" s="10">
        <v>52</v>
      </c>
      <c r="L234" s="10">
        <v>51</v>
      </c>
      <c r="M234" s="10"/>
      <c r="N234" s="10"/>
      <c r="O234" s="12"/>
      <c r="P234" s="7">
        <v>101</v>
      </c>
      <c r="Q234" s="7"/>
      <c r="R234" s="2"/>
      <c r="S234" s="10"/>
      <c r="T234" s="13"/>
      <c r="U234" s="77">
        <f t="array" ref="U234">IF(AND(A234&lt;&gt;"",OR(ISNUMBER(B234:I234))),SUM(B234:I234),"")</f>
        <v>71</v>
      </c>
      <c r="V234" s="10">
        <f t="array" ref="V234">IF(AND(A234&lt;&gt;"",OR(ISNUMBER(J234:O234))),SUM(J234:O234),"")</f>
        <v>134</v>
      </c>
      <c r="W234" s="10">
        <f t="array" ref="W234">IF(AND(A234&lt;&gt;"",OR(ISNUMBER(P234),ISNUMBER(Q234))),SUM(MAX(P234:Q234),Q234),"")</f>
        <v>101</v>
      </c>
      <c r="X234" s="10" t="str">
        <f t="array" ref="X234">IF(AND(A234&lt;&gt;"",OR(ISNUMBER(S234),ISNUMBER(T234))),SUM(S234,T234),"")</f>
        <v/>
      </c>
      <c r="Y234" s="13">
        <v>1</v>
      </c>
      <c r="Z234" s="13">
        <f>IF(A234&lt;&gt;"",SUM(U234:Y234),"")</f>
        <v>307</v>
      </c>
      <c r="AA234" s="27">
        <f>IF(A234&lt;&gt;"",(Z234+Normalize_To_Add)/(Point_Total_So_Far)*100,"")</f>
        <v>100.65573770491802</v>
      </c>
      <c r="AB234" s="10">
        <f>IF(A234&lt;&gt;"",RANK(AA234,All_Student_XC),"")</f>
        <v>72</v>
      </c>
      <c r="AC234" s="32" t="str">
        <f>IF(A234&lt;&gt;"",CHOOSE(10-MIN(9,TRUNC((AA234+0.5)/10)),"A","B","C","D","F","F","F","F","F","F"),"")</f>
        <v>A</v>
      </c>
      <c r="AD234" s="32" t="str">
        <f>IF(A234&lt;&gt;"",IF(OR(AA234+0.5&gt;=93,AA234+0.5&lt;60),"",IF(MOD(AA234+0.5,10)&gt;=7,"+",IF(MOD(AA234+0.5,10)&lt;3,"-",""))),"")</f>
        <v/>
      </c>
      <c r="AE234" s="32">
        <f>IF(A234&lt;&gt;"",SUM(W234:X234,$W$8:$X$8)/SUM($W$2:$X$2)*100,"")</f>
        <v>101</v>
      </c>
      <c r="AF234" s="32" t="str">
        <f>IF(A234&lt;&gt;"",CHOOSE(10-MIN(9,TRUNC((AE234+0.5)/10)),"A","B","C","D","F","F","F","F","F","F"),"")</f>
        <v>A</v>
      </c>
      <c r="AG234" s="32" t="str">
        <f>IF(A234&lt;&gt;"",IF(OR(AE234+0.5&gt;=93,AE234+0.5&lt;60),"",IF(MOD(AE234+0.5,10)&gt;=7,"+",IF(MOD(AE234+0.5,10)&lt;3,"-",""))),"")</f>
        <v/>
      </c>
      <c r="AH234" s="36">
        <f>IF(A234&lt;&gt;"",MIN(MAX(AA234,AE234),AA234+$AH$8,AE234+$AH$8),"")</f>
        <v>101</v>
      </c>
      <c r="AI234" s="32" t="str">
        <f>IF(A234&lt;&gt;"",CHOOSE(10-MIN(9,TRUNC((AH234+0.5)/10)),"A","B","C","D","F","F","F","F","F","F"),"")</f>
        <v>A</v>
      </c>
      <c r="AJ234" s="32" t="str">
        <f>IF(A234&lt;&gt;"",IF(OR(AH234+0.5&gt;=93,AH234+0.5&lt;60),"",IF(MOD(AH234+0.5,10)&gt;=7,"+",IF(MOD(AH234+0.5,10)&lt;3,"-",""))),"")</f>
        <v/>
      </c>
      <c r="AK234" s="32" t="b">
        <f>IF(A234&lt;&gt;"",OR(AI234&lt;&gt;AC234,AJ234&lt;&gt;AD234),"")</f>
        <v>0</v>
      </c>
      <c r="AL234" s="84">
        <f>IF(AND(A234&lt;&gt;"",U234&lt;&gt;""),SUM(U234,$AL$8)/$AL$2*100,"")</f>
        <v>94.666666666666671</v>
      </c>
      <c r="AM234" s="24">
        <f>IF(AND(A234&lt;&gt;"",V234&lt;&gt;""),SUM(V234,$AM$8)/$AM$2*100,"")</f>
        <v>103.07692307692307</v>
      </c>
      <c r="AN234" s="24">
        <f>IF(AND(A234&lt;&gt;"",ISNUMBER(P234),P234&gt;=0),SUM(P234,$AN$8)/$AN$2*100,"")</f>
        <v>101</v>
      </c>
      <c r="AO234" s="24" t="str">
        <f>IF(AND(A234&lt;&gt;"",ISNUMBER(Q234),Q234&gt;=0),SUM(Q234,$AO$8)/$AO$2*100,"")</f>
        <v/>
      </c>
      <c r="AP234" s="24" t="str">
        <f>IF(AND(A234&lt;&gt;"",R234&lt;&gt;""),SUM(R234,$AP$8)/$AP$2*100,"")</f>
        <v/>
      </c>
      <c r="AQ234" s="24">
        <f>IF(AND(A234&lt;&gt;"",ISNUMBER(W234),W234&gt;=0),SUM(W234,$AQ$8)/$AQ$2*100,"")</f>
        <v>101</v>
      </c>
      <c r="AR234" s="24" t="str">
        <f>IF(AND(A234&lt;&gt;"",T234&gt;0,ISNUMBER(T234)),SUM(T234,$AR$8)/$AR$2*100,"")</f>
        <v/>
      </c>
      <c r="AS234" s="24" t="str">
        <f>IF(AND(A234&lt;&gt;"",X234&lt;&gt;""),SUM(X234,$AS$8)/$AS$2*100,"")</f>
        <v/>
      </c>
      <c r="AT234" s="89">
        <f>IF(AND(A234&lt;&gt;"",OR(ISNUMBER(W234),ISNUMBER(X234))),SUM(W234:X234,$AT$8)/$AT$2*100,"")</f>
        <v>101</v>
      </c>
      <c r="AU234" s="24">
        <f>AA234</f>
        <v>100.65573770491802</v>
      </c>
      <c r="AV234" s="24"/>
      <c r="AW234" s="27">
        <f>IF(A234&lt;&gt;"",AE234-AA234,"")</f>
        <v>0.34426229508197537</v>
      </c>
      <c r="AY234" s="27" t="b">
        <f>S234&gt;R234</f>
        <v>0</v>
      </c>
      <c r="BA234" s="27" t="e">
        <f>AND(AA234&gt;$BA$3,(W234+$W$8)/$W$2&lt;$BB$3,(X234+$X$8)/$X$2&lt;$BB$3)</f>
        <v>#VALUE!</v>
      </c>
      <c r="BB234" s="27" t="e">
        <f>AND(AA234&lt;$BA$3,AND(W234/$W$2&gt;$BB$3,X234/$X$2&gt;$BB$3))</f>
        <v>#VALUE!</v>
      </c>
      <c r="BC234" s="27" t="e">
        <f>AND(AA234&lt;$BA$3,OR(W234/$W$2&gt;$BB$3,X234/$X$2&gt;$BB$3))</f>
        <v>#VALUE!</v>
      </c>
      <c r="BE234" s="32" t="s">
        <v>84</v>
      </c>
    </row>
    <row r="235" spans="1:57" s="27" customFormat="1" ht="12.75" customHeight="1" x14ac:dyDescent="0.2">
      <c r="A235" s="10">
        <v>466710</v>
      </c>
      <c r="B235" s="2">
        <v>24</v>
      </c>
      <c r="C235" s="10">
        <v>13</v>
      </c>
      <c r="D235" s="10">
        <v>19</v>
      </c>
      <c r="E235" s="10"/>
      <c r="F235" s="10"/>
      <c r="G235" s="10"/>
      <c r="H235" s="10"/>
      <c r="I235" s="10"/>
      <c r="J235" s="2">
        <v>26</v>
      </c>
      <c r="K235" s="10">
        <v>49</v>
      </c>
      <c r="L235" s="10">
        <v>45</v>
      </c>
      <c r="M235" s="10"/>
      <c r="N235" s="93"/>
      <c r="O235" s="13"/>
      <c r="P235" s="10">
        <v>0</v>
      </c>
      <c r="Q235" s="10"/>
      <c r="R235" s="2"/>
      <c r="S235" s="10"/>
      <c r="T235" s="13"/>
      <c r="U235" s="1">
        <f t="array" ref="U235">IF(AND(A235&lt;&gt;"",OR(ISNUMBER(B235:I235))),SUM(B235:I235),"")</f>
        <v>56</v>
      </c>
      <c r="V235" s="10">
        <f t="array" ref="V235">IF(AND(A235&lt;&gt;"",OR(ISNUMBER(J235:O235))),SUM(J235:O235),"")</f>
        <v>120</v>
      </c>
      <c r="W235" s="10">
        <f t="array" ref="W235">IF(AND(A235&lt;&gt;"",OR(ISNUMBER(P235),ISNUMBER(Q235))),SUM(MAX(P235:Q235),Q235),"")</f>
        <v>0</v>
      </c>
      <c r="X235" s="10" t="str">
        <f t="array" ref="X235">IF(AND(A235&lt;&gt;"",OR(ISNUMBER(S235),ISNUMBER(T235))),SUM(S235,T235),"")</f>
        <v/>
      </c>
      <c r="Y235" s="13">
        <v>1</v>
      </c>
      <c r="Z235" s="13">
        <f>IF(A235&lt;&gt;"",SUM(U235:Y235),"")</f>
        <v>177</v>
      </c>
      <c r="AA235" s="27">
        <f>IF(A235&lt;&gt;"",(Z235+Normalize_To_Add)/(Point_Total_So_Far)*100,"")</f>
        <v>58.032786885245905</v>
      </c>
      <c r="AB235" s="10">
        <f>IF(A235&lt;&gt;"",RANK(AA235,All_Student_XC),"")</f>
        <v>481</v>
      </c>
      <c r="AC235" s="32" t="str">
        <f>IF(A235&lt;&gt;"",CHOOSE(10-MIN(9,TRUNC((AA235+0.5)/10)),"A","B","C","D","F","F","F","F","F","F"),"")</f>
        <v>F</v>
      </c>
      <c r="AD235" s="31" t="str">
        <f>IF(A235&lt;&gt;"",IF(OR(AA235+0.5&gt;=93,AA235+0.5&lt;60),"",IF(MOD(AA235+0.5,10)&gt;=7,"+",IF(MOD(AA235+0.5,10)&lt;3,"-",""))),"")</f>
        <v/>
      </c>
      <c r="AE235" s="32">
        <f>IF(A235&lt;&gt;"",SUM(W235:X235,$W$8:$X$8)/SUM($W$2:$X$2)*100,"")</f>
        <v>0</v>
      </c>
      <c r="AF235" s="32" t="str">
        <f>IF(A235&lt;&gt;"",CHOOSE(10-MIN(9,TRUNC((AE235+0.5)/10)),"A","B","C","D","F","F","F","F","F","F"),"")</f>
        <v>F</v>
      </c>
      <c r="AG235" s="32" t="str">
        <f>IF(A235&lt;&gt;"",IF(OR(AE235+0.5&gt;=93,AE235+0.5&lt;60),"",IF(MOD(AE235+0.5,10)&gt;=7,"+",IF(MOD(AE235+0.5,10)&lt;3,"-",""))),"")</f>
        <v/>
      </c>
      <c r="AH235" s="36">
        <f>IF(A235&lt;&gt;"",MIN(MAX(AA235,AE235),AA235+$AH$8,AE235+$AH$8),"")</f>
        <v>58.032786885245905</v>
      </c>
      <c r="AI235" s="32" t="str">
        <f>IF(A235&lt;&gt;"",CHOOSE(10-MIN(9,TRUNC((AH235+0.5)/10)),"A","B","C","D","F","F","F","F","F","F"),"")</f>
        <v>F</v>
      </c>
      <c r="AJ235" s="32" t="str">
        <f>IF(A235&lt;&gt;"",IF(OR(AH235+0.5&gt;=93,AH235+0.5&lt;60),"",IF(MOD(AH235+0.5,10)&gt;=7,"+",IF(MOD(AH235+0.5,10)&lt;3,"-",""))),"")</f>
        <v/>
      </c>
      <c r="AK235" s="71" t="b">
        <f>IF(A235&lt;&gt;"",OR(AI235&lt;&gt;AC235,AJ235&lt;&gt;AD235),"")</f>
        <v>0</v>
      </c>
      <c r="AL235" s="86">
        <f>IF(AND(A235&lt;&gt;"",U235&lt;&gt;""),SUM(U235,$AL$8)/$AL$2*100,"")</f>
        <v>74.666666666666671</v>
      </c>
      <c r="AM235" s="71">
        <f>IF(AND(A235&lt;&gt;"",V235&lt;&gt;""),SUM(V235,$AM$8)/$AM$2*100,"")</f>
        <v>92.307692307692307</v>
      </c>
      <c r="AN235" s="71">
        <f>IF(AND(A235&lt;&gt;"",ISNUMBER(P235),P235&gt;=0),SUM(P235,$AN$8)/$AN$2*100,"")</f>
        <v>0</v>
      </c>
      <c r="AO235" s="71" t="str">
        <f>IF(AND(A235&lt;&gt;"",ISNUMBER(Q235),Q235&gt;=0),SUM(Q235,$AO$8)/$AO$2*100,"")</f>
        <v/>
      </c>
      <c r="AP235" s="24" t="str">
        <f>IF(AND(A235&lt;&gt;"",R235&lt;&gt;""),SUM(R235,$AP$8)/$AP$2*100,"")</f>
        <v/>
      </c>
      <c r="AQ235" s="24">
        <f>IF(AND(A235&lt;&gt;"",ISNUMBER(W235),W235&gt;=0),SUM(W235,$AQ$8)/$AQ$2*100,"")</f>
        <v>0</v>
      </c>
      <c r="AR235" s="24" t="str">
        <f>IF(AND(A235&lt;&gt;"",T235&gt;0,ISNUMBER(T235)),SUM(T235,$AR$8)/$AR$2*100,"")</f>
        <v/>
      </c>
      <c r="AS235" s="24" t="str">
        <f>IF(AND(A235&lt;&gt;"",X235&lt;&gt;""),SUM(X235,$AS$8)/$AS$2*100,"")</f>
        <v/>
      </c>
      <c r="AT235" s="89">
        <f>IF(AND(A235&lt;&gt;"",OR(ISNUMBER(W235),ISNUMBER(X235))),SUM(W235:X235,$AT$8)/$AT$2*100,"")</f>
        <v>0</v>
      </c>
      <c r="AU235" s="24">
        <f>AA235</f>
        <v>58.032786885245905</v>
      </c>
      <c r="AV235" s="71"/>
      <c r="AW235" s="27">
        <f>IF(A235&lt;&gt;"",AE235-AA235,"")</f>
        <v>-58.032786885245905</v>
      </c>
      <c r="AY235" s="27" t="b">
        <f>S235&gt;R235</f>
        <v>0</v>
      </c>
      <c r="BA235" s="27" t="e">
        <f>AND(AA235&gt;$BA$3,(W235+$W$8)/$W$2&lt;$BB$3,(X235+$X$8)/$X$2&lt;$BB$3)</f>
        <v>#VALUE!</v>
      </c>
      <c r="BB235" s="27" t="e">
        <f>AND(AA235&lt;$BA$3,AND(W235/$W$2&gt;$BB$3,X235/$X$2&gt;$BB$3))</f>
        <v>#VALUE!</v>
      </c>
      <c r="BC235" s="27" t="e">
        <f>AND(AA235&lt;$BA$3,OR(W235/$W$2&gt;$BB$3,X235/$X$2&gt;$BB$3))</f>
        <v>#VALUE!</v>
      </c>
      <c r="BE235" s="32" t="s">
        <v>85</v>
      </c>
    </row>
    <row r="236" spans="1:57" s="27" customFormat="1" ht="12.75" customHeight="1" x14ac:dyDescent="0.2">
      <c r="A236" s="10">
        <v>468026</v>
      </c>
      <c r="B236" s="2">
        <v>11</v>
      </c>
      <c r="C236" s="10">
        <v>11</v>
      </c>
      <c r="D236" s="10">
        <v>1</v>
      </c>
      <c r="E236" s="10"/>
      <c r="F236" s="10"/>
      <c r="G236" s="10"/>
      <c r="H236" s="10"/>
      <c r="I236" s="10"/>
      <c r="J236" s="2">
        <v>27</v>
      </c>
      <c r="K236" s="10" t="s">
        <v>67</v>
      </c>
      <c r="L236" s="10">
        <v>17</v>
      </c>
      <c r="M236" s="10"/>
      <c r="N236" s="93"/>
      <c r="O236" s="13"/>
      <c r="P236" s="10">
        <v>60</v>
      </c>
      <c r="Q236" s="10"/>
      <c r="R236" s="2"/>
      <c r="S236" s="10"/>
      <c r="T236" s="13"/>
      <c r="U236" s="1">
        <f t="array" ref="U236">IF(AND(A236&lt;&gt;"",OR(ISNUMBER(B236:I236))),SUM(B236:I236),"")</f>
        <v>23</v>
      </c>
      <c r="V236" s="10">
        <f t="array" ref="V236">IF(AND(A236&lt;&gt;"",OR(ISNUMBER(J236:O236))),SUM(J236:O236),"")</f>
        <v>44</v>
      </c>
      <c r="W236" s="10">
        <f t="array" ref="W236">IF(AND(A236&lt;&gt;"",OR(ISNUMBER(P236),ISNUMBER(Q236))),SUM(MAX(P236:Q236),Q236),"")</f>
        <v>60</v>
      </c>
      <c r="X236" s="10" t="str">
        <f t="array" ref="X236">IF(AND(A236&lt;&gt;"",OR(ISNUMBER(S236),ISNUMBER(T236))),SUM(S236,T236),"")</f>
        <v/>
      </c>
      <c r="Y236" s="13">
        <v>1</v>
      </c>
      <c r="Z236" s="13">
        <f>IF(A236&lt;&gt;"",SUM(U236:Y236),"")</f>
        <v>128</v>
      </c>
      <c r="AA236" s="27">
        <f>IF(A236&lt;&gt;"",(Z236+Normalize_To_Add)/(Point_Total_So_Far)*100,"")</f>
        <v>41.967213114754095</v>
      </c>
      <c r="AB236" s="10">
        <f>IF(A236&lt;&gt;"",RANK(AA236,All_Student_XC),"")</f>
        <v>497</v>
      </c>
      <c r="AC236" s="32" t="str">
        <f>IF(A236&lt;&gt;"",CHOOSE(10-MIN(9,TRUNC((AA236+0.5)/10)),"A","B","C","D","F","F","F","F","F","F"),"")</f>
        <v>F</v>
      </c>
      <c r="AD236" s="31" t="str">
        <f>IF(A236&lt;&gt;"",IF(OR(AA236+0.5&gt;=93,AA236+0.5&lt;60),"",IF(MOD(AA236+0.5,10)&gt;=7,"+",IF(MOD(AA236+0.5,10)&lt;3,"-",""))),"")</f>
        <v/>
      </c>
      <c r="AE236" s="32">
        <f>IF(A236&lt;&gt;"",SUM(W236:X236,$W$8:$X$8)/SUM($W$2:$X$2)*100,"")</f>
        <v>60</v>
      </c>
      <c r="AF236" s="32" t="str">
        <f>IF(A236&lt;&gt;"",CHOOSE(10-MIN(9,TRUNC((AE236+0.5)/10)),"A","B","C","D","F","F","F","F","F","F"),"")</f>
        <v>D</v>
      </c>
      <c r="AG236" s="32" t="str">
        <f>IF(A236&lt;&gt;"",IF(OR(AE236+0.5&gt;=93,AE236+0.5&lt;60),"",IF(MOD(AE236+0.5,10)&gt;=7,"+",IF(MOD(AE236+0.5,10)&lt;3,"-",""))),"")</f>
        <v>-</v>
      </c>
      <c r="AH236" s="36">
        <f>IF(A236&lt;&gt;"",MIN(MAX(AA236,AE236),AA236+$AH$8,AE236+$AH$8),"")</f>
        <v>60</v>
      </c>
      <c r="AI236" s="32" t="str">
        <f>IF(A236&lt;&gt;"",CHOOSE(10-MIN(9,TRUNC((AH236+0.5)/10)),"A","B","C","D","F","F","F","F","F","F"),"")</f>
        <v>D</v>
      </c>
      <c r="AJ236" s="32" t="str">
        <f>IF(A236&lt;&gt;"",IF(OR(AH236+0.5&gt;=93,AH236+0.5&lt;60),"",IF(MOD(AH236+0.5,10)&gt;=7,"+",IF(MOD(AH236+0.5,10)&lt;3,"-",""))),"")</f>
        <v>-</v>
      </c>
      <c r="AK236" s="71" t="b">
        <f>IF(A236&lt;&gt;"",OR(AI236&lt;&gt;AC236,AJ236&lt;&gt;AD236),"")</f>
        <v>1</v>
      </c>
      <c r="AL236" s="86">
        <f>IF(AND(A236&lt;&gt;"",U236&lt;&gt;""),SUM(U236,$AL$8)/$AL$2*100,"")</f>
        <v>30.666666666666664</v>
      </c>
      <c r="AM236" s="71">
        <f>IF(AND(A236&lt;&gt;"",V236&lt;&gt;""),SUM(V236,$AM$8)/$AM$2*100,"")</f>
        <v>33.846153846153847</v>
      </c>
      <c r="AN236" s="71">
        <f>IF(AND(A236&lt;&gt;"",ISNUMBER(P236),P236&gt;=0),SUM(P236,$AN$8)/$AN$2*100,"")</f>
        <v>60</v>
      </c>
      <c r="AO236" s="71" t="str">
        <f>IF(AND(A236&lt;&gt;"",ISNUMBER(Q236),Q236&gt;=0),SUM(Q236,$AO$8)/$AO$2*100,"")</f>
        <v/>
      </c>
      <c r="AP236" s="24" t="str">
        <f>IF(AND(A236&lt;&gt;"",R236&lt;&gt;""),SUM(R236,$AP$8)/$AP$2*100,"")</f>
        <v/>
      </c>
      <c r="AQ236" s="24">
        <f>IF(AND(A236&lt;&gt;"",ISNUMBER(W236),W236&gt;=0),SUM(W236,$AQ$8)/$AQ$2*100,"")</f>
        <v>60</v>
      </c>
      <c r="AR236" s="24" t="str">
        <f>IF(AND(A236&lt;&gt;"",T236&gt;0,ISNUMBER(T236)),SUM(T236,$AR$8)/$AR$2*100,"")</f>
        <v/>
      </c>
      <c r="AS236" s="24" t="str">
        <f>IF(AND(A236&lt;&gt;"",X236&lt;&gt;""),SUM(X236,$AS$8)/$AS$2*100,"")</f>
        <v/>
      </c>
      <c r="AT236" s="89">
        <f>IF(AND(A236&lt;&gt;"",OR(ISNUMBER(W236),ISNUMBER(X236))),SUM(W236:X236,$AT$8)/$AT$2*100,"")</f>
        <v>60</v>
      </c>
      <c r="AU236" s="24">
        <f>AA236</f>
        <v>41.967213114754095</v>
      </c>
      <c r="AV236" s="71"/>
      <c r="AW236" s="27">
        <f>IF(A236&lt;&gt;"",AE236-AA236,"")</f>
        <v>18.032786885245905</v>
      </c>
      <c r="AY236" s="27" t="b">
        <f>S236&gt;R236</f>
        <v>0</v>
      </c>
      <c r="BA236" s="27" t="e">
        <f>AND(AA236&gt;$BA$3,(W236+$W$8)/$W$2&lt;$BB$3,(X236+$X$8)/$X$2&lt;$BB$3)</f>
        <v>#VALUE!</v>
      </c>
      <c r="BB236" s="27" t="e">
        <f>AND(AA236&lt;$BA$3,AND(W236/$W$2&gt;$BB$3,X236/$X$2&gt;$BB$3))</f>
        <v>#VALUE!</v>
      </c>
      <c r="BC236" s="27" t="e">
        <f>AND(AA236&lt;$BA$3,OR(W236/$W$2&gt;$BB$3,X236/$X$2&gt;$BB$3))</f>
        <v>#VALUE!</v>
      </c>
      <c r="BE236" s="32" t="s">
        <v>84</v>
      </c>
    </row>
    <row r="237" spans="1:57" s="27" customFormat="1" ht="12.75" customHeight="1" x14ac:dyDescent="0.2">
      <c r="A237" s="10">
        <v>468980</v>
      </c>
      <c r="B237" s="2">
        <v>21</v>
      </c>
      <c r="C237" s="10">
        <v>25</v>
      </c>
      <c r="D237" s="10">
        <v>25</v>
      </c>
      <c r="E237" s="10"/>
      <c r="F237" s="10"/>
      <c r="G237" s="10"/>
      <c r="H237" s="10"/>
      <c r="I237" s="10"/>
      <c r="J237" s="2">
        <v>32</v>
      </c>
      <c r="K237" s="10">
        <v>51</v>
      </c>
      <c r="L237" s="10">
        <v>51</v>
      </c>
      <c r="M237" s="10"/>
      <c r="N237" s="10"/>
      <c r="O237" s="12"/>
      <c r="P237" s="41">
        <v>101</v>
      </c>
      <c r="Q237" s="41"/>
      <c r="R237" s="2"/>
      <c r="S237" s="10"/>
      <c r="T237" s="13"/>
      <c r="U237" s="1">
        <f t="array" ref="U237">IF(AND(A237&lt;&gt;"",OR(ISNUMBER(B237:I237))),SUM(B237:I237),"")</f>
        <v>71</v>
      </c>
      <c r="V237" s="10">
        <f t="array" ref="V237">IF(AND(A237&lt;&gt;"",OR(ISNUMBER(J237:O237))),SUM(J237:O237),"")</f>
        <v>134</v>
      </c>
      <c r="W237" s="10">
        <f t="array" ref="W237">IF(AND(A237&lt;&gt;"",OR(ISNUMBER(P237),ISNUMBER(Q237))),SUM(MAX(P237:Q237),Q237),"")</f>
        <v>101</v>
      </c>
      <c r="X237" s="10" t="str">
        <f t="array" ref="X237">IF(AND(A237&lt;&gt;"",OR(ISNUMBER(S237),ISNUMBER(T237))),SUM(S237,T237),"")</f>
        <v/>
      </c>
      <c r="Y237" s="13">
        <v>1</v>
      </c>
      <c r="Z237" s="13">
        <f>IF(A237&lt;&gt;"",SUM(U237:Y237),"")</f>
        <v>307</v>
      </c>
      <c r="AA237" s="27">
        <f>IF(A237&lt;&gt;"",(Z237+Normalize_To_Add)/(Point_Total_So_Far)*100,"")</f>
        <v>100.65573770491802</v>
      </c>
      <c r="AB237" s="10">
        <f>IF(A237&lt;&gt;"",RANK(AA237,All_Student_XC),"")</f>
        <v>72</v>
      </c>
      <c r="AC237" s="32" t="str">
        <f>IF(A237&lt;&gt;"",CHOOSE(10-MIN(9,TRUNC((AA237+0.5)/10)),"A","B","C","D","F","F","F","F","F","F"),"")</f>
        <v>A</v>
      </c>
      <c r="AD237" s="32" t="str">
        <f>IF(A237&lt;&gt;"",IF(OR(AA237+0.5&gt;=93,AA237+0.5&lt;60),"",IF(MOD(AA237+0.5,10)&gt;=7,"+",IF(MOD(AA237+0.5,10)&lt;3,"-",""))),"")</f>
        <v/>
      </c>
      <c r="AE237" s="32">
        <f>IF(A237&lt;&gt;"",SUM(W237:X237,$W$8:$X$8)/SUM($W$2:$X$2)*100,"")</f>
        <v>101</v>
      </c>
      <c r="AF237" s="32" t="str">
        <f>IF(A237&lt;&gt;"",CHOOSE(10-MIN(9,TRUNC((AE237+0.5)/10)),"A","B","C","D","F","F","F","F","F","F"),"")</f>
        <v>A</v>
      </c>
      <c r="AG237" s="32" t="str">
        <f>IF(A237&lt;&gt;"",IF(OR(AE237+0.5&gt;=93,AE237+0.5&lt;60),"",IF(MOD(AE237+0.5,10)&gt;=7,"+",IF(MOD(AE237+0.5,10)&lt;3,"-",""))),"")</f>
        <v/>
      </c>
      <c r="AH237" s="36">
        <f>IF(A237&lt;&gt;"",MIN(MAX(AA237,AE237),AA237+$AH$8,AE237+$AH$8),"")</f>
        <v>101</v>
      </c>
      <c r="AI237" s="32" t="str">
        <f>IF(A237&lt;&gt;"",CHOOSE(10-MIN(9,TRUNC((AH237+0.5)/10)),"A","B","C","D","F","F","F","F","F","F"),"")</f>
        <v>A</v>
      </c>
      <c r="AJ237" s="32" t="str">
        <f>IF(A237&lt;&gt;"",IF(OR(AH237+0.5&gt;=93,AH237+0.5&lt;60),"",IF(MOD(AH237+0.5,10)&gt;=7,"+",IF(MOD(AH237+0.5,10)&lt;3,"-",""))),"")</f>
        <v/>
      </c>
      <c r="AK237" s="32" t="b">
        <f>IF(A237&lt;&gt;"",OR(AI237&lt;&gt;AC237,AJ237&lt;&gt;AD237),"")</f>
        <v>0</v>
      </c>
      <c r="AL237" s="84">
        <f>IF(AND(A237&lt;&gt;"",U237&lt;&gt;""),SUM(U237,$AL$8)/$AL$2*100,"")</f>
        <v>94.666666666666671</v>
      </c>
      <c r="AM237" s="24">
        <f>IF(AND(A237&lt;&gt;"",V237&lt;&gt;""),SUM(V237,$AM$8)/$AM$2*100,"")</f>
        <v>103.07692307692307</v>
      </c>
      <c r="AN237" s="24">
        <f>IF(AND(A237&lt;&gt;"",ISNUMBER(P237),P237&gt;=0),SUM(P237,$AN$8)/$AN$2*100,"")</f>
        <v>101</v>
      </c>
      <c r="AO237" s="24" t="str">
        <f>IF(AND(A237&lt;&gt;"",ISNUMBER(Q237),Q237&gt;=0),SUM(Q237,$AO$8)/$AO$2*100,"")</f>
        <v/>
      </c>
      <c r="AP237" s="24" t="str">
        <f>IF(AND(A237&lt;&gt;"",R237&lt;&gt;""),SUM(R237,$AP$8)/$AP$2*100,"")</f>
        <v/>
      </c>
      <c r="AQ237" s="24">
        <f>IF(AND(A237&lt;&gt;"",ISNUMBER(W237),W237&gt;=0),SUM(W237,$AQ$8)/$AQ$2*100,"")</f>
        <v>101</v>
      </c>
      <c r="AR237" s="24" t="str">
        <f>IF(AND(A237&lt;&gt;"",T237&gt;0,ISNUMBER(T237)),SUM(T237,$AR$8)/$AR$2*100,"")</f>
        <v/>
      </c>
      <c r="AS237" s="24" t="str">
        <f>IF(AND(A237&lt;&gt;"",X237&lt;&gt;""),SUM(X237,$AS$8)/$AS$2*100,"")</f>
        <v/>
      </c>
      <c r="AT237" s="89">
        <f>IF(AND(A237&lt;&gt;"",OR(ISNUMBER(W237),ISNUMBER(X237))),SUM(W237:X237,$AT$8)/$AT$2*100,"")</f>
        <v>101</v>
      </c>
      <c r="AU237" s="24">
        <f>AA237</f>
        <v>100.65573770491802</v>
      </c>
      <c r="AV237" s="24"/>
      <c r="AW237" s="27">
        <f>IF(A237&lt;&gt;"",AE237-AA237,"")</f>
        <v>0.34426229508197537</v>
      </c>
      <c r="AY237" s="27" t="b">
        <f>S237&gt;R237</f>
        <v>0</v>
      </c>
      <c r="BA237" s="27" t="e">
        <f>AND(AA237&gt;$BA$3,(W237+$W$8)/$W$2&lt;$BB$3,(X237+$X$8)/$X$2&lt;$BB$3)</f>
        <v>#VALUE!</v>
      </c>
      <c r="BB237" s="27" t="e">
        <f>AND(AA237&lt;$BA$3,AND(W237/$W$2&gt;$BB$3,X237/$X$2&gt;$BB$3))</f>
        <v>#VALUE!</v>
      </c>
      <c r="BC237" s="27" t="e">
        <f>AND(AA237&lt;$BA$3,OR(W237/$W$2&gt;$BB$3,X237/$X$2&gt;$BB$3))</f>
        <v>#VALUE!</v>
      </c>
      <c r="BE237" s="32" t="s">
        <v>84</v>
      </c>
    </row>
    <row r="238" spans="1:57" s="27" customFormat="1" ht="12.75" customHeight="1" x14ac:dyDescent="0.2">
      <c r="A238" s="10">
        <v>469852</v>
      </c>
      <c r="B238" s="2">
        <v>24</v>
      </c>
      <c r="C238" s="10">
        <v>23</v>
      </c>
      <c r="D238" s="10">
        <v>25</v>
      </c>
      <c r="E238" s="10"/>
      <c r="F238" s="10"/>
      <c r="G238" s="10"/>
      <c r="H238" s="10"/>
      <c r="I238" s="10"/>
      <c r="J238" s="2">
        <v>32</v>
      </c>
      <c r="K238" s="10">
        <v>52</v>
      </c>
      <c r="L238" s="10">
        <v>51</v>
      </c>
      <c r="M238" s="10"/>
      <c r="N238" s="93"/>
      <c r="O238" s="13"/>
      <c r="P238" s="10">
        <v>101</v>
      </c>
      <c r="Q238" s="10"/>
      <c r="R238" s="2"/>
      <c r="S238" s="10"/>
      <c r="T238" s="13"/>
      <c r="U238" s="1">
        <f t="array" ref="U238">IF(AND(A238&lt;&gt;"",OR(ISNUMBER(B238:I238))),SUM(B238:I238),"")</f>
        <v>72</v>
      </c>
      <c r="V238" s="10">
        <f t="array" ref="V238">IF(AND(A238&lt;&gt;"",OR(ISNUMBER(J238:O238))),SUM(J238:O238),"")</f>
        <v>135</v>
      </c>
      <c r="W238" s="10">
        <f t="array" ref="W238">IF(AND(A238&lt;&gt;"",OR(ISNUMBER(P238),ISNUMBER(Q238))),SUM(MAX(P238:Q238),Q238),"")</f>
        <v>101</v>
      </c>
      <c r="X238" s="10" t="str">
        <f t="array" ref="X238">IF(AND(A238&lt;&gt;"",OR(ISNUMBER(S238),ISNUMBER(T238))),SUM(S238,T238),"")</f>
        <v/>
      </c>
      <c r="Y238" s="13">
        <v>1</v>
      </c>
      <c r="Z238" s="13">
        <f>IF(A238&lt;&gt;"",SUM(U238:Y238),"")</f>
        <v>309</v>
      </c>
      <c r="AA238" s="27">
        <f>IF(A238&lt;&gt;"",(Z238+Normalize_To_Add)/(Point_Total_So_Far)*100,"")</f>
        <v>101.31147540983608</v>
      </c>
      <c r="AB238" s="10">
        <f>IF(A238&lt;&gt;"",RANK(AA238,All_Student_XC),"")</f>
        <v>35</v>
      </c>
      <c r="AC238" s="32" t="str">
        <f>IF(A238&lt;&gt;"",CHOOSE(10-MIN(9,TRUNC((AA238+0.5)/10)),"A","B","C","D","F","F","F","F","F","F"),"")</f>
        <v>A</v>
      </c>
      <c r="AD238" s="31" t="str">
        <f>IF(A238&lt;&gt;"",IF(OR(AA238+0.5&gt;=93,AA238+0.5&lt;60),"",IF(MOD(AA238+0.5,10)&gt;=7,"+",IF(MOD(AA238+0.5,10)&lt;3,"-",""))),"")</f>
        <v/>
      </c>
      <c r="AE238" s="32">
        <f>IF(A238&lt;&gt;"",SUM(W238:X238,$W$8:$X$8)/SUM($W$2:$X$2)*100,"")</f>
        <v>101</v>
      </c>
      <c r="AF238" s="32" t="str">
        <f>IF(A238&lt;&gt;"",CHOOSE(10-MIN(9,TRUNC((AE238+0.5)/10)),"A","B","C","D","F","F","F","F","F","F"),"")</f>
        <v>A</v>
      </c>
      <c r="AG238" s="32" t="str">
        <f>IF(A238&lt;&gt;"",IF(OR(AE238+0.5&gt;=93,AE238+0.5&lt;60),"",IF(MOD(AE238+0.5,10)&gt;=7,"+",IF(MOD(AE238+0.5,10)&lt;3,"-",""))),"")</f>
        <v/>
      </c>
      <c r="AH238" s="36">
        <f>IF(A238&lt;&gt;"",MIN(MAX(AA238,AE238),AA238+$AH$8,AE238+$AH$8),"")</f>
        <v>101.31147540983608</v>
      </c>
      <c r="AI238" s="32" t="str">
        <f>IF(A238&lt;&gt;"",CHOOSE(10-MIN(9,TRUNC((AH238+0.5)/10)),"A","B","C","D","F","F","F","F","F","F"),"")</f>
        <v>A</v>
      </c>
      <c r="AJ238" s="32" t="str">
        <f>IF(A238&lt;&gt;"",IF(OR(AH238+0.5&gt;=93,AH238+0.5&lt;60),"",IF(MOD(AH238+0.5,10)&gt;=7,"+",IF(MOD(AH238+0.5,10)&lt;3,"-",""))),"")</f>
        <v/>
      </c>
      <c r="AK238" s="71" t="b">
        <f>IF(A238&lt;&gt;"",OR(AI238&lt;&gt;AC238,AJ238&lt;&gt;AD238),"")</f>
        <v>0</v>
      </c>
      <c r="AL238" s="86">
        <f>IF(AND(A238&lt;&gt;"",U238&lt;&gt;""),SUM(U238,$AL$8)/$AL$2*100,"")</f>
        <v>96</v>
      </c>
      <c r="AM238" s="71">
        <f>IF(AND(A238&lt;&gt;"",V238&lt;&gt;""),SUM(V238,$AM$8)/$AM$2*100,"")</f>
        <v>103.84615384615385</v>
      </c>
      <c r="AN238" s="71">
        <f>IF(AND(A238&lt;&gt;"",ISNUMBER(P238),P238&gt;=0),SUM(P238,$AN$8)/$AN$2*100,"")</f>
        <v>101</v>
      </c>
      <c r="AO238" s="71" t="str">
        <f>IF(AND(A238&lt;&gt;"",ISNUMBER(Q238),Q238&gt;=0),SUM(Q238,$AO$8)/$AO$2*100,"")</f>
        <v/>
      </c>
      <c r="AP238" s="24" t="str">
        <f>IF(AND(A238&lt;&gt;"",R238&lt;&gt;""),SUM(R238,$AP$8)/$AP$2*100,"")</f>
        <v/>
      </c>
      <c r="AQ238" s="24">
        <f>IF(AND(A238&lt;&gt;"",ISNUMBER(W238),W238&gt;=0),SUM(W238,$AQ$8)/$AQ$2*100,"")</f>
        <v>101</v>
      </c>
      <c r="AR238" s="24" t="str">
        <f>IF(AND(A238&lt;&gt;"",T238&gt;0,ISNUMBER(T238)),SUM(T238,$AR$8)/$AR$2*100,"")</f>
        <v/>
      </c>
      <c r="AS238" s="24" t="str">
        <f>IF(AND(A238&lt;&gt;"",X238&lt;&gt;""),SUM(X238,$AS$8)/$AS$2*100,"")</f>
        <v/>
      </c>
      <c r="AT238" s="89">
        <f>IF(AND(A238&lt;&gt;"",OR(ISNUMBER(W238),ISNUMBER(X238))),SUM(W238:X238,$AT$8)/$AT$2*100,"")</f>
        <v>101</v>
      </c>
      <c r="AU238" s="24">
        <f>AA238</f>
        <v>101.31147540983608</v>
      </c>
      <c r="AV238" s="71"/>
      <c r="AW238" s="27">
        <f>IF(A238&lt;&gt;"",AE238-AA238,"")</f>
        <v>-0.31147540983607769</v>
      </c>
      <c r="AY238" s="27" t="b">
        <f>S238&gt;R238</f>
        <v>0</v>
      </c>
      <c r="BA238" s="27" t="e">
        <f>AND(AA238&gt;$BA$3,(W238+$W$8)/$W$2&lt;$BB$3,(X238+$X$8)/$X$2&lt;$BB$3)</f>
        <v>#VALUE!</v>
      </c>
      <c r="BB238" s="27" t="e">
        <f>AND(AA238&lt;$BA$3,AND(W238/$W$2&gt;$BB$3,X238/$X$2&gt;$BB$3))</f>
        <v>#VALUE!</v>
      </c>
      <c r="BC238" s="27" t="e">
        <f>AND(AA238&lt;$BA$3,OR(W238/$W$2&gt;$BB$3,X238/$X$2&gt;$BB$3))</f>
        <v>#VALUE!</v>
      </c>
      <c r="BE238" s="32" t="s">
        <v>84</v>
      </c>
    </row>
    <row r="239" spans="1:57" s="27" customFormat="1" ht="12.75" customHeight="1" x14ac:dyDescent="0.2">
      <c r="A239" s="10">
        <v>471986</v>
      </c>
      <c r="B239" s="2">
        <v>22</v>
      </c>
      <c r="C239" s="10">
        <v>23</v>
      </c>
      <c r="D239" s="10">
        <v>25</v>
      </c>
      <c r="E239" s="10"/>
      <c r="F239" s="10"/>
      <c r="G239" s="10"/>
      <c r="H239" s="10"/>
      <c r="I239" s="10"/>
      <c r="J239" s="2">
        <v>29</v>
      </c>
      <c r="K239" s="10">
        <v>50</v>
      </c>
      <c r="L239" s="10">
        <v>50</v>
      </c>
      <c r="M239" s="10"/>
      <c r="N239" s="93"/>
      <c r="O239" s="13"/>
      <c r="P239" s="10">
        <v>101</v>
      </c>
      <c r="Q239" s="10"/>
      <c r="R239" s="2"/>
      <c r="S239" s="10"/>
      <c r="T239" s="13"/>
      <c r="U239" s="1">
        <f t="array" ref="U239">IF(AND(A239&lt;&gt;"",OR(ISNUMBER(B239:I239))),SUM(B239:I239),"")</f>
        <v>70</v>
      </c>
      <c r="V239" s="10">
        <f t="array" ref="V239">IF(AND(A239&lt;&gt;"",OR(ISNUMBER(J239:O239))),SUM(J239:O239),"")</f>
        <v>129</v>
      </c>
      <c r="W239" s="10">
        <f t="array" ref="W239">IF(AND(A239&lt;&gt;"",OR(ISNUMBER(P239),ISNUMBER(Q239))),SUM(MAX(P239:Q239),Q239),"")</f>
        <v>101</v>
      </c>
      <c r="X239" s="10" t="str">
        <f t="array" ref="X239">IF(AND(A239&lt;&gt;"",OR(ISNUMBER(S239),ISNUMBER(T239))),SUM(S239,T239),"")</f>
        <v/>
      </c>
      <c r="Y239" s="13">
        <v>1</v>
      </c>
      <c r="Z239" s="13">
        <f>IF(A239&lt;&gt;"",SUM(U239:Y239),"")</f>
        <v>301</v>
      </c>
      <c r="AA239" s="27">
        <f>IF(A239&lt;&gt;"",(Z239+Normalize_To_Add)/(Point_Total_So_Far)*100,"")</f>
        <v>98.688524590163937</v>
      </c>
      <c r="AB239" s="10">
        <f>IF(A239&lt;&gt;"",RANK(AA239,All_Student_XC),"")</f>
        <v>176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>
        <f>IF(A239&lt;&gt;"",SUM(W239:X239,$W$8:$X$8)/SUM($W$2:$X$2)*100,"")</f>
        <v>101</v>
      </c>
      <c r="AF239" s="32" t="str">
        <f>IF(A239&lt;&gt;"",CHOOSE(10-MIN(9,TRUNC((AE239+0.5)/10)),"A","B","C","D","F","F","F","F","F","F"),"")</f>
        <v>A</v>
      </c>
      <c r="AG239" s="32" t="str">
        <f>IF(A239&lt;&gt;"",IF(OR(AE239+0.5&gt;=93,AE239+0.5&lt;60),"",IF(MOD(AE239+0.5,10)&gt;=7,"+",IF(MOD(AE239+0.5,10)&lt;3,"-",""))),"")</f>
        <v/>
      </c>
      <c r="AH239" s="36">
        <f>IF(A239&lt;&gt;"",MIN(MAX(AA239,AE239),AA239+$AH$8,AE239+$AH$8),"")</f>
        <v>101</v>
      </c>
      <c r="AI239" s="32" t="str">
        <f>IF(A239&lt;&gt;"",CHOOSE(10-MIN(9,TRUNC((AH239+0.5)/10)),"A","B","C","D","F","F","F","F","F","F"),"")</f>
        <v>A</v>
      </c>
      <c r="AJ239" s="32" t="str">
        <f>IF(A239&lt;&gt;"",IF(OR(AH239+0.5&gt;=93,AH239+0.5&lt;60),"",IF(MOD(AH239+0.5,10)&gt;=7,"+",IF(MOD(AH239+0.5,10)&lt;3,"-",""))),"")</f>
        <v/>
      </c>
      <c r="AK239" s="71" t="b">
        <f>IF(A239&lt;&gt;"",OR(AI239&lt;&gt;AC239,AJ239&lt;&gt;AD239),"")</f>
        <v>0</v>
      </c>
      <c r="AL239" s="86">
        <f>IF(AND(A239&lt;&gt;"",U239&lt;&gt;""),SUM(U239,$AL$8)/$AL$2*100,"")</f>
        <v>93.333333333333329</v>
      </c>
      <c r="AM239" s="71">
        <f>IF(AND(A239&lt;&gt;"",V239&lt;&gt;""),SUM(V239,$AM$8)/$AM$2*100,"")</f>
        <v>99.230769230769226</v>
      </c>
      <c r="AN239" s="71">
        <f>IF(AND(A239&lt;&gt;"",ISNUMBER(P239),P239&gt;=0),SUM(P239,$AN$8)/$AN$2*100,"")</f>
        <v>101</v>
      </c>
      <c r="AO239" s="71" t="str">
        <f>IF(AND(A239&lt;&gt;"",ISNUMBER(Q239),Q239&gt;=0),SUM(Q239,$AO$8)/$AO$2*100,"")</f>
        <v/>
      </c>
      <c r="AP239" s="24" t="str">
        <f>IF(AND(A239&lt;&gt;"",R239&lt;&gt;""),SUM(R239,$AP$8)/$AP$2*100,"")</f>
        <v/>
      </c>
      <c r="AQ239" s="24">
        <f>IF(AND(A239&lt;&gt;"",ISNUMBER(W239),W239&gt;=0),SUM(W239,$AQ$8)/$AQ$2*100,"")</f>
        <v>101</v>
      </c>
      <c r="AR239" s="24" t="str">
        <f>IF(AND(A239&lt;&gt;"",T239&gt;0,ISNUMBER(T239)),SUM(T239,$AR$8)/$AR$2*100,"")</f>
        <v/>
      </c>
      <c r="AS239" s="24" t="str">
        <f>IF(AND(A239&lt;&gt;"",X239&lt;&gt;""),SUM(X239,$AS$8)/$AS$2*100,"")</f>
        <v/>
      </c>
      <c r="AT239" s="89">
        <f>IF(AND(A239&lt;&gt;"",OR(ISNUMBER(W239),ISNUMBER(X239))),SUM(W239:X239,$AT$8)/$AT$2*100,"")</f>
        <v>101</v>
      </c>
      <c r="AU239" s="24">
        <f>AA239</f>
        <v>98.688524590163937</v>
      </c>
      <c r="AV239" s="71"/>
      <c r="AW239" s="27">
        <f>IF(A239&lt;&gt;"",AE239-AA239,"")</f>
        <v>2.3114754098360635</v>
      </c>
      <c r="AY239" s="27" t="b">
        <f>S239&gt;R239</f>
        <v>0</v>
      </c>
      <c r="BA239" s="27" t="e">
        <f>AND(AA239&gt;$BA$3,(W239+$W$8)/$W$2&lt;$BB$3,(X239+$X$8)/$X$2&lt;$BB$3)</f>
        <v>#VALUE!</v>
      </c>
      <c r="BB239" s="27" t="e">
        <f>AND(AA239&lt;$BA$3,AND(W239/$W$2&gt;$BB$3,X239/$X$2&gt;$BB$3))</f>
        <v>#VALUE!</v>
      </c>
      <c r="BC239" s="27" t="e">
        <f>AND(AA239&lt;$BA$3,OR(W239/$W$2&gt;$BB$3,X239/$X$2&gt;$BB$3))</f>
        <v>#VALUE!</v>
      </c>
      <c r="BE239" s="32" t="s">
        <v>84</v>
      </c>
    </row>
    <row r="240" spans="1:57" s="27" customFormat="1" ht="12.75" customHeight="1" x14ac:dyDescent="0.2">
      <c r="A240" s="56">
        <v>472433</v>
      </c>
      <c r="B240" s="2">
        <v>21</v>
      </c>
      <c r="C240" s="35">
        <v>24</v>
      </c>
      <c r="D240" s="10">
        <v>25</v>
      </c>
      <c r="E240" s="10"/>
      <c r="F240" s="10"/>
      <c r="G240" s="10"/>
      <c r="H240" s="10"/>
      <c r="I240" s="10"/>
      <c r="J240" s="2">
        <v>26</v>
      </c>
      <c r="K240" s="10">
        <v>51</v>
      </c>
      <c r="L240" s="10">
        <v>50</v>
      </c>
      <c r="M240" s="10"/>
      <c r="N240" s="10"/>
      <c r="O240" s="12"/>
      <c r="P240" s="41">
        <v>101</v>
      </c>
      <c r="Q240" s="41"/>
      <c r="R240" s="2"/>
      <c r="S240" s="10"/>
      <c r="T240" s="13"/>
      <c r="U240" s="1">
        <f t="array" ref="U240">IF(AND(A240&lt;&gt;"",OR(ISNUMBER(B240:I240))),SUM(B240:I240),"")</f>
        <v>70</v>
      </c>
      <c r="V240" s="10">
        <f t="array" ref="V240">IF(AND(A240&lt;&gt;"",OR(ISNUMBER(J240:O240))),SUM(J240:O240),"")</f>
        <v>127</v>
      </c>
      <c r="W240" s="10">
        <f t="array" ref="W240">IF(AND(A240&lt;&gt;"",OR(ISNUMBER(P240),ISNUMBER(Q240))),SUM(MAX(P240:Q240),Q240),"")</f>
        <v>101</v>
      </c>
      <c r="X240" s="10" t="str">
        <f t="array" ref="X240">IF(AND(A240&lt;&gt;"",OR(ISNUMBER(S240),ISNUMBER(T240))),SUM(S240,T240),"")</f>
        <v/>
      </c>
      <c r="Y240" s="13">
        <v>1</v>
      </c>
      <c r="Z240" s="13">
        <f>IF(A240&lt;&gt;"",SUM(U240:Y240),"")</f>
        <v>299</v>
      </c>
      <c r="AA240" s="27">
        <f>IF(A240&lt;&gt;"",(Z240+Normalize_To_Add)/(Point_Total_So_Far)*100,"")</f>
        <v>98.032786885245898</v>
      </c>
      <c r="AB240" s="10">
        <f>IF(A240&lt;&gt;"",RANK(AA240,All_Student_XC),"")</f>
        <v>195</v>
      </c>
      <c r="AC240" s="32" t="str">
        <f>IF(A240&lt;&gt;"",CHOOSE(10-MIN(9,TRUNC((AA240+0.5)/10)),"A","B","C","D","F","F","F","F","F","F"),"")</f>
        <v>A</v>
      </c>
      <c r="AD240" s="32" t="str">
        <f>IF(A240&lt;&gt;"",IF(OR(AA240+0.5&gt;=93,AA240+0.5&lt;60),"",IF(MOD(AA240+0.5,10)&gt;=7,"+",IF(MOD(AA240+0.5,10)&lt;3,"-",""))),"")</f>
        <v/>
      </c>
      <c r="AE240" s="32">
        <f>IF(A240&lt;&gt;"",SUM(W240:X240,$W$8:$X$8)/SUM($W$2:$X$2)*100,"")</f>
        <v>101</v>
      </c>
      <c r="AF240" s="32" t="str">
        <f>IF(A240&lt;&gt;"",CHOOSE(10-MIN(9,TRUNC((AE240+0.5)/10)),"A","B","C","D","F","F","F","F","F","F"),"")</f>
        <v>A</v>
      </c>
      <c r="AG240" s="32" t="str">
        <f>IF(A240&lt;&gt;"",IF(OR(AE240+0.5&gt;=93,AE240+0.5&lt;60),"",IF(MOD(AE240+0.5,10)&gt;=7,"+",IF(MOD(AE240+0.5,10)&lt;3,"-",""))),"")</f>
        <v/>
      </c>
      <c r="AH240" s="36">
        <f>IF(A240&lt;&gt;"",MIN(MAX(AA240,AE240),AA240+$AH$8,AE240+$AH$8),"")</f>
        <v>101</v>
      </c>
      <c r="AI240" s="32" t="str">
        <f>IF(A240&lt;&gt;"",CHOOSE(10-MIN(9,TRUNC((AH240+0.5)/10)),"A","B","C","D","F","F","F","F","F","F"),"")</f>
        <v>A</v>
      </c>
      <c r="AJ240" s="32" t="str">
        <f>IF(A240&lt;&gt;"",IF(OR(AH240+0.5&gt;=93,AH240+0.5&lt;60),"",IF(MOD(AH240+0.5,10)&gt;=7,"+",IF(MOD(AH240+0.5,10)&lt;3,"-",""))),"")</f>
        <v/>
      </c>
      <c r="AK240" s="32" t="b">
        <f>IF(A240&lt;&gt;"",OR(AI240&lt;&gt;AC240,AJ240&lt;&gt;AD240),"")</f>
        <v>0</v>
      </c>
      <c r="AL240" s="84">
        <f>IF(AND(A240&lt;&gt;"",U240&lt;&gt;""),SUM(U240,$AL$8)/$AL$2*100,"")</f>
        <v>93.333333333333329</v>
      </c>
      <c r="AM240" s="24">
        <f>IF(AND(A240&lt;&gt;"",V240&lt;&gt;""),SUM(V240,$AM$8)/$AM$2*100,"")</f>
        <v>97.692307692307693</v>
      </c>
      <c r="AN240" s="24">
        <f>IF(AND(A240&lt;&gt;"",ISNUMBER(P240),P240&gt;=0),SUM(P240,$AN$8)/$AN$2*100,"")</f>
        <v>101</v>
      </c>
      <c r="AO240" s="24" t="str">
        <f>IF(AND(A240&lt;&gt;"",ISNUMBER(Q240),Q240&gt;=0),SUM(Q240,$AO$8)/$AO$2*100,"")</f>
        <v/>
      </c>
      <c r="AP240" s="24" t="str">
        <f>IF(AND(A240&lt;&gt;"",R240&lt;&gt;""),SUM(R240,$AP$8)/$AP$2*100,"")</f>
        <v/>
      </c>
      <c r="AQ240" s="24">
        <f>IF(AND(A240&lt;&gt;"",ISNUMBER(W240),W240&gt;=0),SUM(W240,$AQ$8)/$AQ$2*100,"")</f>
        <v>101</v>
      </c>
      <c r="AR240" s="24" t="str">
        <f>IF(AND(A240&lt;&gt;"",T240&gt;0,ISNUMBER(T240)),SUM(T240,$AR$8)/$AR$2*100,"")</f>
        <v/>
      </c>
      <c r="AS240" s="24" t="str">
        <f>IF(AND(A240&lt;&gt;"",X240&lt;&gt;""),SUM(X240,$AS$8)/$AS$2*100,"")</f>
        <v/>
      </c>
      <c r="AT240" s="89">
        <f>IF(AND(A240&lt;&gt;"",OR(ISNUMBER(W240),ISNUMBER(X240))),SUM(W240:X240,$AT$8)/$AT$2*100,"")</f>
        <v>101</v>
      </c>
      <c r="AU240" s="24">
        <f>AA240</f>
        <v>98.032786885245898</v>
      </c>
      <c r="AV240" s="24"/>
      <c r="AW240" s="27">
        <f>IF(A240&lt;&gt;"",AE240-AA240,"")</f>
        <v>2.9672131147541023</v>
      </c>
      <c r="AY240" s="27" t="b">
        <f>S240&gt;R240</f>
        <v>0</v>
      </c>
      <c r="BA240" s="27" t="e">
        <f>AND(AA240&gt;$BA$3,(W240+$W$8)/$W$2&lt;$BB$3,(X240+$X$8)/$X$2&lt;$BB$3)</f>
        <v>#VALUE!</v>
      </c>
      <c r="BB240" s="27" t="e">
        <f>AND(AA240&lt;$BA$3,AND(W240/$W$2&gt;$BB$3,X240/$X$2&gt;$BB$3))</f>
        <v>#VALUE!</v>
      </c>
      <c r="BC240" s="27" t="e">
        <f>AND(AA240&lt;$BA$3,OR(W240/$W$2&gt;$BB$3,X240/$X$2&gt;$BB$3))</f>
        <v>#VALUE!</v>
      </c>
      <c r="BE240" s="32">
        <v>32</v>
      </c>
    </row>
    <row r="241" spans="1:57" s="27" customFormat="1" ht="12.75" customHeight="1" x14ac:dyDescent="0.2">
      <c r="A241" s="10">
        <v>474399</v>
      </c>
      <c r="B241" s="2">
        <v>20</v>
      </c>
      <c r="C241" s="10">
        <v>20</v>
      </c>
      <c r="D241" s="10">
        <v>25</v>
      </c>
      <c r="E241" s="10"/>
      <c r="F241" s="10"/>
      <c r="G241" s="3"/>
      <c r="H241" s="10"/>
      <c r="I241" s="10"/>
      <c r="J241" s="2">
        <v>31</v>
      </c>
      <c r="K241" s="10">
        <v>20</v>
      </c>
      <c r="L241" s="10">
        <v>50</v>
      </c>
      <c r="M241" s="10"/>
      <c r="N241" s="10"/>
      <c r="O241" s="12"/>
      <c r="P241" s="41">
        <v>80</v>
      </c>
      <c r="Q241" s="41"/>
      <c r="R241" s="2"/>
      <c r="S241" s="10"/>
      <c r="T241" s="13"/>
      <c r="U241" s="1">
        <f t="array" ref="U241">IF(AND(A241&lt;&gt;"",OR(ISNUMBER(B241:I241))),SUM(B241:I241),"")</f>
        <v>65</v>
      </c>
      <c r="V241" s="10">
        <f t="array" ref="V241">IF(AND(A241&lt;&gt;"",OR(ISNUMBER(J241:O241))),SUM(J241:O241),"")</f>
        <v>101</v>
      </c>
      <c r="W241" s="10">
        <f t="array" ref="W241">IF(AND(A241&lt;&gt;"",OR(ISNUMBER(P241),ISNUMBER(Q241))),SUM(MAX(P241:Q241),Q241),"")</f>
        <v>80</v>
      </c>
      <c r="X241" s="10" t="str">
        <f t="array" ref="X241">IF(AND(A241&lt;&gt;"",OR(ISNUMBER(S241),ISNUMBER(T241))),SUM(S241,T241),"")</f>
        <v/>
      </c>
      <c r="Y241" s="13">
        <v>1</v>
      </c>
      <c r="Z241" s="13">
        <f>IF(A241&lt;&gt;"",SUM(U241:Y241),"")</f>
        <v>247</v>
      </c>
      <c r="AA241" s="27">
        <f>IF(A241&lt;&gt;"",(Z241+Normalize_To_Add)/(Point_Total_So_Far)*100,"")</f>
        <v>80.983606557377058</v>
      </c>
      <c r="AB241" s="10">
        <f>IF(A241&lt;&gt;"",RANK(AA241,All_Student_XC),"")</f>
        <v>405</v>
      </c>
      <c r="AC241" s="32" t="str">
        <f>IF(A241&lt;&gt;"",CHOOSE(10-MIN(9,TRUNC((AA241+0.5)/10)),"A","B","C","D","F","F","F","F","F","F"),"")</f>
        <v>B</v>
      </c>
      <c r="AD241" s="32" t="str">
        <f>IF(A241&lt;&gt;"",IF(OR(AA241+0.5&gt;=93,AA241+0.5&lt;60),"",IF(MOD(AA241+0.5,10)&gt;=7,"+",IF(MOD(AA241+0.5,10)&lt;3,"-",""))),"")</f>
        <v>-</v>
      </c>
      <c r="AE241" s="32">
        <f>IF(A241&lt;&gt;"",SUM(W241:X241,$W$8:$X$8)/SUM($W$2:$X$2)*100,"")</f>
        <v>80</v>
      </c>
      <c r="AF241" s="32" t="str">
        <f>IF(A241&lt;&gt;"",CHOOSE(10-MIN(9,TRUNC((AE241+0.5)/10)),"A","B","C","D","F","F","F","F","F","F"),"")</f>
        <v>B</v>
      </c>
      <c r="AG241" s="32" t="str">
        <f>IF(A241&lt;&gt;"",IF(OR(AE241+0.5&gt;=93,AE241+0.5&lt;60),"",IF(MOD(AE241+0.5,10)&gt;=7,"+",IF(MOD(AE241+0.5,10)&lt;3,"-",""))),"")</f>
        <v>-</v>
      </c>
      <c r="AH241" s="36">
        <f>IF(A241&lt;&gt;"",MIN(MAX(AA241,AE241),AA241+$AH$8,AE241+$AH$8),"")</f>
        <v>80.983606557377058</v>
      </c>
      <c r="AI241" s="32" t="str">
        <f>IF(A241&lt;&gt;"",CHOOSE(10-MIN(9,TRUNC((AH241+0.5)/10)),"A","B","C","D","F","F","F","F","F","F"),"")</f>
        <v>B</v>
      </c>
      <c r="AJ241" s="32" t="str">
        <f>IF(A241&lt;&gt;"",IF(OR(AH241+0.5&gt;=93,AH241+0.5&lt;60),"",IF(MOD(AH241+0.5,10)&gt;=7,"+",IF(MOD(AH241+0.5,10)&lt;3,"-",""))),"")</f>
        <v>-</v>
      </c>
      <c r="AK241" s="32" t="b">
        <f>IF(A241&lt;&gt;"",OR(AI241&lt;&gt;AC241,AJ241&lt;&gt;AD241),"")</f>
        <v>0</v>
      </c>
      <c r="AL241" s="84">
        <f>IF(AND(A241&lt;&gt;"",U241&lt;&gt;""),SUM(U241,$AL$8)/$AL$2*100,"")</f>
        <v>86.666666666666671</v>
      </c>
      <c r="AM241" s="24">
        <f>IF(AND(A241&lt;&gt;"",V241&lt;&gt;""),SUM(V241,$AM$8)/$AM$2*100,"")</f>
        <v>77.692307692307693</v>
      </c>
      <c r="AN241" s="24">
        <f>IF(AND(A241&lt;&gt;"",ISNUMBER(P241),P241&gt;=0),SUM(P241,$AN$8)/$AN$2*100,"")</f>
        <v>80</v>
      </c>
      <c r="AO241" s="24" t="str">
        <f>IF(AND(A241&lt;&gt;"",ISNUMBER(Q241),Q241&gt;=0),SUM(Q241,$AO$8)/$AO$2*100,"")</f>
        <v/>
      </c>
      <c r="AP241" s="24" t="str">
        <f>IF(AND(A241&lt;&gt;"",R241&lt;&gt;""),SUM(R241,$AP$8)/$AP$2*100,"")</f>
        <v/>
      </c>
      <c r="AQ241" s="24">
        <f>IF(AND(A241&lt;&gt;"",ISNUMBER(W241),W241&gt;=0),SUM(W241,$AQ$8)/$AQ$2*100,"")</f>
        <v>80</v>
      </c>
      <c r="AR241" s="24" t="str">
        <f>IF(AND(A241&lt;&gt;"",T241&gt;0,ISNUMBER(T241)),SUM(T241,$AR$8)/$AR$2*100,"")</f>
        <v/>
      </c>
      <c r="AS241" s="24" t="str">
        <f>IF(AND(A241&lt;&gt;"",X241&lt;&gt;""),SUM(X241,$AS$8)/$AS$2*100,"")</f>
        <v/>
      </c>
      <c r="AT241" s="89">
        <f>IF(AND(A241&lt;&gt;"",OR(ISNUMBER(W241),ISNUMBER(X241))),SUM(W241:X241,$AT$8)/$AT$2*100,"")</f>
        <v>80</v>
      </c>
      <c r="AU241" s="24">
        <f>AA241</f>
        <v>80.983606557377058</v>
      </c>
      <c r="AV241" s="24"/>
      <c r="AW241" s="27">
        <f>IF(A241&lt;&gt;"",AE241-AA241,"")</f>
        <v>-0.98360655737705827</v>
      </c>
      <c r="AY241" s="27" t="b">
        <f>S241&gt;R241</f>
        <v>0</v>
      </c>
      <c r="BA241" s="27" t="e">
        <f>AND(AA241&gt;$BA$3,(W241+$W$8)/$W$2&lt;$BB$3,(X241+$X$8)/$X$2&lt;$BB$3)</f>
        <v>#VALUE!</v>
      </c>
      <c r="BB241" s="27" t="e">
        <f>AND(AA241&lt;$BA$3,AND(W241/$W$2&gt;$BB$3,X241/$X$2&gt;$BB$3))</f>
        <v>#VALUE!</v>
      </c>
      <c r="BC241" s="27" t="e">
        <f>AND(AA241&lt;$BA$3,OR(W241/$W$2&gt;$BB$3,X241/$X$2&gt;$BB$3))</f>
        <v>#VALUE!</v>
      </c>
      <c r="BE241" s="32" t="s">
        <v>85</v>
      </c>
    </row>
    <row r="242" spans="1:57" s="27" customFormat="1" ht="12.75" customHeight="1" x14ac:dyDescent="0.2">
      <c r="A242" s="10">
        <v>474725</v>
      </c>
      <c r="B242" s="55">
        <v>24</v>
      </c>
      <c r="C242" s="10">
        <v>24</v>
      </c>
      <c r="D242" s="10">
        <v>25</v>
      </c>
      <c r="E242" s="10"/>
      <c r="F242" s="10"/>
      <c r="G242" s="10"/>
      <c r="H242" s="10"/>
      <c r="I242" s="10"/>
      <c r="J242" s="2">
        <v>32</v>
      </c>
      <c r="K242" s="10">
        <v>52</v>
      </c>
      <c r="L242" s="10">
        <v>52</v>
      </c>
      <c r="M242" s="10"/>
      <c r="N242" s="10"/>
      <c r="O242" s="12"/>
      <c r="P242" s="41">
        <v>101</v>
      </c>
      <c r="Q242" s="41"/>
      <c r="R242" s="2"/>
      <c r="S242" s="10"/>
      <c r="T242" s="13"/>
      <c r="U242" s="1">
        <f t="array" ref="U242">IF(AND(A242&lt;&gt;"",OR(ISNUMBER(B242:I242))),SUM(B242:I242),"")</f>
        <v>73</v>
      </c>
      <c r="V242" s="10">
        <f t="array" ref="V242">IF(AND(A242&lt;&gt;"",OR(ISNUMBER(J242:O242))),SUM(J242:O242),"")</f>
        <v>136</v>
      </c>
      <c r="W242" s="10">
        <f t="array" ref="W242">IF(AND(A242&lt;&gt;"",OR(ISNUMBER(P242),ISNUMBER(Q242))),SUM(MAX(P242:Q242),Q242),"")</f>
        <v>101</v>
      </c>
      <c r="X242" s="10" t="str">
        <f t="array" ref="X242">IF(AND(A242&lt;&gt;"",OR(ISNUMBER(S242),ISNUMBER(T242))),SUM(S242,T242),"")</f>
        <v/>
      </c>
      <c r="Y242" s="13">
        <v>1</v>
      </c>
      <c r="Z242" s="13">
        <f>IF(A242&lt;&gt;"",SUM(U242:Y242),"")</f>
        <v>311</v>
      </c>
      <c r="AA242" s="27">
        <f>IF(A242&lt;&gt;"",(Z242+Normalize_To_Add)/(Point_Total_So_Far)*100,"")</f>
        <v>101.9672131147541</v>
      </c>
      <c r="AB242" s="10">
        <f>IF(A242&lt;&gt;"",RANK(AA242,All_Student_XC),"")</f>
        <v>7</v>
      </c>
      <c r="AC242" s="32" t="str">
        <f>IF(A242&lt;&gt;"",CHOOSE(10-MIN(9,TRUNC((AA242+0.5)/10)),"A","B","C","D","F","F","F","F","F","F"),"")</f>
        <v>A</v>
      </c>
      <c r="AD242" s="32" t="str">
        <f>IF(A242&lt;&gt;"",IF(OR(AA242+0.5&gt;=93,AA242+0.5&lt;60),"",IF(MOD(AA242+0.5,10)&gt;=7,"+",IF(MOD(AA242+0.5,10)&lt;3,"-",""))),"")</f>
        <v/>
      </c>
      <c r="AE242" s="32">
        <f>IF(A242&lt;&gt;"",SUM(W242:X242,$W$8:$X$8)/SUM($W$2:$X$2)*100,"")</f>
        <v>101</v>
      </c>
      <c r="AF242" s="32" t="str">
        <f>IF(A242&lt;&gt;"",CHOOSE(10-MIN(9,TRUNC((AE242+0.5)/10)),"A","B","C","D","F","F","F","F","F","F"),"")</f>
        <v>A</v>
      </c>
      <c r="AG242" s="32" t="str">
        <f>IF(A242&lt;&gt;"",IF(OR(AE242+0.5&gt;=93,AE242+0.5&lt;60),"",IF(MOD(AE242+0.5,10)&gt;=7,"+",IF(MOD(AE242+0.5,10)&lt;3,"-",""))),"")</f>
        <v/>
      </c>
      <c r="AH242" s="36">
        <f>IF(A242&lt;&gt;"",MIN(MAX(AA242,AE242),AA242+$AH$8,AE242+$AH$8),"")</f>
        <v>101.9672131147541</v>
      </c>
      <c r="AI242" s="32" t="str">
        <f>IF(A242&lt;&gt;"",CHOOSE(10-MIN(9,TRUNC((AH242+0.5)/10)),"A","B","C","D","F","F","F","F","F","F"),"")</f>
        <v>A</v>
      </c>
      <c r="AJ242" s="32" t="str">
        <f>IF(A242&lt;&gt;"",IF(OR(AH242+0.5&gt;=93,AH242+0.5&lt;60),"",IF(MOD(AH242+0.5,10)&gt;=7,"+",IF(MOD(AH242+0.5,10)&lt;3,"-",""))),"")</f>
        <v/>
      </c>
      <c r="AK242" s="32" t="b">
        <f>IF(A242&lt;&gt;"",OR(AI242&lt;&gt;AC242,AJ242&lt;&gt;AD242),"")</f>
        <v>0</v>
      </c>
      <c r="AL242" s="84">
        <f>IF(AND(A242&lt;&gt;"",U242&lt;&gt;""),SUM(U242,$AL$8)/$AL$2*100,"")</f>
        <v>97.333333333333343</v>
      </c>
      <c r="AM242" s="24">
        <f>IF(AND(A242&lt;&gt;"",V242&lt;&gt;""),SUM(V242,$AM$8)/$AM$2*100,"")</f>
        <v>104.61538461538463</v>
      </c>
      <c r="AN242" s="24">
        <f>IF(AND(A242&lt;&gt;"",ISNUMBER(P242),P242&gt;=0),SUM(P242,$AN$8)/$AN$2*100,"")</f>
        <v>101</v>
      </c>
      <c r="AO242" s="24" t="str">
        <f>IF(AND(A242&lt;&gt;"",ISNUMBER(Q242),Q242&gt;=0),SUM(Q242,$AO$8)/$AO$2*100,"")</f>
        <v/>
      </c>
      <c r="AP242" s="24" t="str">
        <f>IF(AND(A242&lt;&gt;"",R242&lt;&gt;""),SUM(R242,$AP$8)/$AP$2*100,"")</f>
        <v/>
      </c>
      <c r="AQ242" s="24">
        <f>IF(AND(A242&lt;&gt;"",ISNUMBER(W242),W242&gt;=0),SUM(W242,$AQ$8)/$AQ$2*100,"")</f>
        <v>101</v>
      </c>
      <c r="AR242" s="24" t="str">
        <f>IF(AND(A242&lt;&gt;"",T242&gt;0,ISNUMBER(T242)),SUM(T242,$AR$8)/$AR$2*100,"")</f>
        <v/>
      </c>
      <c r="AS242" s="24" t="str">
        <f>IF(AND(A242&lt;&gt;"",X242&lt;&gt;""),SUM(X242,$AS$8)/$AS$2*100,"")</f>
        <v/>
      </c>
      <c r="AT242" s="89">
        <f>IF(AND(A242&lt;&gt;"",OR(ISNUMBER(W242),ISNUMBER(X242))),SUM(W242:X242,$AT$8)/$AT$2*100,"")</f>
        <v>101</v>
      </c>
      <c r="AU242" s="24">
        <f>AA242</f>
        <v>101.9672131147541</v>
      </c>
      <c r="AV242" s="24"/>
      <c r="AW242" s="27">
        <f>IF(A242&lt;&gt;"",AE242-AA242,"")</f>
        <v>-0.96721311475410232</v>
      </c>
      <c r="AY242" s="27" t="b">
        <f>S242&gt;R242</f>
        <v>0</v>
      </c>
      <c r="BA242" s="27" t="e">
        <f>AND(AA242&gt;$BA$3,(W242+$W$8)/$W$2&lt;$BB$3,(X242+$X$8)/$X$2&lt;$BB$3)</f>
        <v>#VALUE!</v>
      </c>
      <c r="BB242" s="27" t="e">
        <f>AND(AA242&lt;$BA$3,AND(W242/$W$2&gt;$BB$3,X242/$X$2&gt;$BB$3))</f>
        <v>#VALUE!</v>
      </c>
      <c r="BC242" s="27" t="e">
        <f>AND(AA242&lt;$BA$3,OR(W242/$W$2&gt;$BB$3,X242/$X$2&gt;$BB$3))</f>
        <v>#VALUE!</v>
      </c>
      <c r="BE242" s="32" t="s">
        <v>84</v>
      </c>
    </row>
    <row r="243" spans="1:57" s="27" customFormat="1" ht="12.75" customHeight="1" x14ac:dyDescent="0.2">
      <c r="A243" s="10">
        <v>475637</v>
      </c>
      <c r="B243" s="2">
        <v>24</v>
      </c>
      <c r="C243" s="10">
        <v>23</v>
      </c>
      <c r="D243" s="10">
        <v>25</v>
      </c>
      <c r="E243" s="10"/>
      <c r="F243" s="10"/>
      <c r="G243" s="10"/>
      <c r="H243" s="10"/>
      <c r="I243" s="10"/>
      <c r="J243" s="2">
        <v>27</v>
      </c>
      <c r="K243" s="10">
        <v>52</v>
      </c>
      <c r="L243" s="10">
        <v>52</v>
      </c>
      <c r="M243" s="10"/>
      <c r="N243" s="93"/>
      <c r="O243" s="13"/>
      <c r="P243" s="10">
        <v>101</v>
      </c>
      <c r="Q243" s="10"/>
      <c r="R243" s="2"/>
      <c r="S243" s="10"/>
      <c r="T243" s="13"/>
      <c r="U243" s="1">
        <f t="array" ref="U243">IF(AND(A243&lt;&gt;"",OR(ISNUMBER(B243:I243))),SUM(B243:I243),"")</f>
        <v>72</v>
      </c>
      <c r="V243" s="10">
        <f t="array" ref="V243">IF(AND(A243&lt;&gt;"",OR(ISNUMBER(J243:O243))),SUM(J243:O243),"")</f>
        <v>131</v>
      </c>
      <c r="W243" s="10">
        <f t="array" ref="W243">IF(AND(A243&lt;&gt;"",OR(ISNUMBER(P243),ISNUMBER(Q243))),SUM(MAX(P243:Q243),Q243),"")</f>
        <v>101</v>
      </c>
      <c r="X243" s="10" t="str">
        <f t="array" ref="X243">IF(AND(A243&lt;&gt;"",OR(ISNUMBER(S243),ISNUMBER(T243))),SUM(S243,T243),"")</f>
        <v/>
      </c>
      <c r="Y243" s="13">
        <v>1</v>
      </c>
      <c r="Z243" s="13">
        <f>IF(A243&lt;&gt;"",SUM(U243:Y243),"")</f>
        <v>305</v>
      </c>
      <c r="AA243" s="27">
        <f>IF(A243&lt;&gt;"",(Z243+Normalize_To_Add)/(Point_Total_So_Far)*100,"")</f>
        <v>100</v>
      </c>
      <c r="AB243" s="10">
        <f>IF(A243&lt;&gt;"",RANK(AA243,All_Student_XC),"")</f>
        <v>109</v>
      </c>
      <c r="AC243" s="32" t="str">
        <f>IF(A243&lt;&gt;"",CHOOSE(10-MIN(9,TRUNC((AA243+0.5)/10)),"A","B","C","D","F","F","F","F","F","F"),"")</f>
        <v>A</v>
      </c>
      <c r="AD243" s="31" t="str">
        <f>IF(A243&lt;&gt;"",IF(OR(AA243+0.5&gt;=93,AA243+0.5&lt;60),"",IF(MOD(AA243+0.5,10)&gt;=7,"+",IF(MOD(AA243+0.5,10)&lt;3,"-",""))),"")</f>
        <v/>
      </c>
      <c r="AE243" s="32">
        <f>IF(A243&lt;&gt;"",SUM(W243:X243,$W$8:$X$8)/SUM($W$2:$X$2)*100,"")</f>
        <v>101</v>
      </c>
      <c r="AF243" s="32" t="str">
        <f>IF(A243&lt;&gt;"",CHOOSE(10-MIN(9,TRUNC((AE243+0.5)/10)),"A","B","C","D","F","F","F","F","F","F"),"")</f>
        <v>A</v>
      </c>
      <c r="AG243" s="32" t="str">
        <f>IF(A243&lt;&gt;"",IF(OR(AE243+0.5&gt;=93,AE243+0.5&lt;60),"",IF(MOD(AE243+0.5,10)&gt;=7,"+",IF(MOD(AE243+0.5,10)&lt;3,"-",""))),"")</f>
        <v/>
      </c>
      <c r="AH243" s="36">
        <f>IF(A243&lt;&gt;"",MIN(MAX(AA243,AE243),AA243+$AH$8,AE243+$AH$8),"")</f>
        <v>101</v>
      </c>
      <c r="AI243" s="32" t="str">
        <f>IF(A243&lt;&gt;"",CHOOSE(10-MIN(9,TRUNC((AH243+0.5)/10)),"A","B","C","D","F","F","F","F","F","F"),"")</f>
        <v>A</v>
      </c>
      <c r="AJ243" s="32" t="str">
        <f>IF(A243&lt;&gt;"",IF(OR(AH243+0.5&gt;=93,AH243+0.5&lt;60),"",IF(MOD(AH243+0.5,10)&gt;=7,"+",IF(MOD(AH243+0.5,10)&lt;3,"-",""))),"")</f>
        <v/>
      </c>
      <c r="AK243" s="71" t="b">
        <f>IF(A243&lt;&gt;"",OR(AI243&lt;&gt;AC243,AJ243&lt;&gt;AD243),"")</f>
        <v>0</v>
      </c>
      <c r="AL243" s="86">
        <f>IF(AND(A243&lt;&gt;"",U243&lt;&gt;""),SUM(U243,$AL$8)/$AL$2*100,"")</f>
        <v>96</v>
      </c>
      <c r="AM243" s="71">
        <f>IF(AND(A243&lt;&gt;"",V243&lt;&gt;""),SUM(V243,$AM$8)/$AM$2*100,"")</f>
        <v>100.76923076923077</v>
      </c>
      <c r="AN243" s="71">
        <f>IF(AND(A243&lt;&gt;"",ISNUMBER(P243),P243&gt;=0),SUM(P243,$AN$8)/$AN$2*100,"")</f>
        <v>101</v>
      </c>
      <c r="AO243" s="71" t="str">
        <f>IF(AND(A243&lt;&gt;"",ISNUMBER(Q243),Q243&gt;=0),SUM(Q243,$AO$8)/$AO$2*100,"")</f>
        <v/>
      </c>
      <c r="AP243" s="24" t="str">
        <f>IF(AND(A243&lt;&gt;"",R243&lt;&gt;""),SUM(R243,$AP$8)/$AP$2*100,"")</f>
        <v/>
      </c>
      <c r="AQ243" s="24">
        <f>IF(AND(A243&lt;&gt;"",ISNUMBER(W243),W243&gt;=0),SUM(W243,$AQ$8)/$AQ$2*100,"")</f>
        <v>101</v>
      </c>
      <c r="AR243" s="24" t="str">
        <f>IF(AND(A243&lt;&gt;"",T243&gt;0,ISNUMBER(T243)),SUM(T243,$AR$8)/$AR$2*100,"")</f>
        <v/>
      </c>
      <c r="AS243" s="24" t="str">
        <f>IF(AND(A243&lt;&gt;"",X243&lt;&gt;""),SUM(X243,$AS$8)/$AS$2*100,"")</f>
        <v/>
      </c>
      <c r="AT243" s="89">
        <f>IF(AND(A243&lt;&gt;"",OR(ISNUMBER(W243),ISNUMBER(X243))),SUM(W243:X243,$AT$8)/$AT$2*100,"")</f>
        <v>101</v>
      </c>
      <c r="AU243" s="24">
        <f>AA243</f>
        <v>100</v>
      </c>
      <c r="AV243" s="71"/>
      <c r="AW243" s="27">
        <f>IF(A243&lt;&gt;"",AE243-AA243,"")</f>
        <v>1</v>
      </c>
      <c r="AY243" s="27" t="b">
        <f>S243&gt;R243</f>
        <v>0</v>
      </c>
      <c r="BA243" s="27" t="e">
        <f>AND(AA243&gt;$BA$3,(W243+$W$8)/$W$2&lt;$BB$3,(X243+$X$8)/$X$2&lt;$BB$3)</f>
        <v>#VALUE!</v>
      </c>
      <c r="BB243" s="27" t="e">
        <f>AND(AA243&lt;$BA$3,AND(W243/$W$2&gt;$BB$3,X243/$X$2&gt;$BB$3))</f>
        <v>#VALUE!</v>
      </c>
      <c r="BC243" s="27" t="e">
        <f>AND(AA243&lt;$BA$3,OR(W243/$W$2&gt;$BB$3,X243/$X$2&gt;$BB$3))</f>
        <v>#VALUE!</v>
      </c>
      <c r="BE243" s="32" t="s">
        <v>84</v>
      </c>
    </row>
    <row r="244" spans="1:57" s="27" customFormat="1" ht="12.75" customHeight="1" x14ac:dyDescent="0.2">
      <c r="A244" s="56">
        <v>476045</v>
      </c>
      <c r="B244" s="2">
        <v>23</v>
      </c>
      <c r="C244" s="10">
        <v>23</v>
      </c>
      <c r="D244" s="10">
        <v>25</v>
      </c>
      <c r="E244" s="10"/>
      <c r="F244" s="10"/>
      <c r="G244" s="3"/>
      <c r="H244" s="10"/>
      <c r="I244" s="10"/>
      <c r="J244" s="2">
        <v>31</v>
      </c>
      <c r="K244" s="10">
        <v>49</v>
      </c>
      <c r="L244" s="10">
        <v>51</v>
      </c>
      <c r="M244" s="10"/>
      <c r="N244" s="93"/>
      <c r="O244" s="12"/>
      <c r="P244" s="10">
        <v>101</v>
      </c>
      <c r="Q244" s="41"/>
      <c r="R244" s="2"/>
      <c r="S244" s="10"/>
      <c r="T244" s="13"/>
      <c r="U244" s="1">
        <f t="array" ref="U244">IF(AND(A244&lt;&gt;"",OR(ISNUMBER(B244:I244))),SUM(B244:I244),"")</f>
        <v>71</v>
      </c>
      <c r="V244" s="10">
        <f t="array" ref="V244">IF(AND(A244&lt;&gt;"",OR(ISNUMBER(J244:O244))),SUM(J244:O244),"")</f>
        <v>131</v>
      </c>
      <c r="W244" s="10">
        <f t="array" ref="W244">IF(AND(A244&lt;&gt;"",OR(ISNUMBER(P244),ISNUMBER(Q244))),SUM(MAX(P244:Q244),Q244),"")</f>
        <v>101</v>
      </c>
      <c r="X244" s="10" t="str">
        <f t="array" ref="X244">IF(AND(A244&lt;&gt;"",OR(ISNUMBER(S244),ISNUMBER(T244))),SUM(S244,T244),"")</f>
        <v/>
      </c>
      <c r="Y244" s="13">
        <v>1</v>
      </c>
      <c r="Z244" s="13">
        <f>IF(A244&lt;&gt;"",SUM(U244:Y244),"")</f>
        <v>304</v>
      </c>
      <c r="AA244" s="27">
        <f>IF(A244&lt;&gt;"",(Z244+Normalize_To_Add)/(Point_Total_So_Far)*100,"")</f>
        <v>99.672131147540995</v>
      </c>
      <c r="AB244" s="10">
        <f>IF(A244&lt;&gt;"",RANK(AA244,All_Student_XC),"")</f>
        <v>124</v>
      </c>
      <c r="AC244" s="32" t="str">
        <f>IF(A244&lt;&gt;"",CHOOSE(10-MIN(9,TRUNC((AA244+0.5)/10)),"A","B","C","D","F","F","F","F","F","F"),"")</f>
        <v>A</v>
      </c>
      <c r="AD244" s="32" t="str">
        <f>IF(A244&lt;&gt;"",IF(OR(AA244+0.5&gt;=93,AA244+0.5&lt;60),"",IF(MOD(AA244+0.5,10)&gt;=7,"+",IF(MOD(AA244+0.5,10)&lt;3,"-",""))),"")</f>
        <v/>
      </c>
      <c r="AE244" s="32">
        <f>IF(A244&lt;&gt;"",SUM(W244:X244,$W$8:$X$8)/SUM($W$2:$X$2)*100,"")</f>
        <v>101</v>
      </c>
      <c r="AF244" s="32" t="str">
        <f>IF(A244&lt;&gt;"",CHOOSE(10-MIN(9,TRUNC((AE244+0.5)/10)),"A","B","C","D","F","F","F","F","F","F"),"")</f>
        <v>A</v>
      </c>
      <c r="AG244" s="32" t="str">
        <f>IF(A244&lt;&gt;"",IF(OR(AE244+0.5&gt;=93,AE244+0.5&lt;60),"",IF(MOD(AE244+0.5,10)&gt;=7,"+",IF(MOD(AE244+0.5,10)&lt;3,"-",""))),"")</f>
        <v/>
      </c>
      <c r="AH244" s="36">
        <f>IF(A244&lt;&gt;"",MIN(MAX(AA244,AE244),AA244+$AH$8,AE244+$AH$8),"")</f>
        <v>101</v>
      </c>
      <c r="AI244" s="32" t="str">
        <f>IF(A244&lt;&gt;"",CHOOSE(10-MIN(9,TRUNC((AH244+0.5)/10)),"A","B","C","D","F","F","F","F","F","F"),"")</f>
        <v>A</v>
      </c>
      <c r="AJ244" s="32" t="str">
        <f>IF(A244&lt;&gt;"",IF(OR(AH244+0.5&gt;=93,AH244+0.5&lt;60),"",IF(MOD(AH244+0.5,10)&gt;=7,"+",IF(MOD(AH244+0.5,10)&lt;3,"-",""))),"")</f>
        <v/>
      </c>
      <c r="AK244" s="32" t="b">
        <f>IF(A244&lt;&gt;"",OR(AI244&lt;&gt;AC244,AJ244&lt;&gt;AD244),"")</f>
        <v>0</v>
      </c>
      <c r="AL244" s="84">
        <f>IF(AND(A244&lt;&gt;"",U244&lt;&gt;""),SUM(U244,$AL$8)/$AL$2*100,"")</f>
        <v>94.666666666666671</v>
      </c>
      <c r="AM244" s="24">
        <f>IF(AND(A244&lt;&gt;"",V244&lt;&gt;""),SUM(V244,$AM$8)/$AM$2*100,"")</f>
        <v>100.76923076923077</v>
      </c>
      <c r="AN244" s="24">
        <f>IF(AND(A244&lt;&gt;"",ISNUMBER(P244),P244&gt;=0),SUM(P244,$AN$8)/$AN$2*100,"")</f>
        <v>101</v>
      </c>
      <c r="AO244" s="24" t="str">
        <f>IF(AND(A244&lt;&gt;"",ISNUMBER(Q244),Q244&gt;=0),SUM(Q244,$AO$8)/$AO$2*100,"")</f>
        <v/>
      </c>
      <c r="AP244" s="24" t="str">
        <f>IF(AND(A244&lt;&gt;"",R244&lt;&gt;""),SUM(R244,$AP$8)/$AP$2*100,"")</f>
        <v/>
      </c>
      <c r="AQ244" s="24">
        <f>IF(AND(A244&lt;&gt;"",ISNUMBER(W244),W244&gt;=0),SUM(W244,$AQ$8)/$AQ$2*100,"")</f>
        <v>101</v>
      </c>
      <c r="AR244" s="24" t="str">
        <f>IF(AND(A244&lt;&gt;"",T244&gt;0,ISNUMBER(T244)),SUM(T244,$AR$8)/$AR$2*100,"")</f>
        <v/>
      </c>
      <c r="AS244" s="24" t="str">
        <f>IF(AND(A244&lt;&gt;"",X244&lt;&gt;""),SUM(X244,$AS$8)/$AS$2*100,"")</f>
        <v/>
      </c>
      <c r="AT244" s="89">
        <f>IF(AND(A244&lt;&gt;"",OR(ISNUMBER(W244),ISNUMBER(X244))),SUM(W244:X244,$AT$8)/$AT$2*100,"")</f>
        <v>101</v>
      </c>
      <c r="AU244" s="24">
        <f>AA244</f>
        <v>99.672131147540995</v>
      </c>
      <c r="AV244" s="24"/>
      <c r="AW244" s="27">
        <f>IF(A244&lt;&gt;"",AE244-AA244,"")</f>
        <v>1.3278688524590052</v>
      </c>
      <c r="AY244" s="27" t="b">
        <f>S244&gt;R244</f>
        <v>0</v>
      </c>
      <c r="BA244" s="27" t="e">
        <f>AND(AA244&gt;$BA$3,(W244+$W$8)/$W$2&lt;$BB$3,(X244+$X$8)/$X$2&lt;$BB$3)</f>
        <v>#VALUE!</v>
      </c>
      <c r="BB244" s="27" t="e">
        <f>AND(AA244&lt;$BA$3,AND(W244/$W$2&gt;$BB$3,X244/$X$2&gt;$BB$3))</f>
        <v>#VALUE!</v>
      </c>
      <c r="BC244" s="27" t="e">
        <f>AND(AA244&lt;$BA$3,OR(W244/$W$2&gt;$BB$3,X244/$X$2&gt;$BB$3))</f>
        <v>#VALUE!</v>
      </c>
      <c r="BE244" s="32" t="s">
        <v>84</v>
      </c>
    </row>
    <row r="245" spans="1:57" s="27" customFormat="1" ht="12.75" customHeight="1" x14ac:dyDescent="0.2">
      <c r="A245" s="10">
        <v>478492</v>
      </c>
      <c r="B245" s="2">
        <v>12</v>
      </c>
      <c r="C245" s="10">
        <v>20</v>
      </c>
      <c r="D245" s="10">
        <v>22</v>
      </c>
      <c r="E245" s="56"/>
      <c r="F245" s="10"/>
      <c r="G245" s="10"/>
      <c r="H245" s="10"/>
      <c r="I245" s="10"/>
      <c r="J245" s="2">
        <v>18</v>
      </c>
      <c r="K245" s="10">
        <v>18</v>
      </c>
      <c r="L245" s="10">
        <v>52</v>
      </c>
      <c r="M245" s="10"/>
      <c r="N245" s="93"/>
      <c r="O245" s="12"/>
      <c r="P245" s="10">
        <v>101</v>
      </c>
      <c r="Q245" s="41"/>
      <c r="R245" s="2"/>
      <c r="S245" s="10"/>
      <c r="T245" s="13"/>
      <c r="U245" s="1">
        <f t="array" ref="U245">IF(AND(A245&lt;&gt;"",OR(ISNUMBER(B245:I245))),SUM(B245:I245),"")</f>
        <v>54</v>
      </c>
      <c r="V245" s="10">
        <f t="array" ref="V245">IF(AND(A245&lt;&gt;"",OR(ISNUMBER(J245:O245))),SUM(J245:O245),"")</f>
        <v>88</v>
      </c>
      <c r="W245" s="10">
        <f t="array" ref="W245">IF(AND(A245&lt;&gt;"",OR(ISNUMBER(P245),ISNUMBER(Q245))),SUM(MAX(P245:Q245),Q245),"")</f>
        <v>101</v>
      </c>
      <c r="X245" s="10" t="str">
        <f t="array" ref="X245">IF(AND(A245&lt;&gt;"",OR(ISNUMBER(S245),ISNUMBER(T245))),SUM(S245,T245),"")</f>
        <v/>
      </c>
      <c r="Y245" s="13">
        <v>1</v>
      </c>
      <c r="Z245" s="13">
        <f>IF(A245&lt;&gt;"",SUM(U245:Y245),"")</f>
        <v>244</v>
      </c>
      <c r="AA245" s="27">
        <f>IF(A245&lt;&gt;"",(Z245+Normalize_To_Add)/(Point_Total_So_Far)*100,"")</f>
        <v>80</v>
      </c>
      <c r="AB245" s="10">
        <f>IF(A245&lt;&gt;"",RANK(AA245,All_Student_XC),"")</f>
        <v>412</v>
      </c>
      <c r="AC245" s="32" t="str">
        <f>IF(A245&lt;&gt;"",CHOOSE(10-MIN(9,TRUNC((AA245+0.5)/10)),"A","B","C","D","F","F","F","F","F","F"),"")</f>
        <v>B</v>
      </c>
      <c r="AD245" s="32" t="str">
        <f>IF(A245&lt;&gt;"",IF(OR(AA245+0.5&gt;=93,AA245+0.5&lt;60),"",IF(MOD(AA245+0.5,10)&gt;=7,"+",IF(MOD(AA245+0.5,10)&lt;3,"-",""))),"")</f>
        <v>-</v>
      </c>
      <c r="AE245" s="32">
        <f>IF(A245&lt;&gt;"",SUM(W245:X245,$W$8:$X$8)/SUM($W$2:$X$2)*100,"")</f>
        <v>101</v>
      </c>
      <c r="AF245" s="44" t="str">
        <f>IF(A245&lt;&gt;"",CHOOSE(10-MIN(9,TRUNC((AE245+0.5)/10)),"A","B","C","D","F","F","F","F","F","F"),"")</f>
        <v>A</v>
      </c>
      <c r="AG245" s="44" t="str">
        <f>IF(A245&lt;&gt;"",IF(OR(AE245+0.5&gt;=93,AE245+0.5&lt;60),"",IF(MOD(AE245+0.5,10)&gt;=7,"+",IF(MOD(AE245+0.5,10)&lt;3,"-",""))),"")</f>
        <v/>
      </c>
      <c r="AH245" s="36">
        <f>IF(A245&lt;&gt;"",MIN(MAX(AA245,AE245),AA245+$AH$8,AE245+$AH$8),"")</f>
        <v>101</v>
      </c>
      <c r="AI245" s="32" t="str">
        <f>IF(A245&lt;&gt;"",CHOOSE(10-MIN(9,TRUNC((AH245+0.5)/10)),"A","B","C","D","F","F","F","F","F","F"),"")</f>
        <v>A</v>
      </c>
      <c r="AJ245" s="32" t="str">
        <f>IF(A245&lt;&gt;"",IF(OR(AH245+0.5&gt;=93,AH245+0.5&lt;60),"",IF(MOD(AH245+0.5,10)&gt;=7,"+",IF(MOD(AH245+0.5,10)&lt;3,"-",""))),"")</f>
        <v/>
      </c>
      <c r="AK245" s="32" t="b">
        <f>IF(A245&lt;&gt;"",OR(AI245&lt;&gt;AC245,AJ245&lt;&gt;AD245),"")</f>
        <v>1</v>
      </c>
      <c r="AL245" s="84">
        <f>IF(AND(A245&lt;&gt;"",U245&lt;&gt;""),SUM(U245,$AL$8)/$AL$2*100,"")</f>
        <v>72</v>
      </c>
      <c r="AM245" s="24">
        <f>IF(AND(A245&lt;&gt;"",V245&lt;&gt;""),SUM(V245,$AM$8)/$AM$2*100,"")</f>
        <v>67.692307692307693</v>
      </c>
      <c r="AN245" s="24">
        <f>IF(AND(A245&lt;&gt;"",ISNUMBER(P245),P245&gt;=0),SUM(P245,$AN$8)/$AN$2*100,"")</f>
        <v>101</v>
      </c>
      <c r="AO245" s="24" t="str">
        <f>IF(AND(A245&lt;&gt;"",ISNUMBER(Q245),Q245&gt;=0),SUM(Q245,$AO$8)/$AO$2*100,"")</f>
        <v/>
      </c>
      <c r="AP245" s="24" t="str">
        <f>IF(AND(A245&lt;&gt;"",R245&lt;&gt;""),SUM(R245,$AP$8)/$AP$2*100,"")</f>
        <v/>
      </c>
      <c r="AQ245" s="24">
        <f>IF(AND(A245&lt;&gt;"",ISNUMBER(W245),W245&gt;=0),SUM(W245,$AQ$8)/$AQ$2*100,"")</f>
        <v>101</v>
      </c>
      <c r="AR245" s="24" t="str">
        <f>IF(AND(A245&lt;&gt;"",T245&gt;0,ISNUMBER(T245)),SUM(T245,$AR$8)/$AR$2*100,"")</f>
        <v/>
      </c>
      <c r="AS245" s="24" t="str">
        <f>IF(AND(A245&lt;&gt;"",X245&lt;&gt;""),SUM(X245,$AS$8)/$AS$2*100,"")</f>
        <v/>
      </c>
      <c r="AT245" s="89">
        <f>IF(AND(A245&lt;&gt;"",OR(ISNUMBER(W245),ISNUMBER(X245))),SUM(W245:X245,$AT$8)/$AT$2*100,"")</f>
        <v>101</v>
      </c>
      <c r="AU245" s="24">
        <f>AA245</f>
        <v>80</v>
      </c>
      <c r="AV245" s="24"/>
      <c r="AW245" s="27">
        <f>IF(A245&lt;&gt;"",AE245-AA245,"")</f>
        <v>21</v>
      </c>
      <c r="AY245" s="58" t="b">
        <f>S245&gt;R245</f>
        <v>0</v>
      </c>
      <c r="BA245" s="27" t="e">
        <f>AND(AA245&gt;$BA$3,(W245+$W$8)/$W$2&lt;$BB$3,(X245+$X$8)/$X$2&lt;$BB$3)</f>
        <v>#VALUE!</v>
      </c>
      <c r="BB245" s="27" t="e">
        <f>AND(AA245&lt;$BA$3,AND(W245/$W$2&gt;$BB$3,X245/$X$2&gt;$BB$3))</f>
        <v>#VALUE!</v>
      </c>
      <c r="BC245" s="27" t="e">
        <f>AND(AA245&lt;$BA$3,OR(W245/$W$2&gt;$BB$3,X245/$X$2&gt;$BB$3))</f>
        <v>#VALUE!</v>
      </c>
      <c r="BE245" s="32" t="s">
        <v>85</v>
      </c>
    </row>
    <row r="246" spans="1:57" s="27" customFormat="1" ht="12.75" customHeight="1" x14ac:dyDescent="0.2">
      <c r="A246" s="10">
        <v>479005</v>
      </c>
      <c r="B246" s="2">
        <v>23</v>
      </c>
      <c r="C246" s="10">
        <v>23</v>
      </c>
      <c r="D246" s="10">
        <v>25</v>
      </c>
      <c r="E246" s="10"/>
      <c r="F246" s="10"/>
      <c r="G246" s="3"/>
      <c r="H246" s="10"/>
      <c r="I246" s="10"/>
      <c r="J246" s="2">
        <v>25</v>
      </c>
      <c r="K246" s="10">
        <v>52</v>
      </c>
      <c r="L246" s="10">
        <v>52</v>
      </c>
      <c r="M246" s="10"/>
      <c r="N246" s="93"/>
      <c r="O246" s="12"/>
      <c r="P246" s="10">
        <v>101</v>
      </c>
      <c r="Q246" s="41"/>
      <c r="R246" s="2"/>
      <c r="S246" s="10"/>
      <c r="T246" s="13"/>
      <c r="U246" s="1">
        <f t="array" ref="U246">IF(AND(A246&lt;&gt;"",OR(ISNUMBER(B246:I246))),SUM(B246:I246),"")</f>
        <v>71</v>
      </c>
      <c r="V246" s="10">
        <f t="array" ref="V246">IF(AND(A246&lt;&gt;"",OR(ISNUMBER(J246:O246))),SUM(J246:O246),"")</f>
        <v>129</v>
      </c>
      <c r="W246" s="10">
        <f t="array" ref="W246">IF(AND(A246&lt;&gt;"",OR(ISNUMBER(P246),ISNUMBER(Q246))),SUM(MAX(P246:Q246),Q246),"")</f>
        <v>101</v>
      </c>
      <c r="X246" s="10" t="str">
        <f t="array" ref="X246">IF(AND(A246&lt;&gt;"",OR(ISNUMBER(S246),ISNUMBER(T246))),SUM(S246,T246),"")</f>
        <v/>
      </c>
      <c r="Y246" s="13">
        <v>1</v>
      </c>
      <c r="Z246" s="13">
        <f>IF(A246&lt;&gt;"",SUM(U246:Y246),"")</f>
        <v>302</v>
      </c>
      <c r="AA246" s="27">
        <f>IF(A246&lt;&gt;"",(Z246+Normalize_To_Add)/(Point_Total_So_Far)*100,"")</f>
        <v>99.016393442622956</v>
      </c>
      <c r="AB246" s="10">
        <f>IF(A246&lt;&gt;"",RANK(AA246,All_Student_XC),"")</f>
        <v>164</v>
      </c>
      <c r="AC246" s="32" t="str">
        <f>IF(A246&lt;&gt;"",CHOOSE(10-MIN(9,TRUNC((AA246+0.5)/10)),"A","B","C","D","F","F","F","F","F","F"),"")</f>
        <v>A</v>
      </c>
      <c r="AD246" s="32" t="str">
        <f>IF(A246&lt;&gt;"",IF(OR(AA246+0.5&gt;=93,AA246+0.5&lt;60),"",IF(MOD(AA246+0.5,10)&gt;=7,"+",IF(MOD(AA246+0.5,10)&lt;3,"-",""))),"")</f>
        <v/>
      </c>
      <c r="AE246" s="32">
        <f>IF(A246&lt;&gt;"",SUM(W246:X246,$W$8:$X$8)/SUM($W$2:$X$2)*100,"")</f>
        <v>101</v>
      </c>
      <c r="AF246" s="44" t="str">
        <f>IF(A246&lt;&gt;"",CHOOSE(10-MIN(9,TRUNC((AE246+0.5)/10)),"A","B","C","D","F","F","F","F","F","F"),"")</f>
        <v>A</v>
      </c>
      <c r="AG246" s="44" t="str">
        <f>IF(A246&lt;&gt;"",IF(OR(AE246+0.5&gt;=93,AE246+0.5&lt;60),"",IF(MOD(AE246+0.5,10)&gt;=7,"+",IF(MOD(AE246+0.5,10)&lt;3,"-",""))),"")</f>
        <v/>
      </c>
      <c r="AH246" s="36">
        <f>IF(A246&lt;&gt;"",MIN(MAX(AA246,AE246),AA246+$AH$8,AE246+$AH$8),"")</f>
        <v>101</v>
      </c>
      <c r="AI246" s="32" t="str">
        <f>IF(A246&lt;&gt;"",CHOOSE(10-MIN(9,TRUNC((AH246+0.5)/10)),"A","B","C","D","F","F","F","F","F","F"),"")</f>
        <v>A</v>
      </c>
      <c r="AJ246" s="32" t="str">
        <f>IF(A246&lt;&gt;"",IF(OR(AH246+0.5&gt;=93,AH246+0.5&lt;60),"",IF(MOD(AH246+0.5,10)&gt;=7,"+",IF(MOD(AH246+0.5,10)&lt;3,"-",""))),"")</f>
        <v/>
      </c>
      <c r="AK246" s="32" t="b">
        <f>IF(A246&lt;&gt;"",OR(AI246&lt;&gt;AC246,AJ246&lt;&gt;AD246),"")</f>
        <v>0</v>
      </c>
      <c r="AL246" s="84">
        <f>IF(AND(A246&lt;&gt;"",U246&lt;&gt;""),SUM(U246,$AL$8)/$AL$2*100,"")</f>
        <v>94.666666666666671</v>
      </c>
      <c r="AM246" s="24">
        <f>IF(AND(A246&lt;&gt;"",V246&lt;&gt;""),SUM(V246,$AM$8)/$AM$2*100,"")</f>
        <v>99.230769230769226</v>
      </c>
      <c r="AN246" s="24">
        <f>IF(AND(A246&lt;&gt;"",ISNUMBER(P246),P246&gt;=0),SUM(P246,$AN$8)/$AN$2*100,"")</f>
        <v>101</v>
      </c>
      <c r="AO246" s="24" t="str">
        <f>IF(AND(A246&lt;&gt;"",ISNUMBER(Q246),Q246&gt;=0),SUM(Q246,$AO$8)/$AO$2*100,"")</f>
        <v/>
      </c>
      <c r="AP246" s="24" t="str">
        <f>IF(AND(A246&lt;&gt;"",R246&lt;&gt;""),SUM(R246,$AP$8)/$AP$2*100,"")</f>
        <v/>
      </c>
      <c r="AQ246" s="24">
        <f>IF(AND(A246&lt;&gt;"",ISNUMBER(W246),W246&gt;=0),SUM(W246,$AQ$8)/$AQ$2*100,"")</f>
        <v>101</v>
      </c>
      <c r="AR246" s="24" t="str">
        <f>IF(AND(A246&lt;&gt;"",T246&gt;0,ISNUMBER(T246)),SUM(T246,$AR$8)/$AR$2*100,"")</f>
        <v/>
      </c>
      <c r="AS246" s="24" t="str">
        <f>IF(AND(A246&lt;&gt;"",X246&lt;&gt;""),SUM(X246,$AS$8)/$AS$2*100,"")</f>
        <v/>
      </c>
      <c r="AT246" s="89">
        <f>IF(AND(A246&lt;&gt;"",OR(ISNUMBER(W246),ISNUMBER(X246))),SUM(W246:X246,$AT$8)/$AT$2*100,"")</f>
        <v>101</v>
      </c>
      <c r="AU246" s="24">
        <f>AA246</f>
        <v>99.016393442622956</v>
      </c>
      <c r="AV246" s="24"/>
      <c r="AW246" s="27">
        <f>IF(A246&lt;&gt;"",AE246-AA246,"")</f>
        <v>1.9836065573770441</v>
      </c>
      <c r="AY246" s="27" t="b">
        <f>S246&gt;R246</f>
        <v>0</v>
      </c>
      <c r="BA246" s="27" t="e">
        <f>AND(AA246&gt;$BA$3,(W246+$W$8)/$W$2&lt;$BB$3,(X246+$X$8)/$X$2&lt;$BB$3)</f>
        <v>#VALUE!</v>
      </c>
      <c r="BB246" s="27" t="e">
        <f>AND(AA246&lt;$BA$3,AND(W246/$W$2&gt;$BB$3,X246/$X$2&gt;$BB$3))</f>
        <v>#VALUE!</v>
      </c>
      <c r="BC246" s="27" t="e">
        <f>AND(AA246&lt;$BA$3,OR(W246/$W$2&gt;$BB$3,X246/$X$2&gt;$BB$3))</f>
        <v>#VALUE!</v>
      </c>
      <c r="BE246" s="32" t="s">
        <v>84</v>
      </c>
    </row>
    <row r="247" spans="1:57" s="99" customFormat="1" ht="12.75" customHeight="1" x14ac:dyDescent="0.2">
      <c r="A247" s="78">
        <v>479380</v>
      </c>
      <c r="B247" s="97">
        <v>24</v>
      </c>
      <c r="C247" s="78">
        <v>24</v>
      </c>
      <c r="D247" s="78">
        <v>25</v>
      </c>
      <c r="E247" s="78"/>
      <c r="F247" s="78"/>
      <c r="G247" s="78"/>
      <c r="H247" s="78"/>
      <c r="I247" s="78"/>
      <c r="J247" s="97">
        <v>32</v>
      </c>
      <c r="K247" s="78">
        <v>52</v>
      </c>
      <c r="L247" s="78">
        <v>51</v>
      </c>
      <c r="M247" s="78"/>
      <c r="N247" s="103"/>
      <c r="O247" s="108"/>
      <c r="P247" s="78">
        <v>101</v>
      </c>
      <c r="Q247" s="109"/>
      <c r="R247" s="97"/>
      <c r="S247" s="78"/>
      <c r="T247" s="98"/>
      <c r="U247" s="111">
        <f t="array" ref="U247">IF(AND(A247&lt;&gt;"",OR(ISNUMBER(B247:I247))),SUM(B247:I247),"")</f>
        <v>73</v>
      </c>
      <c r="V247" s="78">
        <f t="array" ref="V247">IF(AND(A247&lt;&gt;"",OR(ISNUMBER(J247:O247))),SUM(J247:O247),"")</f>
        <v>135</v>
      </c>
      <c r="W247" s="78">
        <f t="array" ref="W247">IF(AND(A247&lt;&gt;"",OR(ISNUMBER(P247),ISNUMBER(Q247))),SUM(MAX(P247:Q247),Q247),"")</f>
        <v>101</v>
      </c>
      <c r="X247" s="78" t="str">
        <f t="array" ref="X247">IF(AND(A247&lt;&gt;"",OR(ISNUMBER(S247),ISNUMBER(T247))),SUM(S247,T247),"")</f>
        <v/>
      </c>
      <c r="Y247" s="98">
        <v>1</v>
      </c>
      <c r="Z247" s="98">
        <f>IF(A247&lt;&gt;"",SUM(U247:Y247),"")</f>
        <v>310</v>
      </c>
      <c r="AA247" s="99">
        <f>IF(A247&lt;&gt;"",(Z247+Normalize_To_Add)/(Point_Total_So_Far)*100,"")</f>
        <v>101.63934426229508</v>
      </c>
      <c r="AB247" s="78">
        <f>IF(A247&lt;&gt;"",RANK(AA247,All_Student_XC),"")</f>
        <v>19</v>
      </c>
      <c r="AC247" s="100" t="str">
        <f>IF(A247&lt;&gt;"",CHOOSE(10-MIN(9,TRUNC((AA247+0.5)/10)),"A","B","C","D","F","F","F","F","F","F"),"")</f>
        <v>A</v>
      </c>
      <c r="AD247" s="100" t="str">
        <f>IF(A247&lt;&gt;"",IF(OR(AA247+0.5&gt;=93,AA247+0.5&lt;60),"",IF(MOD(AA247+0.5,10)&gt;=7,"+",IF(MOD(AA247+0.5,10)&lt;3,"-",""))),"")</f>
        <v/>
      </c>
      <c r="AE247" s="100">
        <f>IF(A247&lt;&gt;"",SUM(W247:X247,$W$8:$X$8)/SUM($W$2:$X$2)*100,"")</f>
        <v>101</v>
      </c>
      <c r="AF247" s="100" t="str">
        <f>IF(A247&lt;&gt;"",CHOOSE(10-MIN(9,TRUNC((AE247+0.5)/10)),"A","B","C","D","F","F","F","F","F","F"),"")</f>
        <v>A</v>
      </c>
      <c r="AG247" s="100" t="str">
        <f>IF(A247&lt;&gt;"",IF(OR(AE247+0.5&gt;=93,AE247+0.5&lt;60),"",IF(MOD(AE247+0.5,10)&gt;=7,"+",IF(MOD(AE247+0.5,10)&lt;3,"-",""))),"")</f>
        <v/>
      </c>
      <c r="AH247" s="101">
        <f>IF(A247&lt;&gt;"",MIN(MAX(AA247,AE247),AA247+$AH$8,AE247+$AH$8),"")</f>
        <v>101.63934426229508</v>
      </c>
      <c r="AI247" s="100" t="str">
        <f>IF(A247&lt;&gt;"",CHOOSE(10-MIN(9,TRUNC((AH247+0.5)/10)),"A","B","C","D","F","F","F","F","F","F"),"")</f>
        <v>A</v>
      </c>
      <c r="AJ247" s="100" t="str">
        <f>IF(A247&lt;&gt;"",IF(OR(AH247+0.5&gt;=93,AH247+0.5&lt;60),"",IF(MOD(AH247+0.5,10)&gt;=7,"+",IF(MOD(AH247+0.5,10)&lt;3,"-",""))),"")</f>
        <v/>
      </c>
      <c r="AK247" s="100" t="b">
        <f>IF(A247&lt;&gt;"",OR(AI247&lt;&gt;AC247,AJ247&lt;&gt;AD247),"")</f>
        <v>0</v>
      </c>
      <c r="AL247" s="110">
        <f>IF(AND(A247&lt;&gt;"",U247&lt;&gt;""),SUM(U247,$AL$8)/$AL$2*100,"")</f>
        <v>97.333333333333343</v>
      </c>
      <c r="AM247" s="94">
        <f>IF(AND(A247&lt;&gt;"",V247&lt;&gt;""),SUM(V247,$AM$8)/$AM$2*100,"")</f>
        <v>103.84615384615385</v>
      </c>
      <c r="AN247" s="94">
        <f>IF(AND(A247&lt;&gt;"",ISNUMBER(P247),P247&gt;=0),SUM(P247,$AN$8)/$AN$2*100,"")</f>
        <v>101</v>
      </c>
      <c r="AO247" s="94" t="str">
        <f>IF(AND(A247&lt;&gt;"",ISNUMBER(Q247),Q247&gt;=0),SUM(Q247,$AO$8)/$AO$2*100,"")</f>
        <v/>
      </c>
      <c r="AP247" s="94" t="str">
        <f>IF(AND(A247&lt;&gt;"",R247&lt;&gt;""),SUM(R247,$AP$8)/$AP$2*100,"")</f>
        <v/>
      </c>
      <c r="AQ247" s="94">
        <f>IF(AND(A247&lt;&gt;"",ISNUMBER(W247),W247&gt;=0),SUM(W247,$AQ$8)/$AQ$2*100,"")</f>
        <v>101</v>
      </c>
      <c r="AR247" s="94" t="str">
        <f>IF(AND(A247&lt;&gt;"",T247&gt;0,ISNUMBER(T247)),SUM(T247,$AR$8)/$AR$2*100,"")</f>
        <v/>
      </c>
      <c r="AS247" s="94" t="str">
        <f>IF(AND(A247&lt;&gt;"",X247&lt;&gt;""),SUM(X247,$AS$8)/$AS$2*100,"")</f>
        <v/>
      </c>
      <c r="AT247" s="102">
        <f>IF(AND(A247&lt;&gt;"",OR(ISNUMBER(W247),ISNUMBER(X247))),SUM(W247:X247,$AT$8)/$AT$2*100,"")</f>
        <v>101</v>
      </c>
      <c r="AU247" s="94">
        <f>AA247</f>
        <v>101.63934426229508</v>
      </c>
      <c r="AV247" s="94"/>
      <c r="AW247" s="99">
        <f>IF(A247&lt;&gt;"",AE247-AA247,"")</f>
        <v>-0.6393442622950829</v>
      </c>
      <c r="AY247" s="99" t="b">
        <f>S247&gt;R247</f>
        <v>0</v>
      </c>
      <c r="BA247" s="99" t="e">
        <f>AND(AA247&gt;$BA$3,(W247+$W$8)/$W$2&lt;$BB$3,(X247+$X$8)/$X$2&lt;$BB$3)</f>
        <v>#VALUE!</v>
      </c>
      <c r="BB247" s="99" t="e">
        <f>AND(AA247&lt;$BA$3,AND(W247/$W$2&gt;$BB$3,X247/$X$2&gt;$BB$3))</f>
        <v>#VALUE!</v>
      </c>
      <c r="BC247" s="99" t="e">
        <f>AND(AA247&lt;$BA$3,OR(W247/$W$2&gt;$BB$3,X247/$X$2&gt;$BB$3))</f>
        <v>#VALUE!</v>
      </c>
      <c r="BE247" s="100" t="s">
        <v>84</v>
      </c>
    </row>
    <row r="248" spans="1:57" s="27" customFormat="1" ht="12.75" customHeight="1" x14ac:dyDescent="0.2">
      <c r="A248" s="10">
        <v>482804</v>
      </c>
      <c r="B248" s="2">
        <v>7</v>
      </c>
      <c r="C248" s="10">
        <v>20</v>
      </c>
      <c r="D248" s="10">
        <v>14</v>
      </c>
      <c r="E248" s="10"/>
      <c r="F248" s="10"/>
      <c r="G248" s="3"/>
      <c r="H248" s="10"/>
      <c r="I248" s="10"/>
      <c r="J248" s="2">
        <v>22</v>
      </c>
      <c r="K248" s="10">
        <v>38</v>
      </c>
      <c r="L248" s="10">
        <v>49</v>
      </c>
      <c r="M248" s="10"/>
      <c r="N248" s="10"/>
      <c r="O248" s="12"/>
      <c r="P248" s="7">
        <v>80</v>
      </c>
      <c r="Q248" s="7"/>
      <c r="R248" s="2"/>
      <c r="S248" s="10"/>
      <c r="T248" s="13"/>
      <c r="U248" s="77">
        <f t="array" ref="U248">IF(AND(A248&lt;&gt;"",OR(ISNUMBER(B248:I248))),SUM(B248:I248),"")</f>
        <v>41</v>
      </c>
      <c r="V248" s="10">
        <f t="array" ref="V248">IF(AND(A248&lt;&gt;"",OR(ISNUMBER(J248:O248))),SUM(J248:O248),"")</f>
        <v>109</v>
      </c>
      <c r="W248" s="10">
        <f t="array" ref="W248">IF(AND(A248&lt;&gt;"",OR(ISNUMBER(P248),ISNUMBER(Q248))),SUM(MAX(P248:Q248),Q248),"")</f>
        <v>80</v>
      </c>
      <c r="X248" s="10" t="str">
        <f t="array" ref="X248">IF(AND(A248&lt;&gt;"",OR(ISNUMBER(S248),ISNUMBER(T248))),SUM(S248,T248),"")</f>
        <v/>
      </c>
      <c r="Y248" s="13">
        <v>1</v>
      </c>
      <c r="Z248" s="13">
        <f>IF(A248&lt;&gt;"",SUM(U248:Y248),"")</f>
        <v>231</v>
      </c>
      <c r="AA248" s="27">
        <f>IF(A248&lt;&gt;"",(Z248+Normalize_To_Add)/(Point_Total_So_Far)*100,"")</f>
        <v>75.73770491803279</v>
      </c>
      <c r="AB248" s="10">
        <f>IF(A248&lt;&gt;"",RANK(AA248,All_Student_XC),"")</f>
        <v>435</v>
      </c>
      <c r="AC248" s="32" t="str">
        <f>IF(A248&lt;&gt;"",CHOOSE(10-MIN(9,TRUNC((AA248+0.5)/10)),"A","B","C","D","F","F","F","F","F","F"),"")</f>
        <v>C</v>
      </c>
      <c r="AD248" s="32" t="str">
        <f>IF(A248&lt;&gt;"",IF(OR(AA248+0.5&gt;=93,AA248+0.5&lt;60),"",IF(MOD(AA248+0.5,10)&gt;=7,"+",IF(MOD(AA248+0.5,10)&lt;3,"-",""))),"")</f>
        <v/>
      </c>
      <c r="AE248" s="32">
        <f>IF(A248&lt;&gt;"",SUM(W248:X248,$W$8:$X$8)/SUM($W$2:$X$2)*100,"")</f>
        <v>80</v>
      </c>
      <c r="AF248" s="32" t="str">
        <f>IF(A248&lt;&gt;"",CHOOSE(10-MIN(9,TRUNC((AE248+0.5)/10)),"A","B","C","D","F","F","F","F","F","F"),"")</f>
        <v>B</v>
      </c>
      <c r="AG248" s="32" t="str">
        <f>IF(A248&lt;&gt;"",IF(OR(AE248+0.5&gt;=93,AE248+0.5&lt;60),"",IF(MOD(AE248+0.5,10)&gt;=7,"+",IF(MOD(AE248+0.5,10)&lt;3,"-",""))),"")</f>
        <v>-</v>
      </c>
      <c r="AH248" s="36">
        <f>IF(A248&lt;&gt;"",MIN(MAX(AA248,AE248),AA248+$AH$8,AE248+$AH$8),"")</f>
        <v>80</v>
      </c>
      <c r="AI248" s="32" t="str">
        <f>IF(A248&lt;&gt;"",CHOOSE(10-MIN(9,TRUNC((AH248+0.5)/10)),"A","B","C","D","F","F","F","F","F","F"),"")</f>
        <v>B</v>
      </c>
      <c r="AJ248" s="32" t="str">
        <f>IF(A248&lt;&gt;"",IF(OR(AH248+0.5&gt;=93,AH248+0.5&lt;60),"",IF(MOD(AH248+0.5,10)&gt;=7,"+",IF(MOD(AH248+0.5,10)&lt;3,"-",""))),"")</f>
        <v>-</v>
      </c>
      <c r="AK248" s="32" t="b">
        <f>IF(A248&lt;&gt;"",OR(AI248&lt;&gt;AC248,AJ248&lt;&gt;AD248),"")</f>
        <v>1</v>
      </c>
      <c r="AL248" s="84">
        <f>IF(AND(A248&lt;&gt;"",U248&lt;&gt;""),SUM(U248,$AL$8)/$AL$2*100,"")</f>
        <v>54.666666666666664</v>
      </c>
      <c r="AM248" s="24">
        <f>IF(AND(A248&lt;&gt;"",V248&lt;&gt;""),SUM(V248,$AM$8)/$AM$2*100,"")</f>
        <v>83.846153846153854</v>
      </c>
      <c r="AN248" s="24">
        <f>IF(AND(A248&lt;&gt;"",ISNUMBER(P248),P248&gt;=0),SUM(P248,$AN$8)/$AN$2*100,"")</f>
        <v>80</v>
      </c>
      <c r="AO248" s="24" t="str">
        <f>IF(AND(A248&lt;&gt;"",ISNUMBER(Q248),Q248&gt;=0),SUM(Q248,$AO$8)/$AO$2*100,"")</f>
        <v/>
      </c>
      <c r="AP248" s="24" t="str">
        <f>IF(AND(A248&lt;&gt;"",R248&lt;&gt;""),SUM(R248,$AP$8)/$AP$2*100,"")</f>
        <v/>
      </c>
      <c r="AQ248" s="24">
        <f>IF(AND(A248&lt;&gt;"",ISNUMBER(W248),W248&gt;=0),SUM(W248,$AQ$8)/$AQ$2*100,"")</f>
        <v>80</v>
      </c>
      <c r="AR248" s="24" t="str">
        <f>IF(AND(A248&lt;&gt;"",T248&gt;0,ISNUMBER(T248)),SUM(T248,$AR$8)/$AR$2*100,"")</f>
        <v/>
      </c>
      <c r="AS248" s="24" t="str">
        <f>IF(AND(A248&lt;&gt;"",X248&lt;&gt;""),SUM(X248,$AS$8)/$AS$2*100,"")</f>
        <v/>
      </c>
      <c r="AT248" s="89">
        <f>IF(AND(A248&lt;&gt;"",OR(ISNUMBER(W248),ISNUMBER(X248))),SUM(W248:X248,$AT$8)/$AT$2*100,"")</f>
        <v>80</v>
      </c>
      <c r="AU248" s="24">
        <f>AA248</f>
        <v>75.73770491803279</v>
      </c>
      <c r="AV248" s="24"/>
      <c r="AW248" s="27">
        <f>IF(A248&lt;&gt;"",AE248-AA248,"")</f>
        <v>4.2622950819672099</v>
      </c>
      <c r="AY248" s="27" t="b">
        <f>S248&gt;R248</f>
        <v>0</v>
      </c>
      <c r="BA248" s="27" t="e">
        <f>AND(AA248&gt;$BA$3,(W248+$W$8)/$W$2&lt;$BB$3,(X248+$X$8)/$X$2&lt;$BB$3)</f>
        <v>#VALUE!</v>
      </c>
      <c r="BB248" s="27" t="e">
        <f>AND(AA248&lt;$BA$3,AND(W248/$W$2&gt;$BB$3,X248/$X$2&gt;$BB$3))</f>
        <v>#VALUE!</v>
      </c>
      <c r="BC248" s="27" t="e">
        <f>AND(AA248&lt;$BA$3,OR(W248/$W$2&gt;$BB$3,X248/$X$2&gt;$BB$3))</f>
        <v>#VALUE!</v>
      </c>
      <c r="BE248" s="32">
        <v>32</v>
      </c>
    </row>
    <row r="249" spans="1:57" s="27" customFormat="1" ht="12.75" customHeight="1" x14ac:dyDescent="0.2">
      <c r="A249" s="10">
        <v>483611</v>
      </c>
      <c r="B249" s="2">
        <v>19</v>
      </c>
      <c r="C249" s="10">
        <v>20</v>
      </c>
      <c r="D249" s="10">
        <v>22</v>
      </c>
      <c r="E249" s="10"/>
      <c r="F249" s="10"/>
      <c r="G249" s="10"/>
      <c r="H249" s="10"/>
      <c r="I249" s="10"/>
      <c r="J249" s="2">
        <v>30</v>
      </c>
      <c r="K249" s="10">
        <v>52</v>
      </c>
      <c r="L249" s="10">
        <v>51</v>
      </c>
      <c r="M249" s="10"/>
      <c r="N249" s="93"/>
      <c r="O249" s="12"/>
      <c r="P249" s="10">
        <v>80</v>
      </c>
      <c r="Q249" s="41"/>
      <c r="R249" s="2"/>
      <c r="S249" s="10"/>
      <c r="T249" s="13"/>
      <c r="U249" s="77">
        <f t="array" ref="U249">IF(AND(A249&lt;&gt;"",OR(ISNUMBER(B249:I249))),SUM(B249:I249),"")</f>
        <v>61</v>
      </c>
      <c r="V249" s="10">
        <f t="array" ref="V249">IF(AND(A249&lt;&gt;"",OR(ISNUMBER(J249:O249))),SUM(J249:O249),"")</f>
        <v>133</v>
      </c>
      <c r="W249" s="10">
        <f t="array" ref="W249">IF(AND(A249&lt;&gt;"",OR(ISNUMBER(P249),ISNUMBER(Q249))),SUM(MAX(P249:Q249),Q249),"")</f>
        <v>80</v>
      </c>
      <c r="X249" s="10" t="str">
        <f t="array" ref="X249">IF(AND(A249&lt;&gt;"",OR(ISNUMBER(S249),ISNUMBER(T249))),SUM(S249,T249),"")</f>
        <v/>
      </c>
      <c r="Y249" s="13">
        <v>1</v>
      </c>
      <c r="Z249" s="13">
        <f>IF(A249&lt;&gt;"",SUM(U249:Y249),"")</f>
        <v>275</v>
      </c>
      <c r="AA249" s="27">
        <f>IF(A249&lt;&gt;"",(Z249+Normalize_To_Add)/(Point_Total_So_Far)*100,"")</f>
        <v>90.163934426229503</v>
      </c>
      <c r="AB249" s="10">
        <f>IF(A249&lt;&gt;"",RANK(AA249,All_Student_XC),"")</f>
        <v>335</v>
      </c>
      <c r="AC249" s="32" t="str">
        <f>IF(A249&lt;&gt;"",CHOOSE(10-MIN(9,TRUNC((AA249+0.5)/10)),"A","B","C","D","F","F","F","F","F","F"),"")</f>
        <v>A</v>
      </c>
      <c r="AD249" s="32" t="str">
        <f>IF(A249&lt;&gt;"",IF(OR(AA249+0.5&gt;=93,AA249+0.5&lt;60),"",IF(MOD(AA249+0.5,10)&gt;=7,"+",IF(MOD(AA249+0.5,10)&lt;3,"-",""))),"")</f>
        <v>-</v>
      </c>
      <c r="AE249" s="32">
        <f>IF(A249&lt;&gt;"",SUM(W249:X249,$W$8:$X$8)/SUM($W$2:$X$2)*100,"")</f>
        <v>80</v>
      </c>
      <c r="AF249" s="32" t="str">
        <f>IF(A249&lt;&gt;"",CHOOSE(10-MIN(9,TRUNC((AE249+0.5)/10)),"A","B","C","D","F","F","F","F","F","F"),"")</f>
        <v>B</v>
      </c>
      <c r="AG249" s="32" t="str">
        <f>IF(A249&lt;&gt;"",IF(OR(AE249+0.5&gt;=93,AE249+0.5&lt;60),"",IF(MOD(AE249+0.5,10)&gt;=7,"+",IF(MOD(AE249+0.5,10)&lt;3,"-",""))),"")</f>
        <v>-</v>
      </c>
      <c r="AH249" s="36">
        <f>IF(A249&lt;&gt;"",MIN(MAX(AA249,AE249),AA249+$AH$8,AE249+$AH$8),"")</f>
        <v>90.163934426229503</v>
      </c>
      <c r="AI249" s="32" t="str">
        <f>IF(A249&lt;&gt;"",CHOOSE(10-MIN(9,TRUNC((AH249+0.5)/10)),"A","B","C","D","F","F","F","F","F","F"),"")</f>
        <v>A</v>
      </c>
      <c r="AJ249" s="32" t="str">
        <f>IF(A249&lt;&gt;"",IF(OR(AH249+0.5&gt;=93,AH249+0.5&lt;60),"",IF(MOD(AH249+0.5,10)&gt;=7,"+",IF(MOD(AH249+0.5,10)&lt;3,"-",""))),"")</f>
        <v>-</v>
      </c>
      <c r="AK249" s="32" t="b">
        <f>IF(A249&lt;&gt;"",OR(AI249&lt;&gt;AC249,AJ249&lt;&gt;AD249),"")</f>
        <v>0</v>
      </c>
      <c r="AL249" s="84">
        <f>IF(AND(A249&lt;&gt;"",U249&lt;&gt;""),SUM(U249,$AL$8)/$AL$2*100,"")</f>
        <v>81.333333333333329</v>
      </c>
      <c r="AM249" s="24">
        <f>IF(AND(A249&lt;&gt;"",V249&lt;&gt;""),SUM(V249,$AM$8)/$AM$2*100,"")</f>
        <v>102.30769230769229</v>
      </c>
      <c r="AN249" s="24">
        <f>IF(AND(A249&lt;&gt;"",ISNUMBER(P249),P249&gt;=0),SUM(P249,$AN$8)/$AN$2*100,"")</f>
        <v>80</v>
      </c>
      <c r="AO249" s="24" t="str">
        <f>IF(AND(A249&lt;&gt;"",ISNUMBER(Q249),Q249&gt;=0),SUM(Q249,$AO$8)/$AO$2*100,"")</f>
        <v/>
      </c>
      <c r="AP249" s="24" t="str">
        <f>IF(AND(A249&lt;&gt;"",R249&lt;&gt;""),SUM(R249,$AP$8)/$AP$2*100,"")</f>
        <v/>
      </c>
      <c r="AQ249" s="24">
        <f>IF(AND(A249&lt;&gt;"",ISNUMBER(W249),W249&gt;=0),SUM(W249,$AQ$8)/$AQ$2*100,"")</f>
        <v>80</v>
      </c>
      <c r="AR249" s="24" t="str">
        <f>IF(AND(A249&lt;&gt;"",T249&gt;0,ISNUMBER(T249)),SUM(T249,$AR$8)/$AR$2*100,"")</f>
        <v/>
      </c>
      <c r="AS249" s="24" t="str">
        <f>IF(AND(A249&lt;&gt;"",X249&lt;&gt;""),SUM(X249,$AS$8)/$AS$2*100,"")</f>
        <v/>
      </c>
      <c r="AT249" s="89">
        <f>IF(AND(A249&lt;&gt;"",OR(ISNUMBER(W249),ISNUMBER(X249))),SUM(W249:X249,$AT$8)/$AT$2*100,"")</f>
        <v>80</v>
      </c>
      <c r="AU249" s="24">
        <f>AA249</f>
        <v>90.163934426229503</v>
      </c>
      <c r="AV249" s="24"/>
      <c r="AW249" s="27">
        <f>IF(A249&lt;&gt;"",AE249-AA249,"")</f>
        <v>-10.163934426229503</v>
      </c>
      <c r="AY249" s="27" t="b">
        <f>S249&gt;R249</f>
        <v>0</v>
      </c>
      <c r="BA249" s="27" t="e">
        <f>AND(AA249&gt;$BA$3,(W249+$W$8)/$W$2&lt;$BB$3,(X249+$X$8)/$X$2&lt;$BB$3)</f>
        <v>#VALUE!</v>
      </c>
      <c r="BB249" s="27" t="e">
        <f>AND(AA249&lt;$BA$3,AND(W249/$W$2&gt;$BB$3,X249/$X$2&gt;$BB$3))</f>
        <v>#VALUE!</v>
      </c>
      <c r="BC249" s="27" t="e">
        <f>AND(AA249&lt;$BA$3,OR(W249/$W$2&gt;$BB$3,X249/$X$2&gt;$BB$3))</f>
        <v>#VALUE!</v>
      </c>
      <c r="BE249" s="32" t="s">
        <v>85</v>
      </c>
    </row>
    <row r="250" spans="1:57" s="27" customFormat="1" ht="12.75" customHeight="1" x14ac:dyDescent="0.2">
      <c r="A250" s="10">
        <v>484739</v>
      </c>
      <c r="B250" s="2">
        <v>16</v>
      </c>
      <c r="C250" s="10">
        <v>21</v>
      </c>
      <c r="D250" s="10">
        <v>16</v>
      </c>
      <c r="E250" s="10"/>
      <c r="F250" s="10"/>
      <c r="G250" s="10"/>
      <c r="H250" s="10"/>
      <c r="I250" s="10"/>
      <c r="J250" s="2">
        <v>27</v>
      </c>
      <c r="K250" s="10">
        <v>46</v>
      </c>
      <c r="L250" s="10">
        <v>35</v>
      </c>
      <c r="M250" s="10"/>
      <c r="N250" s="93"/>
      <c r="O250" s="13"/>
      <c r="P250" s="10">
        <v>100</v>
      </c>
      <c r="Q250" s="10"/>
      <c r="R250" s="2"/>
      <c r="S250" s="10"/>
      <c r="T250" s="13"/>
      <c r="U250" s="1">
        <f t="array" ref="U250">IF(AND(A250&lt;&gt;"",OR(ISNUMBER(B250:I250))),SUM(B250:I250),"")</f>
        <v>53</v>
      </c>
      <c r="V250" s="10">
        <f t="array" ref="V250">IF(AND(A250&lt;&gt;"",OR(ISNUMBER(J250:O250))),SUM(J250:O250),"")</f>
        <v>108</v>
      </c>
      <c r="W250" s="10">
        <f t="array" ref="W250">IF(AND(A250&lt;&gt;"",OR(ISNUMBER(P250),ISNUMBER(Q250))),SUM(MAX(P250:Q250),Q250),"")</f>
        <v>100</v>
      </c>
      <c r="X250" s="10" t="str">
        <f t="array" ref="X250">IF(AND(A250&lt;&gt;"",OR(ISNUMBER(S250),ISNUMBER(T250))),SUM(S250,T250),"")</f>
        <v/>
      </c>
      <c r="Y250" s="13">
        <v>1</v>
      </c>
      <c r="Z250" s="13">
        <f>IF(A250&lt;&gt;"",SUM(U250:Y250),"")</f>
        <v>262</v>
      </c>
      <c r="AA250" s="27">
        <f>IF(A250&lt;&gt;"",(Z250+Normalize_To_Add)/(Point_Total_So_Far)*100,"")</f>
        <v>85.901639344262293</v>
      </c>
      <c r="AB250" s="10">
        <f>IF(A250&lt;&gt;"",RANK(AA250,All_Student_XC),"")</f>
        <v>370</v>
      </c>
      <c r="AC250" s="32" t="str">
        <f>IF(A250&lt;&gt;"",CHOOSE(10-MIN(9,TRUNC((AA250+0.5)/10)),"A","B","C","D","F","F","F","F","F","F"),"")</f>
        <v>B</v>
      </c>
      <c r="AD250" s="31" t="str">
        <f>IF(A250&lt;&gt;"",IF(OR(AA250+0.5&gt;=93,AA250+0.5&lt;60),"",IF(MOD(AA250+0.5,10)&gt;=7,"+",IF(MOD(AA250+0.5,10)&lt;3,"-",""))),"")</f>
        <v/>
      </c>
      <c r="AE250" s="32">
        <f>IF(A250&lt;&gt;"",SUM(W250:X250,$W$8:$X$8)/SUM($W$2:$X$2)*100,"")</f>
        <v>100</v>
      </c>
      <c r="AF250" s="32" t="str">
        <f>IF(A250&lt;&gt;"",CHOOSE(10-MIN(9,TRUNC((AE250+0.5)/10)),"A","B","C","D","F","F","F","F","F","F"),"")</f>
        <v>A</v>
      </c>
      <c r="AG250" s="32" t="str">
        <f>IF(A250&lt;&gt;"",IF(OR(AE250+0.5&gt;=93,AE250+0.5&lt;60),"",IF(MOD(AE250+0.5,10)&gt;=7,"+",IF(MOD(AE250+0.5,10)&lt;3,"-",""))),"")</f>
        <v/>
      </c>
      <c r="AH250" s="36">
        <f>IF(A250&lt;&gt;"",MIN(MAX(AA250,AE250),AA250+$AH$8,AE250+$AH$8),"")</f>
        <v>100</v>
      </c>
      <c r="AI250" s="32" t="str">
        <f>IF(A250&lt;&gt;"",CHOOSE(10-MIN(9,TRUNC((AH250+0.5)/10)),"A","B","C","D","F","F","F","F","F","F"),"")</f>
        <v>A</v>
      </c>
      <c r="AJ250" s="32" t="str">
        <f>IF(A250&lt;&gt;"",IF(OR(AH250+0.5&gt;=93,AH250+0.5&lt;60),"",IF(MOD(AH250+0.5,10)&gt;=7,"+",IF(MOD(AH250+0.5,10)&lt;3,"-",""))),"")</f>
        <v/>
      </c>
      <c r="AK250" s="71" t="b">
        <f>IF(A250&lt;&gt;"",OR(AI250&lt;&gt;AC250,AJ250&lt;&gt;AD250),"")</f>
        <v>1</v>
      </c>
      <c r="AL250" s="86">
        <f>IF(AND(A250&lt;&gt;"",U250&lt;&gt;""),SUM(U250,$AL$8)/$AL$2*100,"")</f>
        <v>70.666666666666671</v>
      </c>
      <c r="AM250" s="71">
        <f>IF(AND(A250&lt;&gt;"",V250&lt;&gt;""),SUM(V250,$AM$8)/$AM$2*100,"")</f>
        <v>83.07692307692308</v>
      </c>
      <c r="AN250" s="71">
        <f>IF(AND(A250&lt;&gt;"",ISNUMBER(P250),P250&gt;=0),SUM(P250,$AN$8)/$AN$2*100,"")</f>
        <v>100</v>
      </c>
      <c r="AO250" s="71" t="str">
        <f>IF(AND(A250&lt;&gt;"",ISNUMBER(Q250),Q250&gt;=0),SUM(Q250,$AO$8)/$AO$2*100,"")</f>
        <v/>
      </c>
      <c r="AP250" s="24" t="str">
        <f>IF(AND(A250&lt;&gt;"",R250&lt;&gt;""),SUM(R250,$AP$8)/$AP$2*100,"")</f>
        <v/>
      </c>
      <c r="AQ250" s="24">
        <f>IF(AND(A250&lt;&gt;"",ISNUMBER(W250),W250&gt;=0),SUM(W250,$AQ$8)/$AQ$2*100,"")</f>
        <v>100</v>
      </c>
      <c r="AR250" s="24" t="str">
        <f>IF(AND(A250&lt;&gt;"",T250&gt;0,ISNUMBER(T250)),SUM(T250,$AR$8)/$AR$2*100,"")</f>
        <v/>
      </c>
      <c r="AS250" s="24" t="str">
        <f>IF(AND(A250&lt;&gt;"",X250&lt;&gt;""),SUM(X250,$AS$8)/$AS$2*100,"")</f>
        <v/>
      </c>
      <c r="AT250" s="89">
        <f>IF(AND(A250&lt;&gt;"",OR(ISNUMBER(W250),ISNUMBER(X250))),SUM(W250:X250,$AT$8)/$AT$2*100,"")</f>
        <v>100</v>
      </c>
      <c r="AU250" s="24">
        <f>AA250</f>
        <v>85.901639344262293</v>
      </c>
      <c r="AV250" s="71"/>
      <c r="AW250" s="27">
        <f>IF(A250&lt;&gt;"",AE250-AA250,"")</f>
        <v>14.098360655737707</v>
      </c>
      <c r="AY250" s="27" t="b">
        <f>S250&gt;R250</f>
        <v>0</v>
      </c>
      <c r="BA250" s="27" t="e">
        <f>AND(AA250&gt;$BA$3,(W250+$W$8)/$W$2&lt;$BB$3,(X250+$X$8)/$X$2&lt;$BB$3)</f>
        <v>#VALUE!</v>
      </c>
      <c r="BB250" s="27" t="e">
        <f>AND(AA250&lt;$BA$3,AND(W250/$W$2&gt;$BB$3,X250/$X$2&gt;$BB$3))</f>
        <v>#VALUE!</v>
      </c>
      <c r="BC250" s="27" t="e">
        <f>AND(AA250&lt;$BA$3,OR(W250/$W$2&gt;$BB$3,X250/$X$2&gt;$BB$3))</f>
        <v>#VALUE!</v>
      </c>
      <c r="BE250" s="32">
        <v>32</v>
      </c>
    </row>
    <row r="251" spans="1:57" s="27" customFormat="1" ht="12.75" customHeight="1" x14ac:dyDescent="0.2">
      <c r="A251" s="10">
        <v>488620</v>
      </c>
      <c r="B251" s="2">
        <v>23</v>
      </c>
      <c r="C251" s="10">
        <v>23</v>
      </c>
      <c r="D251" s="10">
        <v>25</v>
      </c>
      <c r="E251" s="10"/>
      <c r="F251" s="10"/>
      <c r="G251" s="10"/>
      <c r="H251" s="10"/>
      <c r="I251" s="10"/>
      <c r="J251" s="2">
        <v>28</v>
      </c>
      <c r="K251" s="10">
        <v>50</v>
      </c>
      <c r="L251" s="10">
        <v>49</v>
      </c>
      <c r="M251" s="10"/>
      <c r="N251" s="93"/>
      <c r="O251" s="13"/>
      <c r="P251" s="10">
        <v>101</v>
      </c>
      <c r="Q251" s="10"/>
      <c r="R251" s="2"/>
      <c r="S251" s="10"/>
      <c r="T251" s="13"/>
      <c r="U251" s="1">
        <f t="array" ref="U251">IF(AND(A251&lt;&gt;"",OR(ISNUMBER(B251:I251))),SUM(B251:I251),"")</f>
        <v>71</v>
      </c>
      <c r="V251" s="10">
        <f t="array" ref="V251">IF(AND(A251&lt;&gt;"",OR(ISNUMBER(J251:O251))),SUM(J251:O251),"")</f>
        <v>127</v>
      </c>
      <c r="W251" s="10">
        <f t="array" ref="W251">IF(AND(A251&lt;&gt;"",OR(ISNUMBER(P251),ISNUMBER(Q251))),SUM(MAX(P251:Q251),Q251),"")</f>
        <v>101</v>
      </c>
      <c r="X251" s="10" t="str">
        <f t="array" ref="X251">IF(AND(A251&lt;&gt;"",OR(ISNUMBER(S251),ISNUMBER(T251))),SUM(S251,T251),"")</f>
        <v/>
      </c>
      <c r="Y251" s="13">
        <v>1</v>
      </c>
      <c r="Z251" s="13">
        <f>IF(A251&lt;&gt;"",SUM(U251:Y251),"")</f>
        <v>300</v>
      </c>
      <c r="AA251" s="27">
        <f>IF(A251&lt;&gt;"",(Z251+Normalize_To_Add)/(Point_Total_So_Far)*100,"")</f>
        <v>98.360655737704917</v>
      </c>
      <c r="AB251" s="10">
        <f>IF(A251&lt;&gt;"",RANK(AA251,All_Student_XC),"")</f>
        <v>186</v>
      </c>
      <c r="AC251" s="32" t="str">
        <f>IF(A251&lt;&gt;"",CHOOSE(10-MIN(9,TRUNC((AA251+0.5)/10)),"A","B","C","D","F","F","F","F","F","F"),"")</f>
        <v>A</v>
      </c>
      <c r="AD251" s="31" t="str">
        <f>IF(A251&lt;&gt;"",IF(OR(AA251+0.5&gt;=93,AA251+0.5&lt;60),"",IF(MOD(AA251+0.5,10)&gt;=7,"+",IF(MOD(AA251+0.5,10)&lt;3,"-",""))),"")</f>
        <v/>
      </c>
      <c r="AE251" s="32">
        <f>IF(A251&lt;&gt;"",SUM(W251:X251,$W$8:$X$8)/SUM($W$2:$X$2)*100,"")</f>
        <v>101</v>
      </c>
      <c r="AF251" s="32" t="str">
        <f>IF(A251&lt;&gt;"",CHOOSE(10-MIN(9,TRUNC((AE251+0.5)/10)),"A","B","C","D","F","F","F","F","F","F"),"")</f>
        <v>A</v>
      </c>
      <c r="AG251" s="32" t="str">
        <f>IF(A251&lt;&gt;"",IF(OR(AE251+0.5&gt;=93,AE251+0.5&lt;60),"",IF(MOD(AE251+0.5,10)&gt;=7,"+",IF(MOD(AE251+0.5,10)&lt;3,"-",""))),"")</f>
        <v/>
      </c>
      <c r="AH251" s="36">
        <f>IF(A251&lt;&gt;"",MIN(MAX(AA251,AE251),AA251+$AH$8,AE251+$AH$8),"")</f>
        <v>101</v>
      </c>
      <c r="AI251" s="32" t="str">
        <f>IF(A251&lt;&gt;"",CHOOSE(10-MIN(9,TRUNC((AH251+0.5)/10)),"A","B","C","D","F","F","F","F","F","F"),"")</f>
        <v>A</v>
      </c>
      <c r="AJ251" s="32" t="str">
        <f>IF(A251&lt;&gt;"",IF(OR(AH251+0.5&gt;=93,AH251+0.5&lt;60),"",IF(MOD(AH251+0.5,10)&gt;=7,"+",IF(MOD(AH251+0.5,10)&lt;3,"-",""))),"")</f>
        <v/>
      </c>
      <c r="AK251" s="71" t="b">
        <f>IF(A251&lt;&gt;"",OR(AI251&lt;&gt;AC251,AJ251&lt;&gt;AD251),"")</f>
        <v>0</v>
      </c>
      <c r="AL251" s="86">
        <f>IF(AND(A251&lt;&gt;"",U251&lt;&gt;""),SUM(U251,$AL$8)/$AL$2*100,"")</f>
        <v>94.666666666666671</v>
      </c>
      <c r="AM251" s="71">
        <f>IF(AND(A251&lt;&gt;"",V251&lt;&gt;""),SUM(V251,$AM$8)/$AM$2*100,"")</f>
        <v>97.692307692307693</v>
      </c>
      <c r="AN251" s="71">
        <f>IF(AND(A251&lt;&gt;"",ISNUMBER(P251),P251&gt;=0),SUM(P251,$AN$8)/$AN$2*100,"")</f>
        <v>101</v>
      </c>
      <c r="AO251" s="71" t="str">
        <f>IF(AND(A251&lt;&gt;"",ISNUMBER(Q251),Q251&gt;=0),SUM(Q251,$AO$8)/$AO$2*100,"")</f>
        <v/>
      </c>
      <c r="AP251" s="24" t="str">
        <f>IF(AND(A251&lt;&gt;"",R251&lt;&gt;""),SUM(R251,$AP$8)/$AP$2*100,"")</f>
        <v/>
      </c>
      <c r="AQ251" s="24">
        <f>IF(AND(A251&lt;&gt;"",ISNUMBER(W251),W251&gt;=0),SUM(W251,$AQ$8)/$AQ$2*100,"")</f>
        <v>101</v>
      </c>
      <c r="AR251" s="24" t="str">
        <f>IF(AND(A251&lt;&gt;"",T251&gt;0,ISNUMBER(T251)),SUM(T251,$AR$8)/$AR$2*100,"")</f>
        <v/>
      </c>
      <c r="AS251" s="24" t="str">
        <f>IF(AND(A251&lt;&gt;"",X251&lt;&gt;""),SUM(X251,$AS$8)/$AS$2*100,"")</f>
        <v/>
      </c>
      <c r="AT251" s="89">
        <f>IF(AND(A251&lt;&gt;"",OR(ISNUMBER(W251),ISNUMBER(X251))),SUM(W251:X251,$AT$8)/$AT$2*100,"")</f>
        <v>101</v>
      </c>
      <c r="AU251" s="24">
        <f>AA251</f>
        <v>98.360655737704917</v>
      </c>
      <c r="AV251" s="71"/>
      <c r="AW251" s="27">
        <f>IF(A251&lt;&gt;"",AE251-AA251,"")</f>
        <v>2.6393442622950829</v>
      </c>
      <c r="AY251" s="27" t="b">
        <f>S251&gt;R251</f>
        <v>0</v>
      </c>
      <c r="BA251" s="27" t="e">
        <f>AND(AA251&gt;$BA$3,(W251+$W$8)/$W$2&lt;$BB$3,(X251+$X$8)/$X$2&lt;$BB$3)</f>
        <v>#VALUE!</v>
      </c>
      <c r="BB251" s="27" t="e">
        <f>AND(AA251&lt;$BA$3,AND(W251/$W$2&gt;$BB$3,X251/$X$2&gt;$BB$3))</f>
        <v>#VALUE!</v>
      </c>
      <c r="BC251" s="27" t="e">
        <f>AND(AA251&lt;$BA$3,OR(W251/$W$2&gt;$BB$3,X251/$X$2&gt;$BB$3))</f>
        <v>#VALUE!</v>
      </c>
      <c r="BE251" s="32">
        <v>32</v>
      </c>
    </row>
    <row r="252" spans="1:57" s="27" customFormat="1" ht="12.75" customHeight="1" x14ac:dyDescent="0.2">
      <c r="A252" s="10">
        <v>490301</v>
      </c>
      <c r="B252" s="2">
        <v>24</v>
      </c>
      <c r="C252" s="10">
        <v>25</v>
      </c>
      <c r="D252" s="10">
        <v>25</v>
      </c>
      <c r="E252" s="10"/>
      <c r="F252" s="10"/>
      <c r="G252" s="3"/>
      <c r="H252" s="10"/>
      <c r="I252" s="10"/>
      <c r="J252" s="2">
        <v>30</v>
      </c>
      <c r="K252" s="10">
        <v>52</v>
      </c>
      <c r="L252" s="10">
        <v>51</v>
      </c>
      <c r="M252" s="10"/>
      <c r="N252" s="10"/>
      <c r="O252" s="12"/>
      <c r="P252" s="41">
        <v>80</v>
      </c>
      <c r="Q252" s="41"/>
      <c r="R252" s="2"/>
      <c r="S252" s="10"/>
      <c r="T252" s="13"/>
      <c r="U252" s="1">
        <f t="array" ref="U252">IF(AND(A252&lt;&gt;"",OR(ISNUMBER(B252:I252))),SUM(B252:I252),"")</f>
        <v>74</v>
      </c>
      <c r="V252" s="10">
        <f t="array" ref="V252">IF(AND(A252&lt;&gt;"",OR(ISNUMBER(J252:O252))),SUM(J252:O252),"")</f>
        <v>133</v>
      </c>
      <c r="W252" s="10">
        <f t="array" ref="W252">IF(AND(A252&lt;&gt;"",OR(ISNUMBER(P252),ISNUMBER(Q252))),SUM(MAX(P252:Q252),Q252),"")</f>
        <v>80</v>
      </c>
      <c r="X252" s="10" t="str">
        <f t="array" ref="X252">IF(AND(A252&lt;&gt;"",OR(ISNUMBER(S252),ISNUMBER(T252))),SUM(S252,T252),"")</f>
        <v/>
      </c>
      <c r="Y252" s="13">
        <v>1</v>
      </c>
      <c r="Z252" s="13">
        <f>IF(A252&lt;&gt;"",SUM(U252:Y252),"")</f>
        <v>288</v>
      </c>
      <c r="AA252" s="27">
        <f>IF(A252&lt;&gt;"",(Z252+Normalize_To_Add)/(Point_Total_So_Far)*100,"")</f>
        <v>94.426229508196727</v>
      </c>
      <c r="AB252" s="10">
        <f>IF(A252&lt;&gt;"",RANK(AA252,All_Student_XC),"")</f>
        <v>279</v>
      </c>
      <c r="AC252" s="32" t="str">
        <f>IF(A252&lt;&gt;"",CHOOSE(10-MIN(9,TRUNC((AA252+0.5)/10)),"A","B","C","D","F","F","F","F","F","F"),"")</f>
        <v>A</v>
      </c>
      <c r="AD252" s="32" t="str">
        <f>IF(A252&lt;&gt;"",IF(OR(AA252+0.5&gt;=93,AA252+0.5&lt;60),"",IF(MOD(AA252+0.5,10)&gt;=7,"+",IF(MOD(AA252+0.5,10)&lt;3,"-",""))),"")</f>
        <v/>
      </c>
      <c r="AE252" s="32">
        <f>IF(A252&lt;&gt;"",SUM(W252:X252,$W$8:$X$8)/SUM($W$2:$X$2)*100,"")</f>
        <v>80</v>
      </c>
      <c r="AF252" s="32" t="str">
        <f>IF(A252&lt;&gt;"",CHOOSE(10-MIN(9,TRUNC((AE252+0.5)/10)),"A","B","C","D","F","F","F","F","F","F"),"")</f>
        <v>B</v>
      </c>
      <c r="AG252" s="32" t="str">
        <f>IF(A252&lt;&gt;"",IF(OR(AE252+0.5&gt;=93,AE252+0.5&lt;60),"",IF(MOD(AE252+0.5,10)&gt;=7,"+",IF(MOD(AE252+0.5,10)&lt;3,"-",""))),"")</f>
        <v>-</v>
      </c>
      <c r="AH252" s="36">
        <f>IF(A252&lt;&gt;"",MIN(MAX(AA252,AE252),AA252+$AH$8,AE252+$AH$8),"")</f>
        <v>94.426229508196727</v>
      </c>
      <c r="AI252" s="32" t="str">
        <f>IF(A252&lt;&gt;"",CHOOSE(10-MIN(9,TRUNC((AH252+0.5)/10)),"A","B","C","D","F","F","F","F","F","F"),"")</f>
        <v>A</v>
      </c>
      <c r="AJ252" s="32" t="str">
        <f>IF(A252&lt;&gt;"",IF(OR(AH252+0.5&gt;=93,AH252+0.5&lt;60),"",IF(MOD(AH252+0.5,10)&gt;=7,"+",IF(MOD(AH252+0.5,10)&lt;3,"-",""))),"")</f>
        <v/>
      </c>
      <c r="AK252" s="32" t="b">
        <f>IF(A252&lt;&gt;"",OR(AI252&lt;&gt;AC252,AJ252&lt;&gt;AD252),"")</f>
        <v>0</v>
      </c>
      <c r="AL252" s="84">
        <f>IF(AND(A252&lt;&gt;"",U252&lt;&gt;""),SUM(U252,$AL$8)/$AL$2*100,"")</f>
        <v>98.666666666666671</v>
      </c>
      <c r="AM252" s="24">
        <f>IF(AND(A252&lt;&gt;"",V252&lt;&gt;""),SUM(V252,$AM$8)/$AM$2*100,"")</f>
        <v>102.30769230769229</v>
      </c>
      <c r="AN252" s="24">
        <f>IF(AND(A252&lt;&gt;"",ISNUMBER(P252),P252&gt;=0),SUM(P252,$AN$8)/$AN$2*100,"")</f>
        <v>80</v>
      </c>
      <c r="AO252" s="24" t="str">
        <f>IF(AND(A252&lt;&gt;"",ISNUMBER(Q252),Q252&gt;=0),SUM(Q252,$AO$8)/$AO$2*100,"")</f>
        <v/>
      </c>
      <c r="AP252" s="24" t="str">
        <f>IF(AND(A252&lt;&gt;"",R252&lt;&gt;""),SUM(R252,$AP$8)/$AP$2*100,"")</f>
        <v/>
      </c>
      <c r="AQ252" s="24">
        <f>IF(AND(A252&lt;&gt;"",ISNUMBER(W252),W252&gt;=0),SUM(W252,$AQ$8)/$AQ$2*100,"")</f>
        <v>80</v>
      </c>
      <c r="AR252" s="24" t="str">
        <f>IF(AND(A252&lt;&gt;"",T252&gt;0,ISNUMBER(T252)),SUM(T252,$AR$8)/$AR$2*100,"")</f>
        <v/>
      </c>
      <c r="AS252" s="24" t="str">
        <f>IF(AND(A252&lt;&gt;"",X252&lt;&gt;""),SUM(X252,$AS$8)/$AS$2*100,"")</f>
        <v/>
      </c>
      <c r="AT252" s="89">
        <f>IF(AND(A252&lt;&gt;"",OR(ISNUMBER(W252),ISNUMBER(X252))),SUM(W252:X252,$AT$8)/$AT$2*100,"")</f>
        <v>80</v>
      </c>
      <c r="AU252" s="24">
        <f>AA252</f>
        <v>94.426229508196727</v>
      </c>
      <c r="AV252" s="24"/>
      <c r="AW252" s="27">
        <f>IF(A252&lt;&gt;"",AE252-AA252,"")</f>
        <v>-14.426229508196727</v>
      </c>
      <c r="AY252" s="27" t="b">
        <f>S252&gt;R252</f>
        <v>0</v>
      </c>
      <c r="BA252" s="27" t="e">
        <f>AND(AA252&gt;$BA$3,(W252+$W$8)/$W$2&lt;$BB$3,(X252+$X$8)/$X$2&lt;$BB$3)</f>
        <v>#VALUE!</v>
      </c>
      <c r="BB252" s="27" t="e">
        <f>AND(AA252&lt;$BA$3,AND(W252/$W$2&gt;$BB$3,X252/$X$2&gt;$BB$3))</f>
        <v>#VALUE!</v>
      </c>
      <c r="BC252" s="27" t="e">
        <f>AND(AA252&lt;$BA$3,OR(W252/$W$2&gt;$BB$3,X252/$X$2&gt;$BB$3))</f>
        <v>#VALUE!</v>
      </c>
      <c r="BE252" s="32" t="s">
        <v>85</v>
      </c>
    </row>
    <row r="253" spans="1:57" s="27" customFormat="1" ht="12.75" customHeight="1" x14ac:dyDescent="0.2">
      <c r="A253" s="10">
        <v>497587</v>
      </c>
      <c r="B253" s="2">
        <v>23</v>
      </c>
      <c r="C253" s="10">
        <v>24</v>
      </c>
      <c r="D253" s="10">
        <v>25</v>
      </c>
      <c r="E253" s="10"/>
      <c r="F253" s="10"/>
      <c r="G253" s="10"/>
      <c r="H253" s="10"/>
      <c r="I253" s="10"/>
      <c r="J253" s="2">
        <v>30</v>
      </c>
      <c r="K253" s="10">
        <v>51</v>
      </c>
      <c r="L253" s="10">
        <v>51</v>
      </c>
      <c r="M253" s="10"/>
      <c r="N253" s="93"/>
      <c r="O253" s="13"/>
      <c r="P253" s="10">
        <v>101</v>
      </c>
      <c r="Q253" s="10"/>
      <c r="R253" s="2"/>
      <c r="S253" s="10"/>
      <c r="T253" s="13"/>
      <c r="U253" s="1">
        <f t="array" ref="U253">IF(AND(A253&lt;&gt;"",OR(ISNUMBER(B253:I253))),SUM(B253:I253),"")</f>
        <v>72</v>
      </c>
      <c r="V253" s="10">
        <f t="array" ref="V253">IF(AND(A253&lt;&gt;"",OR(ISNUMBER(J253:O253))),SUM(J253:O253),"")</f>
        <v>132</v>
      </c>
      <c r="W253" s="10">
        <f t="array" ref="W253">IF(AND(A253&lt;&gt;"",OR(ISNUMBER(P253),ISNUMBER(Q253))),SUM(MAX(P253:Q253),Q253),"")</f>
        <v>101</v>
      </c>
      <c r="X253" s="10" t="str">
        <f t="array" ref="X253">IF(AND(A253&lt;&gt;"",OR(ISNUMBER(S253),ISNUMBER(T253))),SUM(S253,T253),"")</f>
        <v/>
      </c>
      <c r="Y253" s="13">
        <v>1</v>
      </c>
      <c r="Z253" s="13">
        <f>IF(A253&lt;&gt;"",SUM(U253:Y253),"")</f>
        <v>306</v>
      </c>
      <c r="AA253" s="27">
        <f>IF(A253&lt;&gt;"",(Z253+Normalize_To_Add)/(Point_Total_So_Far)*100,"")</f>
        <v>100.32786885245901</v>
      </c>
      <c r="AB253" s="10">
        <f>IF(A253&lt;&gt;"",RANK(AA253,All_Student_XC),"")</f>
        <v>99</v>
      </c>
      <c r="AC253" s="32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/>
      </c>
      <c r="AE253" s="32">
        <f>IF(A253&lt;&gt;"",SUM(W253:X253,$W$8:$X$8)/SUM($W$2:$X$2)*100,"")</f>
        <v>101</v>
      </c>
      <c r="AF253" s="32" t="str">
        <f>IF(A253&lt;&gt;"",CHOOSE(10-MIN(9,TRUNC((AE253+0.5)/10)),"A","B","C","D","F","F","F","F","F","F"),"")</f>
        <v>A</v>
      </c>
      <c r="AG253" s="32" t="str">
        <f>IF(A253&lt;&gt;"",IF(OR(AE253+0.5&gt;=93,AE253+0.5&lt;60),"",IF(MOD(AE253+0.5,10)&gt;=7,"+",IF(MOD(AE253+0.5,10)&lt;3,"-",""))),"")</f>
        <v/>
      </c>
      <c r="AH253" s="36">
        <f>IF(A253&lt;&gt;"",MIN(MAX(AA253,AE253),AA253+$AH$8,AE253+$AH$8),"")</f>
        <v>101</v>
      </c>
      <c r="AI253" s="32" t="str">
        <f>IF(A253&lt;&gt;"",CHOOSE(10-MIN(9,TRUNC((AH253+0.5)/10)),"A","B","C","D","F","F","F","F","F","F"),"")</f>
        <v>A</v>
      </c>
      <c r="AJ253" s="32" t="str">
        <f>IF(A253&lt;&gt;"",IF(OR(AH253+0.5&gt;=93,AH253+0.5&lt;60),"",IF(MOD(AH253+0.5,10)&gt;=7,"+",IF(MOD(AH253+0.5,10)&lt;3,"-",""))),"")</f>
        <v/>
      </c>
      <c r="AK253" s="71" t="b">
        <f>IF(A253&lt;&gt;"",OR(AI253&lt;&gt;AC253,AJ253&lt;&gt;AD253),"")</f>
        <v>0</v>
      </c>
      <c r="AL253" s="86">
        <f>IF(AND(A253&lt;&gt;"",U253&lt;&gt;""),SUM(U253,$AL$8)/$AL$2*100,"")</f>
        <v>96</v>
      </c>
      <c r="AM253" s="71">
        <f>IF(AND(A253&lt;&gt;"",V253&lt;&gt;""),SUM(V253,$AM$8)/$AM$2*100,"")</f>
        <v>101.53846153846153</v>
      </c>
      <c r="AN253" s="71">
        <f>IF(AND(A253&lt;&gt;"",ISNUMBER(P253),P253&gt;=0),SUM(P253,$AN$8)/$AN$2*100,"")</f>
        <v>101</v>
      </c>
      <c r="AO253" s="71" t="str">
        <f>IF(AND(A253&lt;&gt;"",ISNUMBER(Q253),Q253&gt;=0),SUM(Q253,$AO$8)/$AO$2*100,"")</f>
        <v/>
      </c>
      <c r="AP253" s="24" t="str">
        <f>IF(AND(A253&lt;&gt;"",R253&lt;&gt;""),SUM(R253,$AP$8)/$AP$2*100,"")</f>
        <v/>
      </c>
      <c r="AQ253" s="24">
        <f>IF(AND(A253&lt;&gt;"",ISNUMBER(W253),W253&gt;=0),SUM(W253,$AQ$8)/$AQ$2*100,"")</f>
        <v>101</v>
      </c>
      <c r="AR253" s="24" t="str">
        <f>IF(AND(A253&lt;&gt;"",T253&gt;0,ISNUMBER(T253)),SUM(T253,$AR$8)/$AR$2*100,"")</f>
        <v/>
      </c>
      <c r="AS253" s="24" t="str">
        <f>IF(AND(A253&lt;&gt;"",X253&lt;&gt;""),SUM(X253,$AS$8)/$AS$2*100,"")</f>
        <v/>
      </c>
      <c r="AT253" s="89">
        <f>IF(AND(A253&lt;&gt;"",OR(ISNUMBER(W253),ISNUMBER(X253))),SUM(W253:X253,$AT$8)/$AT$2*100,"")</f>
        <v>101</v>
      </c>
      <c r="AU253" s="24">
        <f>AA253</f>
        <v>100.32786885245901</v>
      </c>
      <c r="AV253" s="71"/>
      <c r="AW253" s="27">
        <f>IF(A253&lt;&gt;"",AE253-AA253,"")</f>
        <v>0.67213114754099479</v>
      </c>
      <c r="AY253" s="27" t="b">
        <f>S253&gt;R253</f>
        <v>0</v>
      </c>
      <c r="BA253" s="27" t="e">
        <f>AND(AA253&gt;$BA$3,(W253+$W$8)/$W$2&lt;$BB$3,(X253+$X$8)/$X$2&lt;$BB$3)</f>
        <v>#VALUE!</v>
      </c>
      <c r="BB253" s="27" t="e">
        <f>AND(AA253&lt;$BA$3,AND(W253/$W$2&gt;$BB$3,X253/$X$2&gt;$BB$3))</f>
        <v>#VALUE!</v>
      </c>
      <c r="BC253" s="27" t="e">
        <f>AND(AA253&lt;$BA$3,OR(W253/$W$2&gt;$BB$3,X253/$X$2&gt;$BB$3))</f>
        <v>#VALUE!</v>
      </c>
      <c r="BE253" s="32" t="s">
        <v>84</v>
      </c>
    </row>
    <row r="254" spans="1:57" s="27" customFormat="1" ht="12.75" customHeight="1" x14ac:dyDescent="0.2">
      <c r="A254" s="10">
        <v>497982</v>
      </c>
      <c r="B254" s="2">
        <v>24</v>
      </c>
      <c r="C254" s="10">
        <v>23</v>
      </c>
      <c r="D254" s="10">
        <v>25</v>
      </c>
      <c r="E254" s="10"/>
      <c r="F254" s="10"/>
      <c r="G254" s="3"/>
      <c r="H254" s="10"/>
      <c r="I254" s="10"/>
      <c r="J254" s="2">
        <v>30</v>
      </c>
      <c r="K254" s="10">
        <v>52</v>
      </c>
      <c r="L254" s="10">
        <v>52</v>
      </c>
      <c r="M254" s="10"/>
      <c r="N254" s="10"/>
      <c r="O254" s="12"/>
      <c r="P254" s="41">
        <v>101</v>
      </c>
      <c r="Q254" s="41"/>
      <c r="R254" s="2"/>
      <c r="S254" s="10"/>
      <c r="T254" s="13"/>
      <c r="U254" s="1">
        <f t="array" ref="U254">IF(AND(A254&lt;&gt;"",OR(ISNUMBER(B254:I254))),SUM(B254:I254),"")</f>
        <v>72</v>
      </c>
      <c r="V254" s="10">
        <f t="array" ref="V254">IF(AND(A254&lt;&gt;"",OR(ISNUMBER(J254:O254))),SUM(J254:O254),"")</f>
        <v>134</v>
      </c>
      <c r="W254" s="10">
        <f t="array" ref="W254">IF(AND(A254&lt;&gt;"",OR(ISNUMBER(P254),ISNUMBER(Q254))),SUM(MAX(P254:Q254),Q254),"")</f>
        <v>101</v>
      </c>
      <c r="X254" s="10" t="str">
        <f t="array" ref="X254">IF(AND(A254&lt;&gt;"",OR(ISNUMBER(S254),ISNUMBER(T254))),SUM(S254,T254),"")</f>
        <v/>
      </c>
      <c r="Y254" s="13">
        <v>1</v>
      </c>
      <c r="Z254" s="13">
        <f>IF(A254&lt;&gt;"",SUM(U254:Y254),"")</f>
        <v>308</v>
      </c>
      <c r="AA254" s="27">
        <f>IF(A254&lt;&gt;"",(Z254+Normalize_To_Add)/(Point_Total_So_Far)*100,"")</f>
        <v>100.98360655737706</v>
      </c>
      <c r="AB254" s="10">
        <f>IF(A254&lt;&gt;"",RANK(AA254,All_Student_XC),"")</f>
        <v>57</v>
      </c>
      <c r="AC254" s="32" t="str">
        <f>IF(A254&lt;&gt;"",CHOOSE(10-MIN(9,TRUNC((AA254+0.5)/10)),"A","B","C","D","F","F","F","F","F","F"),"")</f>
        <v>A</v>
      </c>
      <c r="AD254" s="32" t="str">
        <f>IF(A254&lt;&gt;"",IF(OR(AA254+0.5&gt;=93,AA254+0.5&lt;60),"",IF(MOD(AA254+0.5,10)&gt;=7,"+",IF(MOD(AA254+0.5,10)&lt;3,"-",""))),"")</f>
        <v/>
      </c>
      <c r="AE254" s="32">
        <f>IF(A254&lt;&gt;"",SUM(W254:X254,$W$8:$X$8)/SUM($W$2:$X$2)*100,"")</f>
        <v>101</v>
      </c>
      <c r="AF254" s="32" t="str">
        <f>IF(A254&lt;&gt;"",CHOOSE(10-MIN(9,TRUNC((AE254+0.5)/10)),"A","B","C","D","F","F","F","F","F","F"),"")</f>
        <v>A</v>
      </c>
      <c r="AG254" s="32" t="str">
        <f>IF(A254&lt;&gt;"",IF(OR(AE254+0.5&gt;=93,AE254+0.5&lt;60),"",IF(MOD(AE254+0.5,10)&gt;=7,"+",IF(MOD(AE254+0.5,10)&lt;3,"-",""))),"")</f>
        <v/>
      </c>
      <c r="AH254" s="36">
        <f>IF(A254&lt;&gt;"",MIN(MAX(AA254,AE254),AA254+$AH$8,AE254+$AH$8),"")</f>
        <v>101</v>
      </c>
      <c r="AI254" s="32" t="str">
        <f>IF(A254&lt;&gt;"",CHOOSE(10-MIN(9,TRUNC((AH254+0.5)/10)),"A","B","C","D","F","F","F","F","F","F"),"")</f>
        <v>A</v>
      </c>
      <c r="AJ254" s="32" t="str">
        <f>IF(A254&lt;&gt;"",IF(OR(AH254+0.5&gt;=93,AH254+0.5&lt;60),"",IF(MOD(AH254+0.5,10)&gt;=7,"+",IF(MOD(AH254+0.5,10)&lt;3,"-",""))),"")</f>
        <v/>
      </c>
      <c r="AK254" s="32" t="b">
        <f>IF(A254&lt;&gt;"",OR(AI254&lt;&gt;AC254,AJ254&lt;&gt;AD254),"")</f>
        <v>0</v>
      </c>
      <c r="AL254" s="84">
        <f>IF(AND(A254&lt;&gt;"",U254&lt;&gt;""),SUM(U254,$AL$8)/$AL$2*100,"")</f>
        <v>96</v>
      </c>
      <c r="AM254" s="24">
        <f>IF(AND(A254&lt;&gt;"",V254&lt;&gt;""),SUM(V254,$AM$8)/$AM$2*100,"")</f>
        <v>103.07692307692307</v>
      </c>
      <c r="AN254" s="24">
        <f>IF(AND(A254&lt;&gt;"",ISNUMBER(P254),P254&gt;=0),SUM(P254,$AN$8)/$AN$2*100,"")</f>
        <v>101</v>
      </c>
      <c r="AO254" s="24" t="str">
        <f>IF(AND(A254&lt;&gt;"",ISNUMBER(Q254),Q254&gt;=0),SUM(Q254,$AO$8)/$AO$2*100,"")</f>
        <v/>
      </c>
      <c r="AP254" s="24" t="str">
        <f>IF(AND(A254&lt;&gt;"",R254&lt;&gt;""),SUM(R254,$AP$8)/$AP$2*100,"")</f>
        <v/>
      </c>
      <c r="AQ254" s="24">
        <f>IF(AND(A254&lt;&gt;"",ISNUMBER(W254),W254&gt;=0),SUM(W254,$AQ$8)/$AQ$2*100,"")</f>
        <v>101</v>
      </c>
      <c r="AR254" s="24" t="str">
        <f>IF(AND(A254&lt;&gt;"",T254&gt;0,ISNUMBER(T254)),SUM(T254,$AR$8)/$AR$2*100,"")</f>
        <v/>
      </c>
      <c r="AS254" s="24" t="str">
        <f>IF(AND(A254&lt;&gt;"",X254&lt;&gt;""),SUM(X254,$AS$8)/$AS$2*100,"")</f>
        <v/>
      </c>
      <c r="AT254" s="89">
        <f>IF(AND(A254&lt;&gt;"",OR(ISNUMBER(W254),ISNUMBER(X254))),SUM(W254:X254,$AT$8)/$AT$2*100,"")</f>
        <v>101</v>
      </c>
      <c r="AU254" s="24">
        <f>AA254</f>
        <v>100.98360655737706</v>
      </c>
      <c r="AV254" s="24"/>
      <c r="AW254" s="27">
        <f>IF(A254&lt;&gt;"",AE254-AA254,"")</f>
        <v>1.6393442622941734E-2</v>
      </c>
      <c r="AY254" s="27" t="b">
        <f>S254&gt;R254</f>
        <v>0</v>
      </c>
      <c r="BA254" s="27" t="e">
        <f>AND(AA254&gt;$BA$3,(W254+$W$8)/$W$2&lt;$BB$3,(X254+$X$8)/$X$2&lt;$BB$3)</f>
        <v>#VALUE!</v>
      </c>
      <c r="BB254" s="27" t="e">
        <f>AND(AA254&lt;$BA$3,AND(W254/$W$2&gt;$BB$3,X254/$X$2&gt;$BB$3))</f>
        <v>#VALUE!</v>
      </c>
      <c r="BC254" s="27" t="e">
        <f>AND(AA254&lt;$BA$3,OR(W254/$W$2&gt;$BB$3,X254/$X$2&gt;$BB$3))</f>
        <v>#VALUE!</v>
      </c>
      <c r="BE254" s="32">
        <v>32</v>
      </c>
    </row>
    <row r="255" spans="1:57" s="27" customFormat="1" ht="12.75" customHeight="1" x14ac:dyDescent="0.2">
      <c r="A255" s="10">
        <v>498251</v>
      </c>
      <c r="B255" s="2">
        <v>8</v>
      </c>
      <c r="C255" s="10">
        <v>19</v>
      </c>
      <c r="D255" s="10">
        <v>21</v>
      </c>
      <c r="E255" s="10"/>
      <c r="F255" s="10"/>
      <c r="G255" s="10"/>
      <c r="H255" s="10"/>
      <c r="I255" s="10"/>
      <c r="J255" s="2">
        <v>26</v>
      </c>
      <c r="K255" s="10">
        <v>43</v>
      </c>
      <c r="L255" s="10">
        <v>49</v>
      </c>
      <c r="M255" s="10"/>
      <c r="N255" s="10"/>
      <c r="O255" s="12"/>
      <c r="P255" s="7">
        <v>100</v>
      </c>
      <c r="Q255" s="7"/>
      <c r="R255" s="2"/>
      <c r="S255" s="10"/>
      <c r="T255" s="13"/>
      <c r="U255" s="77">
        <f t="array" ref="U255">IF(AND(A255&lt;&gt;"",OR(ISNUMBER(B255:I255))),SUM(B255:I255),"")</f>
        <v>48</v>
      </c>
      <c r="V255" s="10">
        <f t="array" ref="V255">IF(AND(A255&lt;&gt;"",OR(ISNUMBER(J255:O255))),SUM(J255:O255),"")</f>
        <v>118</v>
      </c>
      <c r="W255" s="10">
        <f t="array" ref="W255">IF(AND(A255&lt;&gt;"",OR(ISNUMBER(P255),ISNUMBER(Q255))),SUM(MAX(P255:Q255),Q255),"")</f>
        <v>100</v>
      </c>
      <c r="X255" s="10" t="str">
        <f t="array" ref="X255">IF(AND(A255&lt;&gt;"",OR(ISNUMBER(S255),ISNUMBER(T255))),SUM(S255,T255),"")</f>
        <v/>
      </c>
      <c r="Y255" s="13">
        <v>1</v>
      </c>
      <c r="Z255" s="13">
        <f>IF(A255&lt;&gt;"",SUM(U255:Y255),"")</f>
        <v>267</v>
      </c>
      <c r="AA255" s="27">
        <f>IF(A255&lt;&gt;"",(Z255+Normalize_To_Add)/(Point_Total_So_Far)*100,"")</f>
        <v>87.540983606557376</v>
      </c>
      <c r="AB255" s="10">
        <f>IF(A255&lt;&gt;"",RANK(AA255,All_Student_XC),"")</f>
        <v>357</v>
      </c>
      <c r="AC255" s="32" t="str">
        <f>IF(A255&lt;&gt;"",CHOOSE(10-MIN(9,TRUNC((AA255+0.5)/10)),"A","B","C","D","F","F","F","F","F","F"),"")</f>
        <v>B</v>
      </c>
      <c r="AD255" s="32" t="str">
        <f>IF(A255&lt;&gt;"",IF(OR(AA255+0.5&gt;=93,AA255+0.5&lt;60),"",IF(MOD(AA255+0.5,10)&gt;=7,"+",IF(MOD(AA255+0.5,10)&lt;3,"-",""))),"")</f>
        <v>+</v>
      </c>
      <c r="AE255" s="32">
        <f>IF(A255&lt;&gt;"",SUM(W255:X255,$W$8:$X$8)/SUM($W$2:$X$2)*100,"")</f>
        <v>100</v>
      </c>
      <c r="AF255" s="32" t="str">
        <f>IF(A255&lt;&gt;"",CHOOSE(10-MIN(9,TRUNC((AE255+0.5)/10)),"A","B","C","D","F","F","F","F","F","F"),"")</f>
        <v>A</v>
      </c>
      <c r="AG255" s="32" t="str">
        <f>IF(A255&lt;&gt;"",IF(OR(AE255+0.5&gt;=93,AE255+0.5&lt;60),"",IF(MOD(AE255+0.5,10)&gt;=7,"+",IF(MOD(AE255+0.5,10)&lt;3,"-",""))),"")</f>
        <v/>
      </c>
      <c r="AH255" s="36">
        <f>IF(A255&lt;&gt;"",MIN(MAX(AA255,AE255),AA255+$AH$8,AE255+$AH$8),"")</f>
        <v>100</v>
      </c>
      <c r="AI255" s="32" t="str">
        <f>IF(A255&lt;&gt;"",CHOOSE(10-MIN(9,TRUNC((AH255+0.5)/10)),"A","B","C","D","F","F","F","F","F","F"),"")</f>
        <v>A</v>
      </c>
      <c r="AJ255" s="32" t="str">
        <f>IF(A255&lt;&gt;"",IF(OR(AH255+0.5&gt;=93,AH255+0.5&lt;60),"",IF(MOD(AH255+0.5,10)&gt;=7,"+",IF(MOD(AH255+0.5,10)&lt;3,"-",""))),"")</f>
        <v/>
      </c>
      <c r="AK255" s="32" t="b">
        <f>IF(A255&lt;&gt;"",OR(AI255&lt;&gt;AC255,AJ255&lt;&gt;AD255),"")</f>
        <v>1</v>
      </c>
      <c r="AL255" s="84">
        <f>IF(AND(A255&lt;&gt;"",U255&lt;&gt;""),SUM(U255,$AL$8)/$AL$2*100,"")</f>
        <v>64</v>
      </c>
      <c r="AM255" s="24">
        <f>IF(AND(A255&lt;&gt;"",V255&lt;&gt;""),SUM(V255,$AM$8)/$AM$2*100,"")</f>
        <v>90.769230769230774</v>
      </c>
      <c r="AN255" s="24">
        <f>IF(AND(A255&lt;&gt;"",ISNUMBER(P255),P255&gt;=0),SUM(P255,$AN$8)/$AN$2*100,"")</f>
        <v>100</v>
      </c>
      <c r="AO255" s="24" t="str">
        <f>IF(AND(A255&lt;&gt;"",ISNUMBER(Q255),Q255&gt;=0),SUM(Q255,$AO$8)/$AO$2*100,"")</f>
        <v/>
      </c>
      <c r="AP255" s="24" t="str">
        <f>IF(AND(A255&lt;&gt;"",R255&lt;&gt;""),SUM(R255,$AP$8)/$AP$2*100,"")</f>
        <v/>
      </c>
      <c r="AQ255" s="24">
        <f>IF(AND(A255&lt;&gt;"",ISNUMBER(W255),W255&gt;=0),SUM(W255,$AQ$8)/$AQ$2*100,"")</f>
        <v>100</v>
      </c>
      <c r="AR255" s="24" t="str">
        <f>IF(AND(A255&lt;&gt;"",T255&gt;0,ISNUMBER(T255)),SUM(T255,$AR$8)/$AR$2*100,"")</f>
        <v/>
      </c>
      <c r="AS255" s="24" t="str">
        <f>IF(AND(A255&lt;&gt;"",X255&lt;&gt;""),SUM(X255,$AS$8)/$AS$2*100,"")</f>
        <v/>
      </c>
      <c r="AT255" s="89">
        <f>IF(AND(A255&lt;&gt;"",OR(ISNUMBER(W255),ISNUMBER(X255))),SUM(W255:X255,$AT$8)/$AT$2*100,"")</f>
        <v>100</v>
      </c>
      <c r="AU255" s="24">
        <f>AA255</f>
        <v>87.540983606557376</v>
      </c>
      <c r="AV255" s="24"/>
      <c r="AW255" s="27">
        <f>IF(A255&lt;&gt;"",AE255-AA255,"")</f>
        <v>12.459016393442624</v>
      </c>
      <c r="AY255" s="27" t="b">
        <f>S255&gt;R255</f>
        <v>0</v>
      </c>
      <c r="BA255" s="27" t="e">
        <f>AND(AA255&gt;$BA$3,(W255+$W$8)/$W$2&lt;$BB$3,(X255+$X$8)/$X$2&lt;$BB$3)</f>
        <v>#VALUE!</v>
      </c>
      <c r="BB255" s="27" t="e">
        <f>AND(AA255&lt;$BA$3,AND(W255/$W$2&gt;$BB$3,X255/$X$2&gt;$BB$3))</f>
        <v>#VALUE!</v>
      </c>
      <c r="BC255" s="27" t="e">
        <f>AND(AA255&lt;$BA$3,OR(W255/$W$2&gt;$BB$3,X255/$X$2&gt;$BB$3))</f>
        <v>#VALUE!</v>
      </c>
      <c r="BE255" s="32" t="s">
        <v>84</v>
      </c>
    </row>
    <row r="256" spans="1:57" s="27" customFormat="1" ht="12.75" customHeight="1" x14ac:dyDescent="0.2">
      <c r="A256" s="10">
        <v>499197</v>
      </c>
      <c r="B256" s="2">
        <v>25</v>
      </c>
      <c r="C256" s="10">
        <v>23</v>
      </c>
      <c r="D256" s="10">
        <v>25</v>
      </c>
      <c r="E256" s="10"/>
      <c r="F256" s="10"/>
      <c r="G256" s="3"/>
      <c r="H256" s="10"/>
      <c r="I256" s="10"/>
      <c r="J256" s="2">
        <v>29</v>
      </c>
      <c r="K256" s="10">
        <v>52</v>
      </c>
      <c r="L256" s="10">
        <v>51</v>
      </c>
      <c r="M256" s="10"/>
      <c r="N256" s="93"/>
      <c r="O256" s="12"/>
      <c r="P256" s="10">
        <v>78</v>
      </c>
      <c r="Q256" s="41"/>
      <c r="R256" s="2"/>
      <c r="S256" s="10"/>
      <c r="T256" s="13"/>
      <c r="U256" s="1">
        <f t="array" ref="U256">IF(AND(A256&lt;&gt;"",OR(ISNUMBER(B256:I256))),SUM(B256:I256),"")</f>
        <v>73</v>
      </c>
      <c r="V256" s="10">
        <f t="array" ref="V256">IF(AND(A256&lt;&gt;"",OR(ISNUMBER(J256:O256))),SUM(J256:O256),"")</f>
        <v>132</v>
      </c>
      <c r="W256" s="10">
        <f t="array" ref="W256">IF(AND(A256&lt;&gt;"",OR(ISNUMBER(P256),ISNUMBER(Q256))),SUM(MAX(P256:Q256),Q256),"")</f>
        <v>78</v>
      </c>
      <c r="X256" s="10" t="str">
        <f t="array" ref="X256">IF(AND(A256&lt;&gt;"",OR(ISNUMBER(S256),ISNUMBER(T256))),SUM(S256,T256),"")</f>
        <v/>
      </c>
      <c r="Y256" s="13">
        <v>1</v>
      </c>
      <c r="Z256" s="13">
        <f>IF(A256&lt;&gt;"",SUM(U256:Y256),"")</f>
        <v>284</v>
      </c>
      <c r="AA256" s="27">
        <f>IF(A256&lt;&gt;"",(Z256+Normalize_To_Add)/(Point_Total_So_Far)*100,"")</f>
        <v>93.114754098360649</v>
      </c>
      <c r="AB256" s="10">
        <f>IF(A256&lt;&gt;"",RANK(AA256,All_Student_XC),"")</f>
        <v>297</v>
      </c>
      <c r="AC256" s="32" t="str">
        <f>IF(A256&lt;&gt;"",CHOOSE(10-MIN(9,TRUNC((AA256+0.5)/10)),"A","B","C","D","F","F","F","F","F","F"),"")</f>
        <v>A</v>
      </c>
      <c r="AD256" s="32" t="str">
        <f>IF(A256&lt;&gt;"",IF(OR(AA256+0.5&gt;=93,AA256+0.5&lt;60),"",IF(MOD(AA256+0.5,10)&gt;=7,"+",IF(MOD(AA256+0.5,10)&lt;3,"-",""))),"")</f>
        <v/>
      </c>
      <c r="AE256" s="32">
        <f>IF(A256&lt;&gt;"",SUM(W256:X256,$W$8:$X$8)/SUM($W$2:$X$2)*100,"")</f>
        <v>78</v>
      </c>
      <c r="AF256" s="32" t="str">
        <f>IF(A256&lt;&gt;"",CHOOSE(10-MIN(9,TRUNC((AE256+0.5)/10)),"A","B","C","D","F","F","F","F","F","F"),"")</f>
        <v>C</v>
      </c>
      <c r="AG256" s="32" t="str">
        <f>IF(A256&lt;&gt;"",IF(OR(AE256+0.5&gt;=93,AE256+0.5&lt;60),"",IF(MOD(AE256+0.5,10)&gt;=7,"+",IF(MOD(AE256+0.5,10)&lt;3,"-",""))),"")</f>
        <v>+</v>
      </c>
      <c r="AH256" s="36">
        <f>IF(A256&lt;&gt;"",MIN(MAX(AA256,AE256),AA256+$AH$8,AE256+$AH$8),"")</f>
        <v>93.114754098360649</v>
      </c>
      <c r="AI256" s="32" t="str">
        <f>IF(A256&lt;&gt;"",CHOOSE(10-MIN(9,TRUNC((AH256+0.5)/10)),"A","B","C","D","F","F","F","F","F","F"),"")</f>
        <v>A</v>
      </c>
      <c r="AJ256" s="32" t="str">
        <f>IF(A256&lt;&gt;"",IF(OR(AH256+0.5&gt;=93,AH256+0.5&lt;60),"",IF(MOD(AH256+0.5,10)&gt;=7,"+",IF(MOD(AH256+0.5,10)&lt;3,"-",""))),"")</f>
        <v/>
      </c>
      <c r="AK256" s="32" t="b">
        <f>IF(A256&lt;&gt;"",OR(AI256&lt;&gt;AC256,AJ256&lt;&gt;AD256),"")</f>
        <v>0</v>
      </c>
      <c r="AL256" s="84">
        <f>IF(AND(A256&lt;&gt;"",U256&lt;&gt;""),SUM(U256,$AL$8)/$AL$2*100,"")</f>
        <v>97.333333333333343</v>
      </c>
      <c r="AM256" s="24">
        <f>IF(AND(A256&lt;&gt;"",V256&lt;&gt;""),SUM(V256,$AM$8)/$AM$2*100,"")</f>
        <v>101.53846153846153</v>
      </c>
      <c r="AN256" s="24">
        <f>IF(AND(A256&lt;&gt;"",ISNUMBER(P256),P256&gt;=0),SUM(P256,$AN$8)/$AN$2*100,"")</f>
        <v>78</v>
      </c>
      <c r="AO256" s="24" t="str">
        <f>IF(AND(A256&lt;&gt;"",ISNUMBER(Q256),Q256&gt;=0),SUM(Q256,$AO$8)/$AO$2*100,"")</f>
        <v/>
      </c>
      <c r="AP256" s="24" t="str">
        <f>IF(AND(A256&lt;&gt;"",R256&lt;&gt;""),SUM(R256,$AP$8)/$AP$2*100,"")</f>
        <v/>
      </c>
      <c r="AQ256" s="24">
        <f>IF(AND(A256&lt;&gt;"",ISNUMBER(W256),W256&gt;=0),SUM(W256,$AQ$8)/$AQ$2*100,"")</f>
        <v>78</v>
      </c>
      <c r="AR256" s="24" t="str">
        <f>IF(AND(A256&lt;&gt;"",T256&gt;0,ISNUMBER(T256)),SUM(T256,$AR$8)/$AR$2*100,"")</f>
        <v/>
      </c>
      <c r="AS256" s="24" t="str">
        <f>IF(AND(A256&lt;&gt;"",X256&lt;&gt;""),SUM(X256,$AS$8)/$AS$2*100,"")</f>
        <v/>
      </c>
      <c r="AT256" s="89">
        <f>IF(AND(A256&lt;&gt;"",OR(ISNUMBER(W256),ISNUMBER(X256))),SUM(W256:X256,$AT$8)/$AT$2*100,"")</f>
        <v>78</v>
      </c>
      <c r="AU256" s="24">
        <f>AA256</f>
        <v>93.114754098360649</v>
      </c>
      <c r="AV256" s="24"/>
      <c r="AW256" s="27">
        <f>IF(A256&lt;&gt;"",AE256-AA256,"")</f>
        <v>-15.114754098360649</v>
      </c>
      <c r="AY256" s="27" t="b">
        <f>S256&gt;R256</f>
        <v>0</v>
      </c>
      <c r="BA256" s="27" t="e">
        <f>AND(AA256&gt;$BA$3,(W256+$W$8)/$W$2&lt;$BB$3,(X256+$X$8)/$X$2&lt;$BB$3)</f>
        <v>#VALUE!</v>
      </c>
      <c r="BB256" s="27" t="e">
        <f>AND(AA256&lt;$BA$3,AND(W256/$W$2&gt;$BB$3,X256/$X$2&gt;$BB$3))</f>
        <v>#VALUE!</v>
      </c>
      <c r="BC256" s="27" t="e">
        <f>AND(AA256&lt;$BA$3,OR(W256/$W$2&gt;$BB$3,X256/$X$2&gt;$BB$3))</f>
        <v>#VALUE!</v>
      </c>
      <c r="BE256" s="32" t="s">
        <v>85</v>
      </c>
    </row>
    <row r="257" spans="1:57" s="27" customFormat="1" ht="12.75" customHeight="1" x14ac:dyDescent="0.2">
      <c r="A257" s="10">
        <v>501802</v>
      </c>
      <c r="B257" s="2">
        <v>24</v>
      </c>
      <c r="C257" s="10">
        <v>21</v>
      </c>
      <c r="D257" s="10">
        <v>25</v>
      </c>
      <c r="E257" s="10"/>
      <c r="F257" s="10"/>
      <c r="G257" s="3"/>
      <c r="H257" s="10"/>
      <c r="I257" s="10"/>
      <c r="J257" s="2">
        <v>29</v>
      </c>
      <c r="K257" s="10">
        <v>48</v>
      </c>
      <c r="L257" s="10">
        <v>51</v>
      </c>
      <c r="M257" s="10"/>
      <c r="N257" s="10"/>
      <c r="O257" s="12"/>
      <c r="P257" s="41">
        <v>100</v>
      </c>
      <c r="Q257" s="41"/>
      <c r="R257" s="2"/>
      <c r="S257" s="10"/>
      <c r="T257" s="13"/>
      <c r="U257" s="1">
        <f t="array" ref="U257">IF(AND(A257&lt;&gt;"",OR(ISNUMBER(B257:I257))),SUM(B257:I257),"")</f>
        <v>70</v>
      </c>
      <c r="V257" s="10">
        <f t="array" ref="V257">IF(AND(A257&lt;&gt;"",OR(ISNUMBER(J257:O257))),SUM(J257:O257),"")</f>
        <v>128</v>
      </c>
      <c r="W257" s="10">
        <f t="array" ref="W257">IF(AND(A257&lt;&gt;"",OR(ISNUMBER(P257),ISNUMBER(Q257))),SUM(MAX(P257:Q257),Q257),"")</f>
        <v>100</v>
      </c>
      <c r="X257" s="10" t="str">
        <f t="array" ref="X257">IF(AND(A257&lt;&gt;"",OR(ISNUMBER(S257),ISNUMBER(T257))),SUM(S257,T257),"")</f>
        <v/>
      </c>
      <c r="Y257" s="13">
        <v>1</v>
      </c>
      <c r="Z257" s="13">
        <f>IF(A257&lt;&gt;"",SUM(U257:Y257),"")</f>
        <v>299</v>
      </c>
      <c r="AA257" s="27">
        <f>IF(A257&lt;&gt;"",(Z257+Normalize_To_Add)/(Point_Total_So_Far)*100,"")</f>
        <v>98.032786885245898</v>
      </c>
      <c r="AB257" s="10">
        <f>IF(A257&lt;&gt;"",RANK(AA257,All_Student_XC),"")</f>
        <v>195</v>
      </c>
      <c r="AC257" s="32" t="str">
        <f>IF(A257&lt;&gt;"",CHOOSE(10-MIN(9,TRUNC((AA257+0.5)/10)),"A","B","C","D","F","F","F","F","F","F"),"")</f>
        <v>A</v>
      </c>
      <c r="AD257" s="32" t="str">
        <f>IF(A257&lt;&gt;"",IF(OR(AA257+0.5&gt;=93,AA257+0.5&lt;60),"",IF(MOD(AA257+0.5,10)&gt;=7,"+",IF(MOD(AA257+0.5,10)&lt;3,"-",""))),"")</f>
        <v/>
      </c>
      <c r="AE257" s="32">
        <f>IF(A257&lt;&gt;"",SUM(W257:X257,$W$8:$X$8)/SUM($W$2:$X$2)*100,"")</f>
        <v>100</v>
      </c>
      <c r="AF257" s="32" t="str">
        <f>IF(A257&lt;&gt;"",CHOOSE(10-MIN(9,TRUNC((AE257+0.5)/10)),"A","B","C","D","F","F","F","F","F","F"),"")</f>
        <v>A</v>
      </c>
      <c r="AG257" s="32" t="str">
        <f>IF(A257&lt;&gt;"",IF(OR(AE257+0.5&gt;=93,AE257+0.5&lt;60),"",IF(MOD(AE257+0.5,10)&gt;=7,"+",IF(MOD(AE257+0.5,10)&lt;3,"-",""))),"")</f>
        <v/>
      </c>
      <c r="AH257" s="36">
        <f>IF(A257&lt;&gt;"",MIN(MAX(AA257,AE257),AA257+$AH$8,AE257+$AH$8),"")</f>
        <v>100</v>
      </c>
      <c r="AI257" s="32" t="str">
        <f>IF(A257&lt;&gt;"",CHOOSE(10-MIN(9,TRUNC((AH257+0.5)/10)),"A","B","C","D","F","F","F","F","F","F"),"")</f>
        <v>A</v>
      </c>
      <c r="AJ257" s="32" t="str">
        <f>IF(A257&lt;&gt;"",IF(OR(AH257+0.5&gt;=93,AH257+0.5&lt;60),"",IF(MOD(AH257+0.5,10)&gt;=7,"+",IF(MOD(AH257+0.5,10)&lt;3,"-",""))),"")</f>
        <v/>
      </c>
      <c r="AK257" s="32" t="b">
        <f>IF(A257&lt;&gt;"",OR(AI257&lt;&gt;AC257,AJ257&lt;&gt;AD257),"")</f>
        <v>0</v>
      </c>
      <c r="AL257" s="84">
        <f>IF(AND(A257&lt;&gt;"",U257&lt;&gt;""),SUM(U257,$AL$8)/$AL$2*100,"")</f>
        <v>93.333333333333329</v>
      </c>
      <c r="AM257" s="24">
        <f>IF(AND(A257&lt;&gt;"",V257&lt;&gt;""),SUM(V257,$AM$8)/$AM$2*100,"")</f>
        <v>98.461538461538467</v>
      </c>
      <c r="AN257" s="24">
        <f>IF(AND(A257&lt;&gt;"",ISNUMBER(P257),P257&gt;=0),SUM(P257,$AN$8)/$AN$2*100,"")</f>
        <v>100</v>
      </c>
      <c r="AO257" s="24" t="str">
        <f>IF(AND(A257&lt;&gt;"",ISNUMBER(Q257),Q257&gt;=0),SUM(Q257,$AO$8)/$AO$2*100,"")</f>
        <v/>
      </c>
      <c r="AP257" s="24" t="str">
        <f>IF(AND(A257&lt;&gt;"",R257&lt;&gt;""),SUM(R257,$AP$8)/$AP$2*100,"")</f>
        <v/>
      </c>
      <c r="AQ257" s="24">
        <f>IF(AND(A257&lt;&gt;"",ISNUMBER(W257),W257&gt;=0),SUM(W257,$AQ$8)/$AQ$2*100,"")</f>
        <v>100</v>
      </c>
      <c r="AR257" s="24" t="str">
        <f>IF(AND(A257&lt;&gt;"",T257&gt;0,ISNUMBER(T257)),SUM(T257,$AR$8)/$AR$2*100,"")</f>
        <v/>
      </c>
      <c r="AS257" s="24" t="str">
        <f>IF(AND(A257&lt;&gt;"",X257&lt;&gt;""),SUM(X257,$AS$8)/$AS$2*100,"")</f>
        <v/>
      </c>
      <c r="AT257" s="89">
        <f>IF(AND(A257&lt;&gt;"",OR(ISNUMBER(W257),ISNUMBER(X257))),SUM(W257:X257,$AT$8)/$AT$2*100,"")</f>
        <v>100</v>
      </c>
      <c r="AU257" s="24">
        <f>AA257</f>
        <v>98.032786885245898</v>
      </c>
      <c r="AV257" s="24"/>
      <c r="AW257" s="27">
        <f>IF(A257&lt;&gt;"",AE257-AA257,"")</f>
        <v>1.9672131147541023</v>
      </c>
      <c r="AY257" s="27" t="b">
        <f>S257&gt;R257</f>
        <v>0</v>
      </c>
      <c r="BA257" s="27" t="e">
        <f>AND(AA257&gt;$BA$3,(W257+$W$8)/$W$2&lt;$BB$3,(X257+$X$8)/$X$2&lt;$BB$3)</f>
        <v>#VALUE!</v>
      </c>
      <c r="BB257" s="27" t="e">
        <f>AND(AA257&lt;$BA$3,AND(W257/$W$2&gt;$BB$3,X257/$X$2&gt;$BB$3))</f>
        <v>#VALUE!</v>
      </c>
      <c r="BC257" s="27" t="e">
        <f>AND(AA257&lt;$BA$3,OR(W257/$W$2&gt;$BB$3,X257/$X$2&gt;$BB$3))</f>
        <v>#VALUE!</v>
      </c>
      <c r="BE257" s="32" t="s">
        <v>84</v>
      </c>
    </row>
    <row r="258" spans="1:57" s="27" customFormat="1" ht="12.75" customHeight="1" x14ac:dyDescent="0.2">
      <c r="A258" s="10">
        <v>503252</v>
      </c>
      <c r="B258" s="2">
        <v>20</v>
      </c>
      <c r="C258" s="10">
        <v>22</v>
      </c>
      <c r="D258" s="10">
        <v>22</v>
      </c>
      <c r="E258" s="10"/>
      <c r="F258" s="10"/>
      <c r="G258" s="10"/>
      <c r="H258" s="10"/>
      <c r="I258" s="10"/>
      <c r="J258" s="2">
        <v>27</v>
      </c>
      <c r="K258" s="10">
        <v>17</v>
      </c>
      <c r="L258" s="10">
        <v>49</v>
      </c>
      <c r="M258" s="10"/>
      <c r="N258" s="10"/>
      <c r="O258" s="12"/>
      <c r="P258" s="10">
        <v>101</v>
      </c>
      <c r="Q258" s="41"/>
      <c r="R258" s="2"/>
      <c r="S258" s="10"/>
      <c r="T258" s="13"/>
      <c r="U258" s="77">
        <f t="array" ref="U258">IF(AND(A258&lt;&gt;"",OR(ISNUMBER(B258:I258))),SUM(B258:I258),"")</f>
        <v>64</v>
      </c>
      <c r="V258" s="10">
        <f t="array" ref="V258">IF(AND(A258&lt;&gt;"",OR(ISNUMBER(J258:O258))),SUM(J258:O258),"")</f>
        <v>93</v>
      </c>
      <c r="W258" s="10">
        <f t="array" ref="W258">IF(AND(A258&lt;&gt;"",OR(ISNUMBER(P258),ISNUMBER(Q258))),SUM(MAX(P258:Q258),Q258),"")</f>
        <v>101</v>
      </c>
      <c r="X258" s="10" t="str">
        <f t="array" ref="X258">IF(AND(A258&lt;&gt;"",OR(ISNUMBER(S258),ISNUMBER(T258))),SUM(S258,T258),"")</f>
        <v/>
      </c>
      <c r="Y258" s="13">
        <v>1</v>
      </c>
      <c r="Z258" s="13">
        <f>IF(A258&lt;&gt;"",SUM(U258:Y258),"")</f>
        <v>259</v>
      </c>
      <c r="AA258" s="27">
        <f>IF(A258&lt;&gt;"",(Z258+Normalize_To_Add)/(Point_Total_So_Far)*100,"")</f>
        <v>84.918032786885249</v>
      </c>
      <c r="AB258" s="10">
        <f>IF(A258&lt;&gt;"",RANK(AA258,All_Student_XC),"")</f>
        <v>380</v>
      </c>
      <c r="AC258" s="32" t="str">
        <f>IF(A258&lt;&gt;"",CHOOSE(10-MIN(9,TRUNC((AA258+0.5)/10)),"A","B","C","D","F","F","F","F","F","F"),"")</f>
        <v>B</v>
      </c>
      <c r="AD258" s="32" t="str">
        <f>IF(A258&lt;&gt;"",IF(OR(AA258+0.5&gt;=93,AA258+0.5&lt;60),"",IF(MOD(AA258+0.5,10)&gt;=7,"+",IF(MOD(AA258+0.5,10)&lt;3,"-",""))),"")</f>
        <v/>
      </c>
      <c r="AE258" s="32">
        <f>IF(A258&lt;&gt;"",SUM(W258:X258,$W$8:$X$8)/SUM($W$2:$X$2)*100,"")</f>
        <v>101</v>
      </c>
      <c r="AF258" s="32" t="str">
        <f>IF(A258&lt;&gt;"",CHOOSE(10-MIN(9,TRUNC((AE258+0.5)/10)),"A","B","C","D","F","F","F","F","F","F"),"")</f>
        <v>A</v>
      </c>
      <c r="AG258" s="32" t="str">
        <f>IF(A258&lt;&gt;"",IF(OR(AE258+0.5&gt;=93,AE258+0.5&lt;60),"",IF(MOD(AE258+0.5,10)&gt;=7,"+",IF(MOD(AE258+0.5,10)&lt;3,"-",""))),"")</f>
        <v/>
      </c>
      <c r="AH258" s="36">
        <f>IF(A258&lt;&gt;"",MIN(MAX(AA258,AE258),AA258+$AH$8,AE258+$AH$8),"")</f>
        <v>101</v>
      </c>
      <c r="AI258" s="32" t="str">
        <f>IF(A258&lt;&gt;"",CHOOSE(10-MIN(9,TRUNC((AH258+0.5)/10)),"A","B","C","D","F","F","F","F","F","F"),"")</f>
        <v>A</v>
      </c>
      <c r="AJ258" s="32" t="str">
        <f>IF(A258&lt;&gt;"",IF(OR(AH258+0.5&gt;=93,AH258+0.5&lt;60),"",IF(MOD(AH258+0.5,10)&gt;=7,"+",IF(MOD(AH258+0.5,10)&lt;3,"-",""))),"")</f>
        <v/>
      </c>
      <c r="AK258" s="32" t="b">
        <f>IF(A258&lt;&gt;"",OR(AI258&lt;&gt;AC258,AJ258&lt;&gt;AD258),"")</f>
        <v>1</v>
      </c>
      <c r="AL258" s="84">
        <f>IF(AND(A258&lt;&gt;"",U258&lt;&gt;""),SUM(U258,$AL$8)/$AL$2*100,"")</f>
        <v>85.333333333333343</v>
      </c>
      <c r="AM258" s="24">
        <f>IF(AND(A258&lt;&gt;"",V258&lt;&gt;""),SUM(V258,$AM$8)/$AM$2*100,"")</f>
        <v>71.538461538461533</v>
      </c>
      <c r="AN258" s="24">
        <f>IF(AND(A258&lt;&gt;"",ISNUMBER(P258),P258&gt;=0),SUM(P258,$AN$8)/$AN$2*100,"")</f>
        <v>101</v>
      </c>
      <c r="AO258" s="24" t="str">
        <f>IF(AND(A258&lt;&gt;"",ISNUMBER(Q258),Q258&gt;=0),SUM(Q258,$AO$8)/$AO$2*100,"")</f>
        <v/>
      </c>
      <c r="AP258" s="24" t="str">
        <f>IF(AND(A258&lt;&gt;"",R258&lt;&gt;""),SUM(R258,$AP$8)/$AP$2*100,"")</f>
        <v/>
      </c>
      <c r="AQ258" s="24">
        <f>IF(AND(A258&lt;&gt;"",ISNUMBER(W258),W258&gt;=0),SUM(W258,$AQ$8)/$AQ$2*100,"")</f>
        <v>101</v>
      </c>
      <c r="AR258" s="24" t="str">
        <f>IF(AND(A258&lt;&gt;"",T258&gt;0,ISNUMBER(T258)),SUM(T258,$AR$8)/$AR$2*100,"")</f>
        <v/>
      </c>
      <c r="AS258" s="24" t="str">
        <f>IF(AND(A258&lt;&gt;"",X258&lt;&gt;""),SUM(X258,$AS$8)/$AS$2*100,"")</f>
        <v/>
      </c>
      <c r="AT258" s="89">
        <f>IF(AND(A258&lt;&gt;"",OR(ISNUMBER(W258),ISNUMBER(X258))),SUM(W258:X258,$AT$8)/$AT$2*100,"")</f>
        <v>101</v>
      </c>
      <c r="AU258" s="24">
        <f>AA258</f>
        <v>84.918032786885249</v>
      </c>
      <c r="AV258" s="24"/>
      <c r="AW258" s="27">
        <f>IF(A258&lt;&gt;"",AE258-AA258,"")</f>
        <v>16.081967213114751</v>
      </c>
      <c r="AY258" s="27" t="b">
        <f>S258&gt;R258</f>
        <v>0</v>
      </c>
      <c r="BA258" s="27" t="e">
        <f>AND(AA258&gt;$BA$3,(W258+$W$8)/$W$2&lt;$BB$3,(X258+$X$8)/$X$2&lt;$BB$3)</f>
        <v>#VALUE!</v>
      </c>
      <c r="BB258" s="27" t="e">
        <f>AND(AA258&lt;$BA$3,AND(W258/$W$2&gt;$BB$3,X258/$X$2&gt;$BB$3))</f>
        <v>#VALUE!</v>
      </c>
      <c r="BC258" s="27" t="e">
        <f>AND(AA258&lt;$BA$3,OR(W258/$W$2&gt;$BB$3,X258/$X$2&gt;$BB$3))</f>
        <v>#VALUE!</v>
      </c>
      <c r="BE258" s="32" t="s">
        <v>84</v>
      </c>
    </row>
    <row r="259" spans="1:57" s="27" customFormat="1" ht="12.75" customHeight="1" x14ac:dyDescent="0.2">
      <c r="A259" s="10">
        <v>504336</v>
      </c>
      <c r="B259" s="2">
        <v>23</v>
      </c>
      <c r="C259" s="10">
        <v>25</v>
      </c>
      <c r="D259" s="10">
        <v>25</v>
      </c>
      <c r="E259" s="10"/>
      <c r="F259" s="10"/>
      <c r="G259" s="10"/>
      <c r="H259" s="10"/>
      <c r="I259" s="10"/>
      <c r="J259" s="2">
        <v>28</v>
      </c>
      <c r="K259" s="10">
        <v>52</v>
      </c>
      <c r="L259" s="10">
        <v>50</v>
      </c>
      <c r="M259" s="10"/>
      <c r="N259" s="93"/>
      <c r="O259" s="13"/>
      <c r="P259" s="10">
        <v>101</v>
      </c>
      <c r="Q259" s="10"/>
      <c r="R259" s="2"/>
      <c r="S259" s="10"/>
      <c r="T259" s="13"/>
      <c r="U259" s="1">
        <f t="array" ref="U259">IF(AND(A259&lt;&gt;"",OR(ISNUMBER(B259:I259))),SUM(B259:I259),"")</f>
        <v>73</v>
      </c>
      <c r="V259" s="10">
        <f t="array" ref="V259">IF(AND(A259&lt;&gt;"",OR(ISNUMBER(J259:O259))),SUM(J259:O259),"")</f>
        <v>130</v>
      </c>
      <c r="W259" s="10">
        <f t="array" ref="W259">IF(AND(A259&lt;&gt;"",OR(ISNUMBER(P259),ISNUMBER(Q259))),SUM(MAX(P259:Q259),Q259),"")</f>
        <v>101</v>
      </c>
      <c r="X259" s="10" t="str">
        <f t="array" ref="X259">IF(AND(A259&lt;&gt;"",OR(ISNUMBER(S259),ISNUMBER(T259))),SUM(S259,T259),"")</f>
        <v/>
      </c>
      <c r="Y259" s="13">
        <v>1</v>
      </c>
      <c r="Z259" s="13">
        <f>IF(A259&lt;&gt;"",SUM(U259:Y259),"")</f>
        <v>305</v>
      </c>
      <c r="AA259" s="27">
        <f>IF(A259&lt;&gt;"",(Z259+Normalize_To_Add)/(Point_Total_So_Far)*100,"")</f>
        <v>100</v>
      </c>
      <c r="AB259" s="10">
        <f>IF(A259&lt;&gt;"",RANK(AA259,All_Student_XC),"")</f>
        <v>109</v>
      </c>
      <c r="AC259" s="32" t="str">
        <f>IF(A259&lt;&gt;"",CHOOSE(10-MIN(9,TRUNC((AA259+0.5)/10)),"A","B","C","D","F","F","F","F","F","F"),"")</f>
        <v>A</v>
      </c>
      <c r="AD259" s="31" t="str">
        <f>IF(A259&lt;&gt;"",IF(OR(AA259+0.5&gt;=93,AA259+0.5&lt;60),"",IF(MOD(AA259+0.5,10)&gt;=7,"+",IF(MOD(AA259+0.5,10)&lt;3,"-",""))),"")</f>
        <v/>
      </c>
      <c r="AE259" s="32">
        <f>IF(A259&lt;&gt;"",SUM(W259:X259,$W$8:$X$8)/SUM($W$2:$X$2)*100,"")</f>
        <v>101</v>
      </c>
      <c r="AF259" s="32" t="str">
        <f>IF(A259&lt;&gt;"",CHOOSE(10-MIN(9,TRUNC((AE259+0.5)/10)),"A","B","C","D","F","F","F","F","F","F"),"")</f>
        <v>A</v>
      </c>
      <c r="AG259" s="32" t="str">
        <f>IF(A259&lt;&gt;"",IF(OR(AE259+0.5&gt;=93,AE259+0.5&lt;60),"",IF(MOD(AE259+0.5,10)&gt;=7,"+",IF(MOD(AE259+0.5,10)&lt;3,"-",""))),"")</f>
        <v/>
      </c>
      <c r="AH259" s="36">
        <f>IF(A259&lt;&gt;"",MIN(MAX(AA259,AE259),AA259+$AH$8,AE259+$AH$8),"")</f>
        <v>101</v>
      </c>
      <c r="AI259" s="32" t="str">
        <f>IF(A259&lt;&gt;"",CHOOSE(10-MIN(9,TRUNC((AH259+0.5)/10)),"A","B","C","D","F","F","F","F","F","F"),"")</f>
        <v>A</v>
      </c>
      <c r="AJ259" s="32" t="str">
        <f>IF(A259&lt;&gt;"",IF(OR(AH259+0.5&gt;=93,AH259+0.5&lt;60),"",IF(MOD(AH259+0.5,10)&gt;=7,"+",IF(MOD(AH259+0.5,10)&lt;3,"-",""))),"")</f>
        <v/>
      </c>
      <c r="AK259" s="71" t="b">
        <f>IF(A259&lt;&gt;"",OR(AI259&lt;&gt;AC259,AJ259&lt;&gt;AD259),"")</f>
        <v>0</v>
      </c>
      <c r="AL259" s="86">
        <f>IF(AND(A259&lt;&gt;"",U259&lt;&gt;""),SUM(U259,$AL$8)/$AL$2*100,"")</f>
        <v>97.333333333333343</v>
      </c>
      <c r="AM259" s="71">
        <f>IF(AND(A259&lt;&gt;"",V259&lt;&gt;""),SUM(V259,$AM$8)/$AM$2*100,"")</f>
        <v>100</v>
      </c>
      <c r="AN259" s="71">
        <f>IF(AND(A259&lt;&gt;"",ISNUMBER(P259),P259&gt;=0),SUM(P259,$AN$8)/$AN$2*100,"")</f>
        <v>101</v>
      </c>
      <c r="AO259" s="71" t="str">
        <f>IF(AND(A259&lt;&gt;"",ISNUMBER(Q259),Q259&gt;=0),SUM(Q259,$AO$8)/$AO$2*100,"")</f>
        <v/>
      </c>
      <c r="AP259" s="24" t="str">
        <f>IF(AND(A259&lt;&gt;"",R259&lt;&gt;""),SUM(R259,$AP$8)/$AP$2*100,"")</f>
        <v/>
      </c>
      <c r="AQ259" s="24">
        <f>IF(AND(A259&lt;&gt;"",ISNUMBER(W259),W259&gt;=0),SUM(W259,$AQ$8)/$AQ$2*100,"")</f>
        <v>101</v>
      </c>
      <c r="AR259" s="24" t="str">
        <f>IF(AND(A259&lt;&gt;"",T259&gt;0,ISNUMBER(T259)),SUM(T259,$AR$8)/$AR$2*100,"")</f>
        <v/>
      </c>
      <c r="AS259" s="24" t="str">
        <f>IF(AND(A259&lt;&gt;"",X259&lt;&gt;""),SUM(X259,$AS$8)/$AS$2*100,"")</f>
        <v/>
      </c>
      <c r="AT259" s="89">
        <f>IF(AND(A259&lt;&gt;"",OR(ISNUMBER(W259),ISNUMBER(X259))),SUM(W259:X259,$AT$8)/$AT$2*100,"")</f>
        <v>101</v>
      </c>
      <c r="AU259" s="24">
        <f>AA259</f>
        <v>100</v>
      </c>
      <c r="AV259" s="71"/>
      <c r="AW259" s="27">
        <f>IF(A259&lt;&gt;"",AE259-AA259,"")</f>
        <v>1</v>
      </c>
      <c r="AY259" s="27" t="b">
        <f>S259&gt;R259</f>
        <v>0</v>
      </c>
      <c r="BA259" s="27" t="e">
        <f>AND(AA259&gt;$BA$3,(W259+$W$8)/$W$2&lt;$BB$3,(X259+$X$8)/$X$2&lt;$BB$3)</f>
        <v>#VALUE!</v>
      </c>
      <c r="BB259" s="27" t="e">
        <f>AND(AA259&lt;$BA$3,AND(W259/$W$2&gt;$BB$3,X259/$X$2&gt;$BB$3))</f>
        <v>#VALUE!</v>
      </c>
      <c r="BC259" s="27" t="e">
        <f>AND(AA259&lt;$BA$3,OR(W259/$W$2&gt;$BB$3,X259/$X$2&gt;$BB$3))</f>
        <v>#VALUE!</v>
      </c>
      <c r="BE259" s="32" t="s">
        <v>84</v>
      </c>
    </row>
    <row r="260" spans="1:57" s="27" customFormat="1" ht="12.75" customHeight="1" x14ac:dyDescent="0.2">
      <c r="A260" s="10">
        <v>505863</v>
      </c>
      <c r="B260" s="2">
        <v>23</v>
      </c>
      <c r="C260" s="10">
        <v>23</v>
      </c>
      <c r="D260" s="10">
        <v>25</v>
      </c>
      <c r="E260" s="10"/>
      <c r="F260" s="10"/>
      <c r="G260" s="3"/>
      <c r="H260" s="10"/>
      <c r="I260" s="10"/>
      <c r="J260" s="2">
        <v>32</v>
      </c>
      <c r="K260" s="10">
        <v>52</v>
      </c>
      <c r="L260" s="10">
        <v>50</v>
      </c>
      <c r="M260" s="10"/>
      <c r="N260" s="93"/>
      <c r="O260" s="12"/>
      <c r="P260" s="10">
        <v>101</v>
      </c>
      <c r="Q260" s="41"/>
      <c r="R260" s="2"/>
      <c r="S260" s="10"/>
      <c r="T260" s="13"/>
      <c r="U260" s="1">
        <f t="array" ref="U260">IF(AND(A260&lt;&gt;"",OR(ISNUMBER(B260:I260))),SUM(B260:I260),"")</f>
        <v>71</v>
      </c>
      <c r="V260" s="10">
        <f t="array" ref="V260">IF(AND(A260&lt;&gt;"",OR(ISNUMBER(J260:O260))),SUM(J260:O260),"")</f>
        <v>134</v>
      </c>
      <c r="W260" s="10">
        <f t="array" ref="W260">IF(AND(A260&lt;&gt;"",OR(ISNUMBER(P260),ISNUMBER(Q260))),SUM(MAX(P260:Q260),Q260),"")</f>
        <v>101</v>
      </c>
      <c r="X260" s="10" t="str">
        <f t="array" ref="X260">IF(AND(A260&lt;&gt;"",OR(ISNUMBER(S260),ISNUMBER(T260))),SUM(S260,T260),"")</f>
        <v/>
      </c>
      <c r="Y260" s="13">
        <v>1</v>
      </c>
      <c r="Z260" s="13">
        <f>IF(A260&lt;&gt;"",SUM(U260:Y260),"")</f>
        <v>307</v>
      </c>
      <c r="AA260" s="27">
        <f>IF(A260&lt;&gt;"",(Z260+Normalize_To_Add)/(Point_Total_So_Far)*100,"")</f>
        <v>100.65573770491802</v>
      </c>
      <c r="AB260" s="10">
        <f>IF(A260&lt;&gt;"",RANK(AA260,All_Student_XC),"")</f>
        <v>72</v>
      </c>
      <c r="AC260" s="32" t="str">
        <f>IF(A260&lt;&gt;"",CHOOSE(10-MIN(9,TRUNC((AA260+0.5)/10)),"A","B","C","D","F","F","F","F","F","F"),"")</f>
        <v>A</v>
      </c>
      <c r="AD260" s="32" t="str">
        <f>IF(A260&lt;&gt;"",IF(OR(AA260+0.5&gt;=93,AA260+0.5&lt;60),"",IF(MOD(AA260+0.5,10)&gt;=7,"+",IF(MOD(AA260+0.5,10)&lt;3,"-",""))),"")</f>
        <v/>
      </c>
      <c r="AE260" s="32">
        <f>IF(A260&lt;&gt;"",SUM(W260:X260,$W$8:$X$8)/SUM($W$2:$X$2)*100,"")</f>
        <v>101</v>
      </c>
      <c r="AF260" s="44" t="str">
        <f>IF(A260&lt;&gt;"",CHOOSE(10-MIN(9,TRUNC((AE260+0.5)/10)),"A","B","C","D","F","F","F","F","F","F"),"")</f>
        <v>A</v>
      </c>
      <c r="AG260" s="44" t="str">
        <f>IF(A260&lt;&gt;"",IF(OR(AE260+0.5&gt;=93,AE260+0.5&lt;60),"",IF(MOD(AE260+0.5,10)&gt;=7,"+",IF(MOD(AE260+0.5,10)&lt;3,"-",""))),"")</f>
        <v/>
      </c>
      <c r="AH260" s="36">
        <f>IF(A260&lt;&gt;"",MIN(MAX(AA260,AE260),AA260+$AH$8,AE260+$AH$8),"")</f>
        <v>101</v>
      </c>
      <c r="AI260" s="32" t="str">
        <f>IF(A260&lt;&gt;"",CHOOSE(10-MIN(9,TRUNC((AH260+0.5)/10)),"A","B","C","D","F","F","F","F","F","F"),"")</f>
        <v>A</v>
      </c>
      <c r="AJ260" s="32" t="str">
        <f>IF(A260&lt;&gt;"",IF(OR(AH260+0.5&gt;=93,AH260+0.5&lt;60),"",IF(MOD(AH260+0.5,10)&gt;=7,"+",IF(MOD(AH260+0.5,10)&lt;3,"-",""))),"")</f>
        <v/>
      </c>
      <c r="AK260" s="32" t="b">
        <f>IF(A260&lt;&gt;"",OR(AI260&lt;&gt;AC260,AJ260&lt;&gt;AD260),"")</f>
        <v>0</v>
      </c>
      <c r="AL260" s="84">
        <f>IF(AND(A260&lt;&gt;"",U260&lt;&gt;""),SUM(U260,$AL$8)/$AL$2*100,"")</f>
        <v>94.666666666666671</v>
      </c>
      <c r="AM260" s="24">
        <f>IF(AND(A260&lt;&gt;"",V260&lt;&gt;""),SUM(V260,$AM$8)/$AM$2*100,"")</f>
        <v>103.07692307692307</v>
      </c>
      <c r="AN260" s="24">
        <f>IF(AND(A260&lt;&gt;"",ISNUMBER(P260),P260&gt;=0),SUM(P260,$AN$8)/$AN$2*100,"")</f>
        <v>101</v>
      </c>
      <c r="AO260" s="24" t="str">
        <f>IF(AND(A260&lt;&gt;"",ISNUMBER(Q260),Q260&gt;=0),SUM(Q260,$AO$8)/$AO$2*100,"")</f>
        <v/>
      </c>
      <c r="AP260" s="24" t="str">
        <f>IF(AND(A260&lt;&gt;"",R260&lt;&gt;""),SUM(R260,$AP$8)/$AP$2*100,"")</f>
        <v/>
      </c>
      <c r="AQ260" s="24">
        <f>IF(AND(A260&lt;&gt;"",ISNUMBER(W260),W260&gt;=0),SUM(W260,$AQ$8)/$AQ$2*100,"")</f>
        <v>101</v>
      </c>
      <c r="AR260" s="24" t="str">
        <f>IF(AND(A260&lt;&gt;"",T260&gt;0,ISNUMBER(T260)),SUM(T260,$AR$8)/$AR$2*100,"")</f>
        <v/>
      </c>
      <c r="AS260" s="24" t="str">
        <f>IF(AND(A260&lt;&gt;"",X260&lt;&gt;""),SUM(X260,$AS$8)/$AS$2*100,"")</f>
        <v/>
      </c>
      <c r="AT260" s="89">
        <f>IF(AND(A260&lt;&gt;"",OR(ISNUMBER(W260),ISNUMBER(X260))),SUM(W260:X260,$AT$8)/$AT$2*100,"")</f>
        <v>101</v>
      </c>
      <c r="AU260" s="24">
        <f>AA260</f>
        <v>100.65573770491802</v>
      </c>
      <c r="AV260" s="24"/>
      <c r="AW260" s="27">
        <f>IF(A260&lt;&gt;"",AE260-AA260,"")</f>
        <v>0.34426229508197537</v>
      </c>
      <c r="AY260" s="27" t="b">
        <f>S260&gt;R260</f>
        <v>0</v>
      </c>
      <c r="BA260" s="27" t="e">
        <f>AND(AA260&gt;$BA$3,(W260+$W$8)/$W$2&lt;$BB$3,(X260+$X$8)/$X$2&lt;$BB$3)</f>
        <v>#VALUE!</v>
      </c>
      <c r="BB260" s="27" t="e">
        <f>AND(AA260&lt;$BA$3,AND(W260/$W$2&gt;$BB$3,X260/$X$2&gt;$BB$3))</f>
        <v>#VALUE!</v>
      </c>
      <c r="BC260" s="27" t="e">
        <f>AND(AA260&lt;$BA$3,OR(W260/$W$2&gt;$BB$3,X260/$X$2&gt;$BB$3))</f>
        <v>#VALUE!</v>
      </c>
      <c r="BE260" s="32" t="s">
        <v>84</v>
      </c>
    </row>
    <row r="261" spans="1:57" s="27" customFormat="1" ht="12.75" customHeight="1" x14ac:dyDescent="0.2">
      <c r="A261" s="10">
        <v>507174</v>
      </c>
      <c r="B261" s="2">
        <v>24</v>
      </c>
      <c r="C261" s="10">
        <v>25</v>
      </c>
      <c r="D261" s="10">
        <v>25</v>
      </c>
      <c r="E261" s="10"/>
      <c r="F261" s="10"/>
      <c r="G261" s="3"/>
      <c r="H261" s="10"/>
      <c r="I261" s="10"/>
      <c r="J261" s="2">
        <v>32</v>
      </c>
      <c r="K261" s="10">
        <v>44</v>
      </c>
      <c r="L261" s="10">
        <v>52</v>
      </c>
      <c r="M261" s="10"/>
      <c r="N261" s="10"/>
      <c r="O261" s="12"/>
      <c r="P261" s="7">
        <v>101</v>
      </c>
      <c r="Q261" s="7"/>
      <c r="R261" s="2"/>
      <c r="S261" s="10"/>
      <c r="T261" s="13"/>
      <c r="U261" s="77">
        <f t="array" ref="U261">IF(AND(A261&lt;&gt;"",OR(ISNUMBER(B261:I261))),SUM(B261:I261),"")</f>
        <v>74</v>
      </c>
      <c r="V261" s="10">
        <f t="array" ref="V261">IF(AND(A261&lt;&gt;"",OR(ISNUMBER(J261:O261))),SUM(J261:O261),"")</f>
        <v>128</v>
      </c>
      <c r="W261" s="10">
        <f t="array" ref="W261">IF(AND(A261&lt;&gt;"",OR(ISNUMBER(P261),ISNUMBER(Q261))),SUM(MAX(P261:Q261),Q261),"")</f>
        <v>101</v>
      </c>
      <c r="X261" s="10" t="str">
        <f t="array" ref="X261">IF(AND(A261&lt;&gt;"",OR(ISNUMBER(S261),ISNUMBER(T261))),SUM(S261,T261),"")</f>
        <v/>
      </c>
      <c r="Y261" s="13">
        <v>1</v>
      </c>
      <c r="Z261" s="13">
        <f>IF(A261&lt;&gt;"",SUM(U261:Y261),"")</f>
        <v>304</v>
      </c>
      <c r="AA261" s="27">
        <f>IF(A261&lt;&gt;"",(Z261+Normalize_To_Add)/(Point_Total_So_Far)*100,"")</f>
        <v>99.672131147540995</v>
      </c>
      <c r="AB261" s="10">
        <f>IF(A261&lt;&gt;"",RANK(AA261,All_Student_XC),"")</f>
        <v>124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>
        <f>IF(A261&lt;&gt;"",SUM(W261:X261,$W$8:$X$8)/SUM($W$2:$X$2)*100,"")</f>
        <v>101</v>
      </c>
      <c r="AF261" s="32" t="str">
        <f>IF(A261&lt;&gt;"",CHOOSE(10-MIN(9,TRUNC((AE261+0.5)/10)),"A","B","C","D","F","F","F","F","F","F"),"")</f>
        <v>A</v>
      </c>
      <c r="AG261" s="32" t="str">
        <f>IF(A261&lt;&gt;"",IF(OR(AE261+0.5&gt;=93,AE261+0.5&lt;60),"",IF(MOD(AE261+0.5,10)&gt;=7,"+",IF(MOD(AE261+0.5,10)&lt;3,"-",""))),"")</f>
        <v/>
      </c>
      <c r="AH261" s="36">
        <f>IF(A261&lt;&gt;"",MIN(MAX(AA261,AE261),AA261+$AH$8,AE261+$AH$8),"")</f>
        <v>101</v>
      </c>
      <c r="AI261" s="32" t="str">
        <f>IF(A261&lt;&gt;"",CHOOSE(10-MIN(9,TRUNC((AH261+0.5)/10)),"A","B","C","D","F","F","F","F","F","F"),"")</f>
        <v>A</v>
      </c>
      <c r="AJ261" s="32" t="str">
        <f>IF(A261&lt;&gt;"",IF(OR(AH261+0.5&gt;=93,AH261+0.5&lt;60),"",IF(MOD(AH261+0.5,10)&gt;=7,"+",IF(MOD(AH261+0.5,10)&lt;3,"-",""))),"")</f>
        <v/>
      </c>
      <c r="AK261" s="32" t="b">
        <f>IF(A261&lt;&gt;"",OR(AI261&lt;&gt;AC261,AJ261&lt;&gt;AD261),"")</f>
        <v>0</v>
      </c>
      <c r="AL261" s="84">
        <f>IF(AND(A261&lt;&gt;"",U261&lt;&gt;""),SUM(U261,$AL$8)/$AL$2*100,"")</f>
        <v>98.666666666666671</v>
      </c>
      <c r="AM261" s="24">
        <f>IF(AND(A261&lt;&gt;"",V261&lt;&gt;""),SUM(V261,$AM$8)/$AM$2*100,"")</f>
        <v>98.461538461538467</v>
      </c>
      <c r="AN261" s="24">
        <f>IF(AND(A261&lt;&gt;"",ISNUMBER(P261),P261&gt;=0),SUM(P261,$AN$8)/$AN$2*100,"")</f>
        <v>101</v>
      </c>
      <c r="AO261" s="24" t="str">
        <f>IF(AND(A261&lt;&gt;"",ISNUMBER(Q261),Q261&gt;=0),SUM(Q261,$AO$8)/$AO$2*100,"")</f>
        <v/>
      </c>
      <c r="AP261" s="24" t="str">
        <f>IF(AND(A261&lt;&gt;"",R261&lt;&gt;""),SUM(R261,$AP$8)/$AP$2*100,"")</f>
        <v/>
      </c>
      <c r="AQ261" s="24">
        <f>IF(AND(A261&lt;&gt;"",ISNUMBER(W261),W261&gt;=0),SUM(W261,$AQ$8)/$AQ$2*100,"")</f>
        <v>101</v>
      </c>
      <c r="AR261" s="24" t="str">
        <f>IF(AND(A261&lt;&gt;"",T261&gt;0,ISNUMBER(T261)),SUM(T261,$AR$8)/$AR$2*100,"")</f>
        <v/>
      </c>
      <c r="AS261" s="24" t="str">
        <f>IF(AND(A261&lt;&gt;"",X261&lt;&gt;""),SUM(X261,$AS$8)/$AS$2*100,"")</f>
        <v/>
      </c>
      <c r="AT261" s="89">
        <f>IF(AND(A261&lt;&gt;"",OR(ISNUMBER(W261),ISNUMBER(X261))),SUM(W261:X261,$AT$8)/$AT$2*100,"")</f>
        <v>101</v>
      </c>
      <c r="AU261" s="24">
        <f>AA261</f>
        <v>99.672131147540995</v>
      </c>
      <c r="AV261" s="24"/>
      <c r="AW261" s="27">
        <f>IF(A261&lt;&gt;"",AE261-AA261,"")</f>
        <v>1.3278688524590052</v>
      </c>
      <c r="AY261" s="27" t="b">
        <f>S261&gt;R261</f>
        <v>0</v>
      </c>
      <c r="BA261" s="27" t="e">
        <f>AND(AA261&gt;$BA$3,(W261+$W$8)/$W$2&lt;$BB$3,(X261+$X$8)/$X$2&lt;$BB$3)</f>
        <v>#VALUE!</v>
      </c>
      <c r="BB261" s="27" t="e">
        <f>AND(AA261&lt;$BA$3,AND(W261/$W$2&gt;$BB$3,X261/$X$2&gt;$BB$3))</f>
        <v>#VALUE!</v>
      </c>
      <c r="BC261" s="27" t="e">
        <f>AND(AA261&lt;$BA$3,OR(W261/$W$2&gt;$BB$3,X261/$X$2&gt;$BB$3))</f>
        <v>#VALUE!</v>
      </c>
      <c r="BE261" s="32" t="s">
        <v>84</v>
      </c>
    </row>
    <row r="262" spans="1:57" s="27" customFormat="1" ht="12.75" customHeight="1" x14ac:dyDescent="0.2">
      <c r="A262" s="10">
        <v>508061</v>
      </c>
      <c r="B262" s="2">
        <v>16</v>
      </c>
      <c r="C262" s="10" t="s">
        <v>67</v>
      </c>
      <c r="D262" s="10" t="s">
        <v>67</v>
      </c>
      <c r="E262" s="10"/>
      <c r="F262" s="10"/>
      <c r="G262" s="10"/>
      <c r="H262" s="10"/>
      <c r="I262" s="10"/>
      <c r="J262" s="2">
        <v>3</v>
      </c>
      <c r="K262" s="10" t="s">
        <v>67</v>
      </c>
      <c r="L262" s="10" t="s">
        <v>67</v>
      </c>
      <c r="M262" s="10"/>
      <c r="N262" s="93"/>
      <c r="O262" s="13"/>
      <c r="P262" s="10"/>
      <c r="Q262" s="10"/>
      <c r="R262" s="2"/>
      <c r="S262" s="10"/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20</v>
      </c>
      <c r="AA262" s="27">
        <f>IF(A262&lt;&gt;"",(Z262+Normalize_To_Add)/(Point_Total_So_Far)*100,"")</f>
        <v>6.557377049180328</v>
      </c>
      <c r="AB262" s="10">
        <f>IF(A262&lt;&gt;"",RANK(AA262,All_Student_XC),"")</f>
        <v>514</v>
      </c>
      <c r="AC262" s="32" t="str">
        <f>IF(A262&lt;&gt;"",CHOOSE(10-MIN(9,TRUNC((AA262+0.5)/10)),"A","B","C","D","F","F","F","F","F","F"),"")</f>
        <v>F</v>
      </c>
      <c r="AD262" s="31" t="str">
        <f>IF(A262&lt;&gt;"",IF(OR(AA262+0.5&gt;=93,AA262+0.5&lt;60),"",IF(MOD(AA262+0.5,10)&gt;=7,"+",IF(MOD(AA262+0.5,10)&lt;3,"-",""))),"")</f>
        <v/>
      </c>
      <c r="AE262" s="32">
        <f>IF(A262&lt;&gt;"",SUM(W262:X262,$W$8:$X$8)/SUM($W$2:$X$2)*100,"")</f>
        <v>0</v>
      </c>
      <c r="AF262" s="32" t="str">
        <f>IF(A262&lt;&gt;"",CHOOSE(10-MIN(9,TRUNC((AE262+0.5)/10)),"A","B","C","D","F","F","F","F","F","F"),"")</f>
        <v>F</v>
      </c>
      <c r="AG262" s="32" t="str">
        <f>IF(A262&lt;&gt;"",IF(OR(AE262+0.5&gt;=93,AE262+0.5&lt;60),"",IF(MOD(AE262+0.5,10)&gt;=7,"+",IF(MOD(AE262+0.5,10)&lt;3,"-",""))),"")</f>
        <v/>
      </c>
      <c r="AH262" s="36">
        <f>IF(A262&lt;&gt;"",MIN(MAX(AA262,AE262),AA262+$AH$8,AE262+$AH$8),"")</f>
        <v>6.557377049180328</v>
      </c>
      <c r="AI262" s="32" t="str">
        <f>IF(A262&lt;&gt;"",CHOOSE(10-MIN(9,TRUNC((AH262+0.5)/10)),"A","B","C","D","F","F","F","F","F","F"),"")</f>
        <v>F</v>
      </c>
      <c r="AJ262" s="32" t="str">
        <f>IF(A262&lt;&gt;"",IF(OR(AH262+0.5&gt;=93,AH262+0.5&lt;60),"",IF(MOD(AH262+0.5,10)&gt;=7,"+",IF(MOD(AH262+0.5,10)&lt;3,"-",""))),"")</f>
        <v/>
      </c>
      <c r="AK262" s="71" t="b">
        <f>IF(A262&lt;&gt;"",OR(AI262&lt;&gt;AC262,AJ262&lt;&gt;AD262),"")</f>
        <v>0</v>
      </c>
      <c r="AL262" s="86">
        <f>IF(AND(A262&lt;&gt;"",U262&lt;&gt;""),SUM(U262,$AL$8)/$AL$2*100,"")</f>
        <v>21.333333333333336</v>
      </c>
      <c r="AM262" s="71">
        <f>IF(AND(A262&lt;&gt;"",V262&lt;&gt;""),SUM(V262,$AM$8)/$AM$2*100,"")</f>
        <v>2.3076923076923079</v>
      </c>
      <c r="AN262" s="71" t="str">
        <f>IF(AND(A262&lt;&gt;"",ISNUMBER(P262),P262&gt;=0),SUM(P262,$AN$8)/$AN$2*100,"")</f>
        <v/>
      </c>
      <c r="AO262" s="71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 t="str">
        <f>IF(AND(A262&lt;&gt;"",ISNUMBER(W262),W262&gt;=0),SUM(W262,$AQ$8)/$AQ$2*100,"")</f>
        <v/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9" t="str">
        <f>IF(AND(A262&lt;&gt;"",OR(ISNUMBER(W262),ISNUMBER(X262))),SUM(W262:X262,$AT$8)/$AT$2*100,"")</f>
        <v/>
      </c>
      <c r="AU262" s="24">
        <f>AA262</f>
        <v>6.557377049180328</v>
      </c>
      <c r="AV262" s="71"/>
      <c r="AW262" s="27">
        <f>IF(A262&lt;&gt;"",AE262-AA262,"")</f>
        <v>-6.557377049180328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  <c r="BE262" s="32"/>
    </row>
    <row r="263" spans="1:57" s="27" customFormat="1" ht="12.75" customHeight="1" x14ac:dyDescent="0.2">
      <c r="A263" s="10">
        <v>508933</v>
      </c>
      <c r="B263" s="2">
        <v>24</v>
      </c>
      <c r="C263" s="10">
        <v>20</v>
      </c>
      <c r="D263" s="10">
        <v>25</v>
      </c>
      <c r="E263" s="10"/>
      <c r="F263" s="10"/>
      <c r="G263" s="10"/>
      <c r="H263" s="10"/>
      <c r="I263" s="10"/>
      <c r="J263" s="2">
        <v>29</v>
      </c>
      <c r="K263" s="10">
        <v>40</v>
      </c>
      <c r="L263" s="10">
        <v>51</v>
      </c>
      <c r="M263" s="10"/>
      <c r="N263" s="93"/>
      <c r="O263" s="13"/>
      <c r="P263" s="10">
        <v>20</v>
      </c>
      <c r="Q263" s="10"/>
      <c r="R263" s="2"/>
      <c r="S263" s="10"/>
      <c r="T263" s="13"/>
      <c r="U263" s="1">
        <f t="array" ref="U263">IF(AND(A263&lt;&gt;"",OR(ISNUMBER(B263:I263))),SUM(B263:I263),"")</f>
        <v>69</v>
      </c>
      <c r="V263" s="10">
        <f t="array" ref="V263">IF(AND(A263&lt;&gt;"",OR(ISNUMBER(J263:O263))),SUM(J263:O263),"")</f>
        <v>120</v>
      </c>
      <c r="W263" s="10">
        <f t="array" ref="W263">IF(AND(A263&lt;&gt;"",OR(ISNUMBER(P263),ISNUMBER(Q263))),SUM(MAX(P263:Q263),Q263),"")</f>
        <v>20</v>
      </c>
      <c r="X263" s="10" t="str">
        <f t="array" ref="X263">IF(AND(A263&lt;&gt;"",OR(ISNUMBER(S263),ISNUMBER(T263))),SUM(S263,T263),"")</f>
        <v/>
      </c>
      <c r="Y263" s="13">
        <v>1</v>
      </c>
      <c r="Z263" s="13">
        <f>IF(A263&lt;&gt;"",SUM(U263:Y263),"")</f>
        <v>210</v>
      </c>
      <c r="AA263" s="27">
        <f>IF(A263&lt;&gt;"",(Z263+Normalize_To_Add)/(Point_Total_So_Far)*100,"")</f>
        <v>68.852459016393439</v>
      </c>
      <c r="AB263" s="10">
        <f>IF(A263&lt;&gt;"",RANK(AA263,All_Student_XC),"")</f>
        <v>462</v>
      </c>
      <c r="AC263" s="32" t="str">
        <f>IF(A263&lt;&gt;"",CHOOSE(10-MIN(9,TRUNC((AA263+0.5)/10)),"A","B","C","D","F","F","F","F","F","F"),"")</f>
        <v>D</v>
      </c>
      <c r="AD263" s="31" t="str">
        <f>IF(A263&lt;&gt;"",IF(OR(AA263+0.5&gt;=93,AA263+0.5&lt;60),"",IF(MOD(AA263+0.5,10)&gt;=7,"+",IF(MOD(AA263+0.5,10)&lt;3,"-",""))),"")</f>
        <v>+</v>
      </c>
      <c r="AE263" s="32">
        <f>IF(A263&lt;&gt;"",SUM(W263:X263,$W$8:$X$8)/SUM($W$2:$X$2)*100,"")</f>
        <v>20</v>
      </c>
      <c r="AF263" s="32" t="str">
        <f>IF(A263&lt;&gt;"",CHOOSE(10-MIN(9,TRUNC((AE263+0.5)/10)),"A","B","C","D","F","F","F","F","F","F"),"")</f>
        <v>F</v>
      </c>
      <c r="AG263" s="32" t="str">
        <f>IF(A263&lt;&gt;"",IF(OR(AE263+0.5&gt;=93,AE263+0.5&lt;60),"",IF(MOD(AE263+0.5,10)&gt;=7,"+",IF(MOD(AE263+0.5,10)&lt;3,"-",""))),"")</f>
        <v/>
      </c>
      <c r="AH263" s="36">
        <f>IF(A263&lt;&gt;"",MIN(MAX(AA263,AE263),AA263+$AH$8,AE263+$AH$8),"")</f>
        <v>68.852459016393439</v>
      </c>
      <c r="AI263" s="32" t="str">
        <f>IF(A263&lt;&gt;"",CHOOSE(10-MIN(9,TRUNC((AH263+0.5)/10)),"A","B","C","D","F","F","F","F","F","F"),"")</f>
        <v>D</v>
      </c>
      <c r="AJ263" s="32" t="str">
        <f>IF(A263&lt;&gt;"",IF(OR(AH263+0.5&gt;=93,AH263+0.5&lt;60),"",IF(MOD(AH263+0.5,10)&gt;=7,"+",IF(MOD(AH263+0.5,10)&lt;3,"-",""))),"")</f>
        <v>+</v>
      </c>
      <c r="AK263" s="71" t="b">
        <f>IF(A263&lt;&gt;"",OR(AI263&lt;&gt;AC263,AJ263&lt;&gt;AD263),"")</f>
        <v>0</v>
      </c>
      <c r="AL263" s="86">
        <f>IF(AND(A263&lt;&gt;"",U263&lt;&gt;""),SUM(U263,$AL$8)/$AL$2*100,"")</f>
        <v>92</v>
      </c>
      <c r="AM263" s="71">
        <f>IF(AND(A263&lt;&gt;"",V263&lt;&gt;""),SUM(V263,$AM$8)/$AM$2*100,"")</f>
        <v>92.307692307692307</v>
      </c>
      <c r="AN263" s="71">
        <f>IF(AND(A263&lt;&gt;"",ISNUMBER(P263),P263&gt;=0),SUM(P263,$AN$8)/$AN$2*100,"")</f>
        <v>20</v>
      </c>
      <c r="AO263" s="71" t="str">
        <f>IF(AND(A263&lt;&gt;"",ISNUMBER(Q263),Q263&gt;=0),SUM(Q263,$AO$8)/$AO$2*100,"")</f>
        <v/>
      </c>
      <c r="AP263" s="24" t="str">
        <f>IF(AND(A263&lt;&gt;"",R263&lt;&gt;""),SUM(R263,$AP$8)/$AP$2*100,"")</f>
        <v/>
      </c>
      <c r="AQ263" s="24">
        <f>IF(AND(A263&lt;&gt;"",ISNUMBER(W263),W263&gt;=0),SUM(W263,$AQ$8)/$AQ$2*100,"")</f>
        <v>20</v>
      </c>
      <c r="AR263" s="24" t="str">
        <f>IF(AND(A263&lt;&gt;"",T263&gt;0,ISNUMBER(T263)),SUM(T263,$AR$8)/$AR$2*100,"")</f>
        <v/>
      </c>
      <c r="AS263" s="24" t="str">
        <f>IF(AND(A263&lt;&gt;"",X263&lt;&gt;""),SUM(X263,$AS$8)/$AS$2*100,"")</f>
        <v/>
      </c>
      <c r="AT263" s="89">
        <f>IF(AND(A263&lt;&gt;"",OR(ISNUMBER(W263),ISNUMBER(X263))),SUM(W263:X263,$AT$8)/$AT$2*100,"")</f>
        <v>20</v>
      </c>
      <c r="AU263" s="24">
        <f>AA263</f>
        <v>68.852459016393439</v>
      </c>
      <c r="AV263" s="71"/>
      <c r="AW263" s="27">
        <f>IF(A263&lt;&gt;"",AE263-AA263,"")</f>
        <v>-48.852459016393439</v>
      </c>
      <c r="AY263" s="27" t="b">
        <f>S263&gt;R263</f>
        <v>0</v>
      </c>
      <c r="BA263" s="27" t="e">
        <f>AND(AA263&gt;$BA$3,(W263+$W$8)/$W$2&lt;$BB$3,(X263+$X$8)/$X$2&lt;$BB$3)</f>
        <v>#VALUE!</v>
      </c>
      <c r="BB263" s="27" t="e">
        <f>AND(AA263&lt;$BA$3,AND(W263/$W$2&gt;$BB$3,X263/$X$2&gt;$BB$3))</f>
        <v>#VALUE!</v>
      </c>
      <c r="BC263" s="27" t="e">
        <f>AND(AA263&lt;$BA$3,OR(W263/$W$2&gt;$BB$3,X263/$X$2&gt;$BB$3))</f>
        <v>#VALUE!</v>
      </c>
      <c r="BE263" s="32" t="s">
        <v>84</v>
      </c>
    </row>
    <row r="264" spans="1:57" s="27" customFormat="1" ht="12.75" customHeight="1" x14ac:dyDescent="0.2">
      <c r="A264" s="10">
        <v>509604</v>
      </c>
      <c r="B264" s="2">
        <v>24</v>
      </c>
      <c r="C264" s="10">
        <v>23</v>
      </c>
      <c r="D264" s="10">
        <v>25</v>
      </c>
      <c r="E264" s="10"/>
      <c r="F264" s="10"/>
      <c r="G264" s="10"/>
      <c r="H264" s="10"/>
      <c r="I264" s="10"/>
      <c r="J264" s="2">
        <v>31</v>
      </c>
      <c r="K264" s="10">
        <v>48</v>
      </c>
      <c r="L264" s="10">
        <v>50</v>
      </c>
      <c r="M264" s="10"/>
      <c r="N264" s="93"/>
      <c r="O264" s="13"/>
      <c r="P264" s="10">
        <v>101</v>
      </c>
      <c r="Q264" s="10"/>
      <c r="R264" s="2"/>
      <c r="S264" s="10"/>
      <c r="T264" s="13"/>
      <c r="U264" s="1">
        <f t="array" ref="U264">IF(AND(A264&lt;&gt;"",OR(ISNUMBER(B264:I264))),SUM(B264:I264),"")</f>
        <v>72</v>
      </c>
      <c r="V264" s="10">
        <f t="array" ref="V264">IF(AND(A264&lt;&gt;"",OR(ISNUMBER(J264:O264))),SUM(J264:O264),"")</f>
        <v>129</v>
      </c>
      <c r="W264" s="10">
        <f t="array" ref="W264">IF(AND(A264&lt;&gt;"",OR(ISNUMBER(P264),ISNUMBER(Q264))),SUM(MAX(P264:Q264),Q264),"")</f>
        <v>101</v>
      </c>
      <c r="X264" s="10" t="str">
        <f t="array" ref="X264">IF(AND(A264&lt;&gt;"",OR(ISNUMBER(S264),ISNUMBER(T264))),SUM(S264,T264),"")</f>
        <v/>
      </c>
      <c r="Y264" s="13">
        <v>1</v>
      </c>
      <c r="Z264" s="13">
        <f>IF(A264&lt;&gt;"",SUM(U264:Y264),"")</f>
        <v>303</v>
      </c>
      <c r="AA264" s="27">
        <f>IF(A264&lt;&gt;"",(Z264+Normalize_To_Add)/(Point_Total_So_Far)*100,"")</f>
        <v>99.344262295081961</v>
      </c>
      <c r="AB264" s="10">
        <f>IF(A264&lt;&gt;"",RANK(AA264,All_Student_XC),"")</f>
        <v>145</v>
      </c>
      <c r="AC264" s="32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2">
        <f>IF(A264&lt;&gt;"",SUM(W264:X264,$W$8:$X$8)/SUM($W$2:$X$2)*100,"")</f>
        <v>101</v>
      </c>
      <c r="AF264" s="32" t="str">
        <f>IF(A264&lt;&gt;"",CHOOSE(10-MIN(9,TRUNC((AE264+0.5)/10)),"A","B","C","D","F","F","F","F","F","F"),"")</f>
        <v>A</v>
      </c>
      <c r="AG264" s="32" t="str">
        <f>IF(A264&lt;&gt;"",IF(OR(AE264+0.5&gt;=93,AE264+0.5&lt;60),"",IF(MOD(AE264+0.5,10)&gt;=7,"+",IF(MOD(AE264+0.5,10)&lt;3,"-",""))),"")</f>
        <v/>
      </c>
      <c r="AH264" s="36">
        <f>IF(A264&lt;&gt;"",MIN(MAX(AA264,AE264),AA264+$AH$8,AE264+$AH$8),"")</f>
        <v>101</v>
      </c>
      <c r="AI264" s="32" t="str">
        <f>IF(A264&lt;&gt;"",CHOOSE(10-MIN(9,TRUNC((AH264+0.5)/10)),"A","B","C","D","F","F","F","F","F","F"),"")</f>
        <v>A</v>
      </c>
      <c r="AJ264" s="32" t="str">
        <f>IF(A264&lt;&gt;"",IF(OR(AH264+0.5&gt;=93,AH264+0.5&lt;60),"",IF(MOD(AH264+0.5,10)&gt;=7,"+",IF(MOD(AH264+0.5,10)&lt;3,"-",""))),"")</f>
        <v/>
      </c>
      <c r="AK264" s="71" t="b">
        <f>IF(A264&lt;&gt;"",OR(AI264&lt;&gt;AC264,AJ264&lt;&gt;AD264),"")</f>
        <v>0</v>
      </c>
      <c r="AL264" s="86">
        <f>IF(AND(A264&lt;&gt;"",U264&lt;&gt;""),SUM(U264,$AL$8)/$AL$2*100,"")</f>
        <v>96</v>
      </c>
      <c r="AM264" s="71">
        <f>IF(AND(A264&lt;&gt;"",V264&lt;&gt;""),SUM(V264,$AM$8)/$AM$2*100,"")</f>
        <v>99.230769230769226</v>
      </c>
      <c r="AN264" s="71">
        <f>IF(AND(A264&lt;&gt;"",ISNUMBER(P264),P264&gt;=0),SUM(P264,$AN$8)/$AN$2*100,"")</f>
        <v>101</v>
      </c>
      <c r="AO264" s="71" t="str">
        <f>IF(AND(A264&lt;&gt;"",ISNUMBER(Q264),Q264&gt;=0),SUM(Q264,$AO$8)/$AO$2*100,"")</f>
        <v/>
      </c>
      <c r="AP264" s="24" t="str">
        <f>IF(AND(A264&lt;&gt;"",R264&lt;&gt;""),SUM(R264,$AP$8)/$AP$2*100,"")</f>
        <v/>
      </c>
      <c r="AQ264" s="24">
        <f>IF(AND(A264&lt;&gt;"",ISNUMBER(W264),W264&gt;=0),SUM(W264,$AQ$8)/$AQ$2*100,"")</f>
        <v>101</v>
      </c>
      <c r="AR264" s="24" t="str">
        <f>IF(AND(A264&lt;&gt;"",T264&gt;0,ISNUMBER(T264)),SUM(T264,$AR$8)/$AR$2*100,"")</f>
        <v/>
      </c>
      <c r="AS264" s="24" t="str">
        <f>IF(AND(A264&lt;&gt;"",X264&lt;&gt;""),SUM(X264,$AS$8)/$AS$2*100,"")</f>
        <v/>
      </c>
      <c r="AT264" s="89">
        <f>IF(AND(A264&lt;&gt;"",OR(ISNUMBER(W264),ISNUMBER(X264))),SUM(W264:X264,$AT$8)/$AT$2*100,"")</f>
        <v>101</v>
      </c>
      <c r="AU264" s="24">
        <f>AA264</f>
        <v>99.344262295081961</v>
      </c>
      <c r="AV264" s="71"/>
      <c r="AW264" s="27">
        <f>IF(A264&lt;&gt;"",AE264-AA264,"")</f>
        <v>1.6557377049180388</v>
      </c>
      <c r="AY264" s="27" t="b">
        <f>S264&gt;R264</f>
        <v>0</v>
      </c>
      <c r="BA264" s="27" t="e">
        <f>AND(AA264&gt;$BA$3,(W264+$W$8)/$W$2&lt;$BB$3,(X264+$X$8)/$X$2&lt;$BB$3)</f>
        <v>#VALUE!</v>
      </c>
      <c r="BB264" s="27" t="e">
        <f>AND(AA264&lt;$BA$3,AND(W264/$W$2&gt;$BB$3,X264/$X$2&gt;$BB$3))</f>
        <v>#VALUE!</v>
      </c>
      <c r="BC264" s="27" t="e">
        <f>AND(AA264&lt;$BA$3,OR(W264/$W$2&gt;$BB$3,X264/$X$2&gt;$BB$3))</f>
        <v>#VALUE!</v>
      </c>
      <c r="BE264" s="32" t="s">
        <v>84</v>
      </c>
    </row>
    <row r="265" spans="1:57" s="27" customFormat="1" ht="12.75" customHeight="1" x14ac:dyDescent="0.2">
      <c r="A265" s="10">
        <v>510266</v>
      </c>
      <c r="B265" s="2">
        <v>14</v>
      </c>
      <c r="C265" s="10">
        <v>13</v>
      </c>
      <c r="D265" s="10">
        <v>20</v>
      </c>
      <c r="E265" s="10"/>
      <c r="F265" s="10"/>
      <c r="G265" s="10"/>
      <c r="H265" s="10"/>
      <c r="I265" s="10"/>
      <c r="J265" s="2">
        <v>28</v>
      </c>
      <c r="K265" s="10">
        <v>8</v>
      </c>
      <c r="L265" s="10">
        <v>45</v>
      </c>
      <c r="M265" s="10"/>
      <c r="N265" s="10"/>
      <c r="O265" s="12"/>
      <c r="P265" s="10">
        <v>101</v>
      </c>
      <c r="Q265" s="41"/>
      <c r="R265" s="2"/>
      <c r="S265" s="10"/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81</v>
      </c>
      <c r="W265" s="10">
        <f t="array" ref="W265">IF(AND(A265&lt;&gt;"",OR(ISNUMBER(P265),ISNUMBER(Q265))),SUM(MAX(P265:Q265),Q265),"")</f>
        <v>101</v>
      </c>
      <c r="X265" s="10" t="str">
        <f t="array" ref="X265">IF(AND(A265&lt;&gt;"",OR(ISNUMBER(S265),ISNUMBER(T265))),SUM(S265,T265),"")</f>
        <v/>
      </c>
      <c r="Y265" s="13">
        <v>1</v>
      </c>
      <c r="Z265" s="13">
        <f>IF(A265&lt;&gt;"",SUM(U265:Y265),"")</f>
        <v>230</v>
      </c>
      <c r="AA265" s="27">
        <f>IF(A265&lt;&gt;"",(Z265+Normalize_To_Add)/(Point_Total_So_Far)*100,"")</f>
        <v>75.409836065573771</v>
      </c>
      <c r="AB265" s="10">
        <f>IF(A265&lt;&gt;"",RANK(AA265,All_Student_XC),"")</f>
        <v>436</v>
      </c>
      <c r="AC265" s="32" t="str">
        <f>IF(A265&lt;&gt;"",CHOOSE(10-MIN(9,TRUNC((AA265+0.5)/10)),"A","B","C","D","F","F","F","F","F","F"),"")</f>
        <v>C</v>
      </c>
      <c r="AD265" s="32" t="str">
        <f>IF(A265&lt;&gt;"",IF(OR(AA265+0.5&gt;=93,AA265+0.5&lt;60),"",IF(MOD(AA265+0.5,10)&gt;=7,"+",IF(MOD(AA265+0.5,10)&lt;3,"-",""))),"")</f>
        <v/>
      </c>
      <c r="AE265" s="32">
        <f>IF(A265&lt;&gt;"",SUM(W265:X265,$W$8:$X$8)/SUM($W$2:$X$2)*100,"")</f>
        <v>101</v>
      </c>
      <c r="AF265" s="32" t="str">
        <f>IF(A265&lt;&gt;"",CHOOSE(10-MIN(9,TRUNC((AE265+0.5)/10)),"A","B","C","D","F","F","F","F","F","F"),"")</f>
        <v>A</v>
      </c>
      <c r="AG265" s="32" t="str">
        <f>IF(A265&lt;&gt;"",IF(OR(AE265+0.5&gt;=93,AE265+0.5&lt;60),"",IF(MOD(AE265+0.5,10)&gt;=7,"+",IF(MOD(AE265+0.5,10)&lt;3,"-",""))),"")</f>
        <v/>
      </c>
      <c r="AH265" s="36">
        <f>IF(A265&lt;&gt;"",MIN(MAX(AA265,AE265),AA265+$AH$8,AE265+$AH$8),"")</f>
        <v>101</v>
      </c>
      <c r="AI265" s="32" t="str">
        <f>IF(A265&lt;&gt;"",CHOOSE(10-MIN(9,TRUNC((AH265+0.5)/10)),"A","B","C","D","F","F","F","F","F","F"),"")</f>
        <v>A</v>
      </c>
      <c r="AJ265" s="32" t="str">
        <f>IF(A265&lt;&gt;"",IF(OR(AH265+0.5&gt;=93,AH265+0.5&lt;60),"",IF(MOD(AH265+0.5,10)&gt;=7,"+",IF(MOD(AH265+0.5,10)&lt;3,"-",""))),"")</f>
        <v/>
      </c>
      <c r="AK265" s="32" t="b">
        <f>IF(A265&lt;&gt;"",OR(AI265&lt;&gt;AC265,AJ265&lt;&gt;AD265),"")</f>
        <v>1</v>
      </c>
      <c r="AL265" s="84">
        <f>IF(AND(A265&lt;&gt;"",U265&lt;&gt;""),SUM(U265,$AL$8)/$AL$2*100,"")</f>
        <v>62.666666666666671</v>
      </c>
      <c r="AM265" s="24">
        <f>IF(AND(A265&lt;&gt;"",V265&lt;&gt;""),SUM(V265,$AM$8)/$AM$2*100,"")</f>
        <v>62.307692307692307</v>
      </c>
      <c r="AN265" s="24">
        <f>IF(AND(A265&lt;&gt;"",ISNUMBER(P265),P265&gt;=0),SUM(P265,$AN$8)/$AN$2*100,"")</f>
        <v>101</v>
      </c>
      <c r="AO265" s="24" t="str">
        <f>IF(AND(A265&lt;&gt;"",ISNUMBER(Q265),Q265&gt;=0),SUM(Q265,$AO$8)/$AO$2*100,"")</f>
        <v/>
      </c>
      <c r="AP265" s="24" t="str">
        <f>IF(AND(A265&lt;&gt;"",R265&lt;&gt;""),SUM(R265,$AP$8)/$AP$2*100,"")</f>
        <v/>
      </c>
      <c r="AQ265" s="24">
        <f>IF(AND(A265&lt;&gt;"",ISNUMBER(W265),W265&gt;=0),SUM(W265,$AQ$8)/$AQ$2*100,"")</f>
        <v>101</v>
      </c>
      <c r="AR265" s="24" t="str">
        <f>IF(AND(A265&lt;&gt;"",T265&gt;0,ISNUMBER(T265)),SUM(T265,$AR$8)/$AR$2*100,"")</f>
        <v/>
      </c>
      <c r="AS265" s="24" t="str">
        <f>IF(AND(A265&lt;&gt;"",X265&lt;&gt;""),SUM(X265,$AS$8)/$AS$2*100,"")</f>
        <v/>
      </c>
      <c r="AT265" s="89">
        <f>IF(AND(A265&lt;&gt;"",OR(ISNUMBER(W265),ISNUMBER(X265))),SUM(W265:X265,$AT$8)/$AT$2*100,"")</f>
        <v>101</v>
      </c>
      <c r="AU265" s="24">
        <f>AA265</f>
        <v>75.409836065573771</v>
      </c>
      <c r="AV265" s="24"/>
      <c r="AW265" s="27">
        <f>IF(A265&lt;&gt;"",AE265-AA265,"")</f>
        <v>25.590163934426229</v>
      </c>
      <c r="AY265" s="27" t="b">
        <f>S265&gt;R265</f>
        <v>0</v>
      </c>
      <c r="BA265" s="27" t="e">
        <f>AND(AA265&gt;$BA$3,(W265+$W$8)/$W$2&lt;$BB$3,(X265+$X$8)/$X$2&lt;$BB$3)</f>
        <v>#VALUE!</v>
      </c>
      <c r="BB265" s="27" t="e">
        <f>AND(AA265&lt;$BA$3,AND(W265/$W$2&gt;$BB$3,X265/$X$2&gt;$BB$3))</f>
        <v>#VALUE!</v>
      </c>
      <c r="BC265" s="27" t="e">
        <f>AND(AA265&lt;$BA$3,OR(W265/$W$2&gt;$BB$3,X265/$X$2&gt;$BB$3))</f>
        <v>#VALUE!</v>
      </c>
      <c r="BE265" s="32" t="s">
        <v>84</v>
      </c>
    </row>
    <row r="266" spans="1:57" s="27" customFormat="1" ht="12.75" customHeight="1" x14ac:dyDescent="0.2">
      <c r="A266" s="10">
        <v>510315</v>
      </c>
      <c r="B266" s="2">
        <v>17</v>
      </c>
      <c r="C266" s="10">
        <v>25</v>
      </c>
      <c r="D266" s="10">
        <v>25</v>
      </c>
      <c r="E266" s="10"/>
      <c r="F266" s="10"/>
      <c r="G266" s="3"/>
      <c r="H266" s="10"/>
      <c r="I266" s="10"/>
      <c r="J266" s="2">
        <v>30</v>
      </c>
      <c r="K266" s="10">
        <v>44</v>
      </c>
      <c r="L266" s="10">
        <v>50</v>
      </c>
      <c r="M266" s="10"/>
      <c r="N266" s="10"/>
      <c r="O266" s="12"/>
      <c r="P266" s="41">
        <v>101</v>
      </c>
      <c r="Q266" s="41"/>
      <c r="R266" s="2"/>
      <c r="S266" s="10"/>
      <c r="T266" s="13"/>
      <c r="U266" s="1">
        <f t="array" ref="U266">IF(AND(A266&lt;&gt;"",OR(ISNUMBER(B266:I266))),SUM(B266:I266),"")</f>
        <v>67</v>
      </c>
      <c r="V266" s="10">
        <f t="array" ref="V266">IF(AND(A266&lt;&gt;"",OR(ISNUMBER(J266:O266))),SUM(J266:O266),"")</f>
        <v>124</v>
      </c>
      <c r="W266" s="10">
        <f t="array" ref="W266">IF(AND(A266&lt;&gt;"",OR(ISNUMBER(P266),ISNUMBER(Q266))),SUM(MAX(P266:Q266),Q266),"")</f>
        <v>101</v>
      </c>
      <c r="X266" s="10" t="str">
        <f t="array" ref="X266">IF(AND(A266&lt;&gt;"",OR(ISNUMBER(S266),ISNUMBER(T266))),SUM(S266,T266),"")</f>
        <v/>
      </c>
      <c r="Y266" s="13">
        <v>1</v>
      </c>
      <c r="Z266" s="13">
        <f>IF(A266&lt;&gt;"",SUM(U266:Y266),"")</f>
        <v>293</v>
      </c>
      <c r="AA266" s="27">
        <f>IF(A266&lt;&gt;"",(Z266+Normalize_To_Add)/(Point_Total_So_Far)*100,"")</f>
        <v>96.06557377049181</v>
      </c>
      <c r="AB266" s="10">
        <f>IF(A266&lt;&gt;"",RANK(AA266,All_Student_XC),"")</f>
        <v>256</v>
      </c>
      <c r="AC266" s="32" t="str">
        <f>IF(A266&lt;&gt;"",CHOOSE(10-MIN(9,TRUNC((AA266+0.5)/10)),"A","B","C","D","F","F","F","F","F","F"),"")</f>
        <v>A</v>
      </c>
      <c r="AD266" s="32" t="str">
        <f>IF(A266&lt;&gt;"",IF(OR(AA266+0.5&gt;=93,AA266+0.5&lt;60),"",IF(MOD(AA266+0.5,10)&gt;=7,"+",IF(MOD(AA266+0.5,10)&lt;3,"-",""))),"")</f>
        <v/>
      </c>
      <c r="AE266" s="32">
        <f>IF(A266&lt;&gt;"",SUM(W266:X266,$W$8:$X$8)/SUM($W$2:$X$2)*100,"")</f>
        <v>101</v>
      </c>
      <c r="AF266" s="32" t="str">
        <f>IF(A266&lt;&gt;"",CHOOSE(10-MIN(9,TRUNC((AE266+0.5)/10)),"A","B","C","D","F","F","F","F","F","F"),"")</f>
        <v>A</v>
      </c>
      <c r="AG266" s="32" t="str">
        <f>IF(A266&lt;&gt;"",IF(OR(AE266+0.5&gt;=93,AE266+0.5&lt;60),"",IF(MOD(AE266+0.5,10)&gt;=7,"+",IF(MOD(AE266+0.5,10)&lt;3,"-",""))),"")</f>
        <v/>
      </c>
      <c r="AH266" s="36">
        <f>IF(A266&lt;&gt;"",MIN(MAX(AA266,AE266),AA266+$AH$8,AE266+$AH$8),"")</f>
        <v>101</v>
      </c>
      <c r="AI266" s="32" t="str">
        <f>IF(A266&lt;&gt;"",CHOOSE(10-MIN(9,TRUNC((AH266+0.5)/10)),"A","B","C","D","F","F","F","F","F","F"),"")</f>
        <v>A</v>
      </c>
      <c r="AJ266" s="32" t="str">
        <f>IF(A266&lt;&gt;"",IF(OR(AH266+0.5&gt;=93,AH266+0.5&lt;60),"",IF(MOD(AH266+0.5,10)&gt;=7,"+",IF(MOD(AH266+0.5,10)&lt;3,"-",""))),"")</f>
        <v/>
      </c>
      <c r="AK266" s="32" t="b">
        <f>IF(A266&lt;&gt;"",OR(AI266&lt;&gt;AC266,AJ266&lt;&gt;AD266),"")</f>
        <v>0</v>
      </c>
      <c r="AL266" s="84">
        <f>IF(AND(A266&lt;&gt;"",U266&lt;&gt;""),SUM(U266,$AL$8)/$AL$2*100,"")</f>
        <v>89.333333333333329</v>
      </c>
      <c r="AM266" s="24">
        <f>IF(AND(A266&lt;&gt;"",V266&lt;&gt;""),SUM(V266,$AM$8)/$AM$2*100,"")</f>
        <v>95.384615384615387</v>
      </c>
      <c r="AN266" s="24">
        <f>IF(AND(A266&lt;&gt;"",ISNUMBER(P266),P266&gt;=0),SUM(P266,$AN$8)/$AN$2*100,"")</f>
        <v>101</v>
      </c>
      <c r="AO266" s="24" t="str">
        <f>IF(AND(A266&lt;&gt;"",ISNUMBER(Q266),Q266&gt;=0),SUM(Q266,$AO$8)/$AO$2*100,"")</f>
        <v/>
      </c>
      <c r="AP266" s="24" t="str">
        <f>IF(AND(A266&lt;&gt;"",R266&lt;&gt;""),SUM(R266,$AP$8)/$AP$2*100,"")</f>
        <v/>
      </c>
      <c r="AQ266" s="24">
        <f>IF(AND(A266&lt;&gt;"",ISNUMBER(W266),W266&gt;=0),SUM(W266,$AQ$8)/$AQ$2*100,"")</f>
        <v>101</v>
      </c>
      <c r="AR266" s="24" t="str">
        <f>IF(AND(A266&lt;&gt;"",T266&gt;0,ISNUMBER(T266)),SUM(T266,$AR$8)/$AR$2*100,"")</f>
        <v/>
      </c>
      <c r="AS266" s="24" t="str">
        <f>IF(AND(A266&lt;&gt;"",X266&lt;&gt;""),SUM(X266,$AS$8)/$AS$2*100,"")</f>
        <v/>
      </c>
      <c r="AT266" s="89">
        <f>IF(AND(A266&lt;&gt;"",OR(ISNUMBER(W266),ISNUMBER(X266))),SUM(W266:X266,$AT$8)/$AT$2*100,"")</f>
        <v>101</v>
      </c>
      <c r="AU266" s="24">
        <f>AA266</f>
        <v>96.06557377049181</v>
      </c>
      <c r="AV266" s="24"/>
      <c r="AW266" s="27">
        <f>IF(A266&lt;&gt;"",AE266-AA266,"")</f>
        <v>4.9344262295081904</v>
      </c>
      <c r="AY266" s="27" t="b">
        <f>S266&gt;R266</f>
        <v>0</v>
      </c>
      <c r="BA266" s="27" t="e">
        <f>AND(AA266&gt;$BA$3,(W266+$W$8)/$W$2&lt;$BB$3,(X266+$X$8)/$X$2&lt;$BB$3)</f>
        <v>#VALUE!</v>
      </c>
      <c r="BB266" s="27" t="e">
        <f>AND(AA266&lt;$BA$3,AND(W266/$W$2&gt;$BB$3,X266/$X$2&gt;$BB$3))</f>
        <v>#VALUE!</v>
      </c>
      <c r="BC266" s="27" t="e">
        <f>AND(AA266&lt;$BA$3,OR(W266/$W$2&gt;$BB$3,X266/$X$2&gt;$BB$3))</f>
        <v>#VALUE!</v>
      </c>
      <c r="BE266" s="32" t="s">
        <v>84</v>
      </c>
    </row>
    <row r="267" spans="1:57" s="27" customFormat="1" ht="12.75" customHeight="1" x14ac:dyDescent="0.2">
      <c r="A267" s="10">
        <v>511502</v>
      </c>
      <c r="B267" s="2">
        <v>23</v>
      </c>
      <c r="C267" s="10">
        <v>24</v>
      </c>
      <c r="D267" s="10">
        <v>25</v>
      </c>
      <c r="E267" s="10"/>
      <c r="F267" s="10"/>
      <c r="G267" s="10"/>
      <c r="H267" s="10"/>
      <c r="I267" s="10"/>
      <c r="J267" s="2">
        <v>30</v>
      </c>
      <c r="K267" s="10">
        <v>48</v>
      </c>
      <c r="L267" s="10">
        <v>51</v>
      </c>
      <c r="M267" s="10"/>
      <c r="N267" s="93"/>
      <c r="O267" s="12"/>
      <c r="P267" s="10">
        <v>101</v>
      </c>
      <c r="Q267" s="10"/>
      <c r="R267" s="2"/>
      <c r="S267" s="10"/>
      <c r="T267" s="13"/>
      <c r="U267" s="1">
        <f t="array" ref="U267">IF(AND(A267&lt;&gt;"",OR(ISNUMBER(B267:I267))),SUM(B267:I267),"")</f>
        <v>72</v>
      </c>
      <c r="V267" s="10">
        <f t="array" ref="V267">IF(AND(A267&lt;&gt;"",OR(ISNUMBER(J267:O267))),SUM(J267:O267),"")</f>
        <v>129</v>
      </c>
      <c r="W267" s="10">
        <f t="array" ref="W267">IF(AND(A267&lt;&gt;"",OR(ISNUMBER(P267),ISNUMBER(Q267))),SUM(MAX(P267:Q267),Q267),"")</f>
        <v>101</v>
      </c>
      <c r="X267" s="10" t="str">
        <f t="array" ref="X267">IF(AND(A267&lt;&gt;"",OR(ISNUMBER(S267),ISNUMBER(T267))),SUM(S267,T267),"")</f>
        <v/>
      </c>
      <c r="Y267" s="13">
        <v>1</v>
      </c>
      <c r="Z267" s="13">
        <f>IF(A267&lt;&gt;"",SUM(U267:Y267),"")</f>
        <v>303</v>
      </c>
      <c r="AA267" s="27">
        <f>IF(A267&lt;&gt;"",(Z267+Normalize_To_Add)/(Point_Total_So_Far)*100,"")</f>
        <v>99.344262295081961</v>
      </c>
      <c r="AB267" s="10">
        <f>IF(A267&lt;&gt;"",RANK(AA267,All_Student_XC),"")</f>
        <v>145</v>
      </c>
      <c r="AC267" s="32" t="str">
        <f>IF(A267&lt;&gt;"",CHOOSE(10-MIN(9,TRUNC((AA267+0.5)/10)),"A","B","C","D","F","F","F","F","F","F"),"")</f>
        <v>A</v>
      </c>
      <c r="AD267" s="31" t="str">
        <f>IF(A267&lt;&gt;"",IF(OR(AA267+0.5&gt;=93,AA267+0.5&lt;60),"",IF(MOD(AA267+0.5,10)&gt;=7,"+",IF(MOD(AA267+0.5,10)&lt;3,"-",""))),"")</f>
        <v/>
      </c>
      <c r="AE267" s="32">
        <f>IF(A267&lt;&gt;"",SUM(W267:X267,$W$8:$X$8)/SUM($W$2:$X$2)*100,"")</f>
        <v>101</v>
      </c>
      <c r="AF267" s="32" t="str">
        <f>IF(A267&lt;&gt;"",CHOOSE(10-MIN(9,TRUNC((AE267+0.5)/10)),"A","B","C","D","F","F","F","F","F","F"),"")</f>
        <v>A</v>
      </c>
      <c r="AG267" s="32" t="str">
        <f>IF(A267&lt;&gt;"",IF(OR(AE267+0.5&gt;=93,AE267+0.5&lt;60),"",IF(MOD(AE267+0.5,10)&gt;=7,"+",IF(MOD(AE267+0.5,10)&lt;3,"-",""))),"")</f>
        <v/>
      </c>
      <c r="AH267" s="36">
        <f>IF(A267&lt;&gt;"",MIN(MAX(AA267,AE267),AA267+$AH$8,AE267+$AH$8),"")</f>
        <v>101</v>
      </c>
      <c r="AI267" s="32" t="str">
        <f>IF(A267&lt;&gt;"",CHOOSE(10-MIN(9,TRUNC((AH267+0.5)/10)),"A","B","C","D","F","F","F","F","F","F"),"")</f>
        <v>A</v>
      </c>
      <c r="AJ267" s="32" t="str">
        <f>IF(A267&lt;&gt;"",IF(OR(AH267+0.5&gt;=93,AH267+0.5&lt;60),"",IF(MOD(AH267+0.5,10)&gt;=7,"+",IF(MOD(AH267+0.5,10)&lt;3,"-",""))),"")</f>
        <v/>
      </c>
      <c r="AK267" s="71" t="b">
        <f>IF(A267&lt;&gt;"",OR(AI267&lt;&gt;AC267,AJ267&lt;&gt;AD267),"")</f>
        <v>0</v>
      </c>
      <c r="AL267" s="86">
        <f>IF(AND(A267&lt;&gt;"",U267&lt;&gt;""),SUM(U267,$AL$8)/$AL$2*100,"")</f>
        <v>96</v>
      </c>
      <c r="AM267" s="71">
        <f>IF(AND(A267&lt;&gt;"",V267&lt;&gt;""),SUM(V267,$AM$8)/$AM$2*100,"")</f>
        <v>99.230769230769226</v>
      </c>
      <c r="AN267" s="71">
        <f>IF(AND(A267&lt;&gt;"",ISNUMBER(P267),P267&gt;=0),SUM(P267,$AN$8)/$AN$2*100,"")</f>
        <v>101</v>
      </c>
      <c r="AO267" s="71" t="str">
        <f>IF(AND(A267&lt;&gt;"",ISNUMBER(Q267),Q267&gt;=0),SUM(Q267,$AO$8)/$AO$2*100,"")</f>
        <v/>
      </c>
      <c r="AP267" s="24" t="str">
        <f>IF(AND(A267&lt;&gt;"",R267&lt;&gt;""),SUM(R267,$AP$8)/$AP$2*100,"")</f>
        <v/>
      </c>
      <c r="AQ267" s="24">
        <f>IF(AND(A267&lt;&gt;"",ISNUMBER(W267),W267&gt;=0),SUM(W267,$AQ$8)/$AQ$2*100,"")</f>
        <v>101</v>
      </c>
      <c r="AR267" s="24" t="str">
        <f>IF(AND(A267&lt;&gt;"",T267&gt;0,ISNUMBER(T267)),SUM(T267,$AR$8)/$AR$2*100,"")</f>
        <v/>
      </c>
      <c r="AS267" s="24" t="str">
        <f>IF(AND(A267&lt;&gt;"",X267&lt;&gt;""),SUM(X267,$AS$8)/$AS$2*100,"")</f>
        <v/>
      </c>
      <c r="AT267" s="89">
        <f>IF(AND(A267&lt;&gt;"",OR(ISNUMBER(W267),ISNUMBER(X267))),SUM(W267:X267,$AT$8)/$AT$2*100,"")</f>
        <v>101</v>
      </c>
      <c r="AU267" s="24">
        <f>AA267</f>
        <v>99.344262295081961</v>
      </c>
      <c r="AV267" s="71"/>
      <c r="AW267" s="27">
        <f>IF(A267&lt;&gt;"",AE267-AA267,"")</f>
        <v>1.6557377049180388</v>
      </c>
      <c r="AY267" s="27" t="b">
        <f>S267&gt;R267</f>
        <v>0</v>
      </c>
      <c r="BA267" s="27" t="e">
        <f>AND(AA267&gt;$BA$3,(W267+$W$8)/$W$2&lt;$BB$3,(X267+$X$8)/$X$2&lt;$BB$3)</f>
        <v>#VALUE!</v>
      </c>
      <c r="BB267" s="27" t="e">
        <f>AND(AA267&lt;$BA$3,AND(W267/$W$2&gt;$BB$3,X267/$X$2&gt;$BB$3))</f>
        <v>#VALUE!</v>
      </c>
      <c r="BC267" s="27" t="e">
        <f>AND(AA267&lt;$BA$3,OR(W267/$W$2&gt;$BB$3,X267/$X$2&gt;$BB$3))</f>
        <v>#VALUE!</v>
      </c>
      <c r="BE267" s="32" t="s">
        <v>84</v>
      </c>
    </row>
    <row r="268" spans="1:57" s="27" customFormat="1" ht="12.75" customHeight="1" x14ac:dyDescent="0.2">
      <c r="A268" s="10">
        <v>513025</v>
      </c>
      <c r="B268" s="2">
        <v>9</v>
      </c>
      <c r="C268" s="10">
        <v>22</v>
      </c>
      <c r="D268" s="10">
        <v>25</v>
      </c>
      <c r="E268" s="10"/>
      <c r="F268" s="10"/>
      <c r="G268" s="10"/>
      <c r="H268" s="10"/>
      <c r="I268" s="10"/>
      <c r="J268" s="2">
        <v>27</v>
      </c>
      <c r="K268" s="10">
        <v>40</v>
      </c>
      <c r="L268" s="10">
        <v>50</v>
      </c>
      <c r="M268" s="10"/>
      <c r="N268" s="10"/>
      <c r="O268" s="12"/>
      <c r="P268" s="41">
        <v>101</v>
      </c>
      <c r="Q268" s="41"/>
      <c r="R268" s="2"/>
      <c r="S268" s="10"/>
      <c r="T268" s="13"/>
      <c r="U268" s="1">
        <f t="array" ref="U268">IF(AND(A268&lt;&gt;"",OR(ISNUMBER(B268:I268))),SUM(B268:I268),"")</f>
        <v>56</v>
      </c>
      <c r="V268" s="10">
        <f t="array" ref="V268">IF(AND(A268&lt;&gt;"",OR(ISNUMBER(J268:O268))),SUM(J268:O268),"")</f>
        <v>117</v>
      </c>
      <c r="W268" s="10">
        <f t="array" ref="W268">IF(AND(A268&lt;&gt;"",OR(ISNUMBER(P268),ISNUMBER(Q268))),SUM(MAX(P268:Q268),Q268),"")</f>
        <v>101</v>
      </c>
      <c r="X268" s="10" t="str">
        <f t="array" ref="X268">IF(AND(A268&lt;&gt;"",OR(ISNUMBER(S268),ISNUMBER(T268))),SUM(S268,T268),"")</f>
        <v/>
      </c>
      <c r="Y268" s="13">
        <v>1</v>
      </c>
      <c r="Z268" s="13">
        <f>IF(A268&lt;&gt;"",SUM(U268:Y268),"")</f>
        <v>275</v>
      </c>
      <c r="AA268" s="27">
        <f>IF(A268&lt;&gt;"",(Z268+Normalize_To_Add)/(Point_Total_So_Far)*100,"")</f>
        <v>90.163934426229503</v>
      </c>
      <c r="AB268" s="10">
        <f>IF(A268&lt;&gt;"",RANK(AA268,All_Student_XC),"")</f>
        <v>335</v>
      </c>
      <c r="AC268" s="32" t="str">
        <f>IF(A268&lt;&gt;"",CHOOSE(10-MIN(9,TRUNC((AA268+0.5)/10)),"A","B","C","D","F","F","F","F","F","F"),"")</f>
        <v>A</v>
      </c>
      <c r="AD268" s="32" t="str">
        <f>IF(A268&lt;&gt;"",IF(OR(AA268+0.5&gt;=93,AA268+0.5&lt;60),"",IF(MOD(AA268+0.5,10)&gt;=7,"+",IF(MOD(AA268+0.5,10)&lt;3,"-",""))),"")</f>
        <v>-</v>
      </c>
      <c r="AE268" s="32">
        <f>IF(A268&lt;&gt;"",SUM(W268:X268,$W$8:$X$8)/SUM($W$2:$X$2)*100,"")</f>
        <v>101</v>
      </c>
      <c r="AF268" s="32" t="str">
        <f>IF(A268&lt;&gt;"",CHOOSE(10-MIN(9,TRUNC((AE268+0.5)/10)),"A","B","C","D","F","F","F","F","F","F"),"")</f>
        <v>A</v>
      </c>
      <c r="AG268" s="32" t="str">
        <f>IF(A268&lt;&gt;"",IF(OR(AE268+0.5&gt;=93,AE268+0.5&lt;60),"",IF(MOD(AE268+0.5,10)&gt;=7,"+",IF(MOD(AE268+0.5,10)&lt;3,"-",""))),"")</f>
        <v/>
      </c>
      <c r="AH268" s="36">
        <f>IF(A268&lt;&gt;"",MIN(MAX(AA268,AE268),AA268+$AH$8,AE268+$AH$8),"")</f>
        <v>101</v>
      </c>
      <c r="AI268" s="32" t="str">
        <f>IF(A268&lt;&gt;"",CHOOSE(10-MIN(9,TRUNC((AH268+0.5)/10)),"A","B","C","D","F","F","F","F","F","F"),"")</f>
        <v>A</v>
      </c>
      <c r="AJ268" s="32" t="str">
        <f>IF(A268&lt;&gt;"",IF(OR(AH268+0.5&gt;=93,AH268+0.5&lt;60),"",IF(MOD(AH268+0.5,10)&gt;=7,"+",IF(MOD(AH268+0.5,10)&lt;3,"-",""))),"")</f>
        <v/>
      </c>
      <c r="AK268" s="32" t="b">
        <f>IF(A268&lt;&gt;"",OR(AI268&lt;&gt;AC268,AJ268&lt;&gt;AD268),"")</f>
        <v>1</v>
      </c>
      <c r="AL268" s="84">
        <f>IF(AND(A268&lt;&gt;"",U268&lt;&gt;""),SUM(U268,$AL$8)/$AL$2*100,"")</f>
        <v>74.666666666666671</v>
      </c>
      <c r="AM268" s="24">
        <f>IF(AND(A268&lt;&gt;"",V268&lt;&gt;""),SUM(V268,$AM$8)/$AM$2*100,"")</f>
        <v>90</v>
      </c>
      <c r="AN268" s="24">
        <f>IF(AND(A268&lt;&gt;"",ISNUMBER(P268),P268&gt;=0),SUM(P268,$AN$8)/$AN$2*100,"")</f>
        <v>101</v>
      </c>
      <c r="AO268" s="24" t="str">
        <f>IF(AND(A268&lt;&gt;"",ISNUMBER(Q268),Q268&gt;=0),SUM(Q268,$AO$8)/$AO$2*100,"")</f>
        <v/>
      </c>
      <c r="AP268" s="24" t="str">
        <f>IF(AND(A268&lt;&gt;"",R268&lt;&gt;""),SUM(R268,$AP$8)/$AP$2*100,"")</f>
        <v/>
      </c>
      <c r="AQ268" s="24">
        <f>IF(AND(A268&lt;&gt;"",ISNUMBER(W268),W268&gt;=0),SUM(W268,$AQ$8)/$AQ$2*100,"")</f>
        <v>101</v>
      </c>
      <c r="AR268" s="24" t="str">
        <f>IF(AND(A268&lt;&gt;"",T268&gt;0,ISNUMBER(T268)),SUM(T268,$AR$8)/$AR$2*100,"")</f>
        <v/>
      </c>
      <c r="AS268" s="24" t="str">
        <f>IF(AND(A268&lt;&gt;"",X268&lt;&gt;""),SUM(X268,$AS$8)/$AS$2*100,"")</f>
        <v/>
      </c>
      <c r="AT268" s="89">
        <f>IF(AND(A268&lt;&gt;"",OR(ISNUMBER(W268),ISNUMBER(X268))),SUM(W268:X268,$AT$8)/$AT$2*100,"")</f>
        <v>101</v>
      </c>
      <c r="AU268" s="24">
        <f>AA268</f>
        <v>90.163934426229503</v>
      </c>
      <c r="AV268" s="24"/>
      <c r="AW268" s="27">
        <f>IF(A268&lt;&gt;"",AE268-AA268,"")</f>
        <v>10.836065573770497</v>
      </c>
      <c r="AY268" s="27" t="b">
        <f>S268&gt;R268</f>
        <v>0</v>
      </c>
      <c r="BA268" s="27" t="e">
        <f>AND(AA268&gt;$BA$3,(W268+$W$8)/$W$2&lt;$BB$3,(X268+$X$8)/$X$2&lt;$BB$3)</f>
        <v>#VALUE!</v>
      </c>
      <c r="BB268" s="27" t="e">
        <f>AND(AA268&lt;$BA$3,AND(W268/$W$2&gt;$BB$3,X268/$X$2&gt;$BB$3))</f>
        <v>#VALUE!</v>
      </c>
      <c r="BC268" s="27" t="e">
        <f>AND(AA268&lt;$BA$3,OR(W268/$W$2&gt;$BB$3,X268/$X$2&gt;$BB$3))</f>
        <v>#VALUE!</v>
      </c>
      <c r="BE268" s="32" t="s">
        <v>84</v>
      </c>
    </row>
    <row r="269" spans="1:57" s="27" customFormat="1" ht="12.75" customHeight="1" x14ac:dyDescent="0.2">
      <c r="A269" s="10">
        <v>523381</v>
      </c>
      <c r="B269" s="2">
        <v>19</v>
      </c>
      <c r="C269" s="10">
        <v>21</v>
      </c>
      <c r="D269" s="10">
        <v>25</v>
      </c>
      <c r="E269" s="10"/>
      <c r="F269" s="10"/>
      <c r="G269" s="10"/>
      <c r="H269" s="10"/>
      <c r="I269" s="10"/>
      <c r="J269" s="2">
        <v>29</v>
      </c>
      <c r="K269" s="10">
        <v>10</v>
      </c>
      <c r="L269" s="10">
        <v>51</v>
      </c>
      <c r="M269" s="10"/>
      <c r="N269" s="93"/>
      <c r="O269" s="13"/>
      <c r="P269" s="10">
        <v>100</v>
      </c>
      <c r="Q269" s="10"/>
      <c r="R269" s="2"/>
      <c r="S269" s="10"/>
      <c r="T269" s="13"/>
      <c r="U269" s="1">
        <f t="array" ref="U269">IF(AND(A269&lt;&gt;"",OR(ISNUMBER(B269:I269))),SUM(B269:I269),"")</f>
        <v>65</v>
      </c>
      <c r="V269" s="10">
        <f t="array" ref="V269">IF(AND(A269&lt;&gt;"",OR(ISNUMBER(J269:O269))),SUM(J269:O269),"")</f>
        <v>90</v>
      </c>
      <c r="W269" s="10">
        <f t="array" ref="W269">IF(AND(A269&lt;&gt;"",OR(ISNUMBER(P269),ISNUMBER(Q269))),SUM(MAX(P269:Q269),Q269),"")</f>
        <v>100</v>
      </c>
      <c r="X269" s="10" t="str">
        <f t="array" ref="X269">IF(AND(A269&lt;&gt;"",OR(ISNUMBER(S269),ISNUMBER(T269))),SUM(S269,T269),"")</f>
        <v/>
      </c>
      <c r="Y269" s="13">
        <v>1</v>
      </c>
      <c r="Z269" s="13">
        <f>IF(A269&lt;&gt;"",SUM(U269:Y269),"")</f>
        <v>256</v>
      </c>
      <c r="AA269" s="27">
        <f>IF(A269&lt;&gt;"",(Z269+Normalize_To_Add)/(Point_Total_So_Far)*100,"")</f>
        <v>83.93442622950819</v>
      </c>
      <c r="AB269" s="10">
        <f>IF(A269&lt;&gt;"",RANK(AA269,All_Student_XC),"")</f>
        <v>381</v>
      </c>
      <c r="AC269" s="32" t="str">
        <f>IF(A269&lt;&gt;"",CHOOSE(10-MIN(9,TRUNC((AA269+0.5)/10)),"A","B","C","D","F","F","F","F","F","F"),"")</f>
        <v>B</v>
      </c>
      <c r="AD269" s="31" t="str">
        <f>IF(A269&lt;&gt;"",IF(OR(AA269+0.5&gt;=93,AA269+0.5&lt;60),"",IF(MOD(AA269+0.5,10)&gt;=7,"+",IF(MOD(AA269+0.5,10)&lt;3,"-",""))),"")</f>
        <v/>
      </c>
      <c r="AE269" s="32">
        <f>IF(A269&lt;&gt;"",SUM(W269:X269,$W$8:$X$8)/SUM($W$2:$X$2)*100,"")</f>
        <v>100</v>
      </c>
      <c r="AF269" s="32" t="str">
        <f>IF(A269&lt;&gt;"",CHOOSE(10-MIN(9,TRUNC((AE269+0.5)/10)),"A","B","C","D","F","F","F","F","F","F"),"")</f>
        <v>A</v>
      </c>
      <c r="AG269" s="32" t="str">
        <f>IF(A269&lt;&gt;"",IF(OR(AE269+0.5&gt;=93,AE269+0.5&lt;60),"",IF(MOD(AE269+0.5,10)&gt;=7,"+",IF(MOD(AE269+0.5,10)&lt;3,"-",""))),"")</f>
        <v/>
      </c>
      <c r="AH269" s="36">
        <f>IF(A269&lt;&gt;"",MIN(MAX(AA269,AE269),AA269+$AH$8,AE269+$AH$8),"")</f>
        <v>100</v>
      </c>
      <c r="AI269" s="32" t="str">
        <f>IF(A269&lt;&gt;"",CHOOSE(10-MIN(9,TRUNC((AH269+0.5)/10)),"A","B","C","D","F","F","F","F","F","F"),"")</f>
        <v>A</v>
      </c>
      <c r="AJ269" s="32" t="str">
        <f>IF(A269&lt;&gt;"",IF(OR(AH269+0.5&gt;=93,AH269+0.5&lt;60),"",IF(MOD(AH269+0.5,10)&gt;=7,"+",IF(MOD(AH269+0.5,10)&lt;3,"-",""))),"")</f>
        <v/>
      </c>
      <c r="AK269" s="71" t="b">
        <f>IF(A269&lt;&gt;"",OR(AI269&lt;&gt;AC269,AJ269&lt;&gt;AD269),"")</f>
        <v>1</v>
      </c>
      <c r="AL269" s="86">
        <f>IF(AND(A269&lt;&gt;"",U269&lt;&gt;""),SUM(U269,$AL$8)/$AL$2*100,"")</f>
        <v>86.666666666666671</v>
      </c>
      <c r="AM269" s="71">
        <f>IF(AND(A269&lt;&gt;"",V269&lt;&gt;""),SUM(V269,$AM$8)/$AM$2*100,"")</f>
        <v>69.230769230769226</v>
      </c>
      <c r="AN269" s="71">
        <f>IF(AND(A269&lt;&gt;"",ISNUMBER(P269),P269&gt;=0),SUM(P269,$AN$8)/$AN$2*100,"")</f>
        <v>100</v>
      </c>
      <c r="AO269" s="71" t="str">
        <f>IF(AND(A269&lt;&gt;"",ISNUMBER(Q269),Q269&gt;=0),SUM(Q269,$AO$8)/$AO$2*100,"")</f>
        <v/>
      </c>
      <c r="AP269" s="24" t="str">
        <f>IF(AND(A269&lt;&gt;"",R269&lt;&gt;""),SUM(R269,$AP$8)/$AP$2*100,"")</f>
        <v/>
      </c>
      <c r="AQ269" s="24">
        <f>IF(AND(A269&lt;&gt;"",ISNUMBER(W269),W269&gt;=0),SUM(W269,$AQ$8)/$AQ$2*100,"")</f>
        <v>100</v>
      </c>
      <c r="AR269" s="24" t="str">
        <f>IF(AND(A269&lt;&gt;"",T269&gt;0,ISNUMBER(T269)),SUM(T269,$AR$8)/$AR$2*100,"")</f>
        <v/>
      </c>
      <c r="AS269" s="24" t="str">
        <f>IF(AND(A269&lt;&gt;"",X269&lt;&gt;""),SUM(X269,$AS$8)/$AS$2*100,"")</f>
        <v/>
      </c>
      <c r="AT269" s="89">
        <f>IF(AND(A269&lt;&gt;"",OR(ISNUMBER(W269),ISNUMBER(X269))),SUM(W269:X269,$AT$8)/$AT$2*100,"")</f>
        <v>100</v>
      </c>
      <c r="AU269" s="24">
        <f>AA269</f>
        <v>83.93442622950819</v>
      </c>
      <c r="AV269" s="71"/>
      <c r="AW269" s="27">
        <f>IF(A269&lt;&gt;"",AE269-AA269,"")</f>
        <v>16.06557377049181</v>
      </c>
      <c r="AY269" s="27" t="b">
        <f>S269&gt;R269</f>
        <v>0</v>
      </c>
      <c r="BA269" s="27" t="e">
        <f>AND(AA269&gt;$BA$3,(W269+$W$8)/$W$2&lt;$BB$3,(X269+$X$8)/$X$2&lt;$BB$3)</f>
        <v>#VALUE!</v>
      </c>
      <c r="BB269" s="27" t="e">
        <f>AND(AA269&lt;$BA$3,AND(W269/$W$2&gt;$BB$3,X269/$X$2&gt;$BB$3))</f>
        <v>#VALUE!</v>
      </c>
      <c r="BC269" s="27" t="e">
        <f>AND(AA269&lt;$BA$3,OR(W269/$W$2&gt;$BB$3,X269/$X$2&gt;$BB$3))</f>
        <v>#VALUE!</v>
      </c>
      <c r="BE269" s="32">
        <v>32</v>
      </c>
    </row>
    <row r="270" spans="1:57" s="27" customFormat="1" ht="12.75" customHeight="1" x14ac:dyDescent="0.2">
      <c r="A270" s="10">
        <v>523726</v>
      </c>
      <c r="B270" s="2">
        <v>22</v>
      </c>
      <c r="C270" s="10">
        <v>24</v>
      </c>
      <c r="D270" s="10">
        <v>25</v>
      </c>
      <c r="E270" s="10"/>
      <c r="F270" s="10"/>
      <c r="G270" s="3"/>
      <c r="H270" s="10"/>
      <c r="I270" s="10"/>
      <c r="J270" s="2">
        <v>28</v>
      </c>
      <c r="K270" s="10">
        <v>47</v>
      </c>
      <c r="L270" s="10">
        <v>50</v>
      </c>
      <c r="M270" s="10"/>
      <c r="N270" s="10"/>
      <c r="O270" s="12"/>
      <c r="P270" s="7">
        <v>101</v>
      </c>
      <c r="Q270" s="7"/>
      <c r="R270" s="2"/>
      <c r="S270" s="10"/>
      <c r="T270" s="13"/>
      <c r="U270" s="77">
        <f t="array" ref="U270">IF(AND(A270&lt;&gt;"",OR(ISNUMBER(B270:I270))),SUM(B270:I270),"")</f>
        <v>71</v>
      </c>
      <c r="V270" s="10">
        <f t="array" ref="V270">IF(AND(A270&lt;&gt;"",OR(ISNUMBER(J270:O270))),SUM(J270:O270),"")</f>
        <v>125</v>
      </c>
      <c r="W270" s="10">
        <f t="array" ref="W270">IF(AND(A270&lt;&gt;"",OR(ISNUMBER(P270),ISNUMBER(Q270))),SUM(MAX(P270:Q270),Q270),"")</f>
        <v>101</v>
      </c>
      <c r="X270" s="10" t="str">
        <f t="array" ref="X270">IF(AND(A270&lt;&gt;"",OR(ISNUMBER(S270),ISNUMBER(T270))),SUM(S270,T270),"")</f>
        <v/>
      </c>
      <c r="Y270" s="13">
        <v>1</v>
      </c>
      <c r="Z270" s="13">
        <f>IF(A270&lt;&gt;"",SUM(U270:Y270),"")</f>
        <v>298</v>
      </c>
      <c r="AA270" s="27">
        <f>IF(A270&lt;&gt;"",(Z270+Normalize_To_Add)/(Point_Total_So_Far)*100,"")</f>
        <v>97.704918032786878</v>
      </c>
      <c r="AB270" s="10">
        <f>IF(A270&lt;&gt;"",RANK(AA270,All_Student_XC),"")</f>
        <v>210</v>
      </c>
      <c r="AC270" s="32" t="str">
        <f>IF(A270&lt;&gt;"",CHOOSE(10-MIN(9,TRUNC((AA270+0.5)/10)),"A","B","C","D","F","F","F","F","F","F"),"")</f>
        <v>A</v>
      </c>
      <c r="AD270" s="32" t="str">
        <f>IF(A270&lt;&gt;"",IF(OR(AA270+0.5&gt;=93,AA270+0.5&lt;60),"",IF(MOD(AA270+0.5,10)&gt;=7,"+",IF(MOD(AA270+0.5,10)&lt;3,"-",""))),"")</f>
        <v/>
      </c>
      <c r="AE270" s="32">
        <f>IF(A270&lt;&gt;"",SUM(W270:X270,$W$8:$X$8)/SUM($W$2:$X$2)*100,"")</f>
        <v>101</v>
      </c>
      <c r="AF270" s="32" t="str">
        <f>IF(A270&lt;&gt;"",CHOOSE(10-MIN(9,TRUNC((AE270+0.5)/10)),"A","B","C","D","F","F","F","F","F","F"),"")</f>
        <v>A</v>
      </c>
      <c r="AG270" s="32" t="str">
        <f>IF(A270&lt;&gt;"",IF(OR(AE270+0.5&gt;=93,AE270+0.5&lt;60),"",IF(MOD(AE270+0.5,10)&gt;=7,"+",IF(MOD(AE270+0.5,10)&lt;3,"-",""))),"")</f>
        <v/>
      </c>
      <c r="AH270" s="36">
        <f>IF(A270&lt;&gt;"",MIN(MAX(AA270,AE270),AA270+$AH$8,AE270+$AH$8),"")</f>
        <v>101</v>
      </c>
      <c r="AI270" s="32" t="str">
        <f>IF(A270&lt;&gt;"",CHOOSE(10-MIN(9,TRUNC((AH270+0.5)/10)),"A","B","C","D","F","F","F","F","F","F"),"")</f>
        <v>A</v>
      </c>
      <c r="AJ270" s="32" t="str">
        <f>IF(A270&lt;&gt;"",IF(OR(AH270+0.5&gt;=93,AH270+0.5&lt;60),"",IF(MOD(AH270+0.5,10)&gt;=7,"+",IF(MOD(AH270+0.5,10)&lt;3,"-",""))),"")</f>
        <v/>
      </c>
      <c r="AK270" s="32" t="b">
        <f>IF(A270&lt;&gt;"",OR(AI270&lt;&gt;AC270,AJ270&lt;&gt;AD270),"")</f>
        <v>0</v>
      </c>
      <c r="AL270" s="84">
        <f>IF(AND(A270&lt;&gt;"",U270&lt;&gt;""),SUM(U270,$AL$8)/$AL$2*100,"")</f>
        <v>94.666666666666671</v>
      </c>
      <c r="AM270" s="24">
        <f>IF(AND(A270&lt;&gt;"",V270&lt;&gt;""),SUM(V270,$AM$8)/$AM$2*100,"")</f>
        <v>96.15384615384616</v>
      </c>
      <c r="AN270" s="24">
        <f>IF(AND(A270&lt;&gt;"",ISNUMBER(P270),P270&gt;=0),SUM(P270,$AN$8)/$AN$2*100,"")</f>
        <v>101</v>
      </c>
      <c r="AO270" s="24" t="str">
        <f>IF(AND(A270&lt;&gt;"",ISNUMBER(Q270),Q270&gt;=0),SUM(Q270,$AO$8)/$AO$2*100,"")</f>
        <v/>
      </c>
      <c r="AP270" s="24" t="str">
        <f>IF(AND(A270&lt;&gt;"",R270&lt;&gt;""),SUM(R270,$AP$8)/$AP$2*100,"")</f>
        <v/>
      </c>
      <c r="AQ270" s="24">
        <f>IF(AND(A270&lt;&gt;"",ISNUMBER(W270),W270&gt;=0),SUM(W270,$AQ$8)/$AQ$2*100,"")</f>
        <v>101</v>
      </c>
      <c r="AR270" s="24" t="str">
        <f>IF(AND(A270&lt;&gt;"",T270&gt;0,ISNUMBER(T270)),SUM(T270,$AR$8)/$AR$2*100,"")</f>
        <v/>
      </c>
      <c r="AS270" s="24" t="str">
        <f>IF(AND(A270&lt;&gt;"",X270&lt;&gt;""),SUM(X270,$AS$8)/$AS$2*100,"")</f>
        <v/>
      </c>
      <c r="AT270" s="89">
        <f>IF(AND(A270&lt;&gt;"",OR(ISNUMBER(W270),ISNUMBER(X270))),SUM(W270:X270,$AT$8)/$AT$2*100,"")</f>
        <v>101</v>
      </c>
      <c r="AU270" s="24">
        <f>AA270</f>
        <v>97.704918032786878</v>
      </c>
      <c r="AV270" s="24"/>
      <c r="AW270" s="27">
        <f>IF(A270&lt;&gt;"",AE270-AA270,"")</f>
        <v>3.2950819672131217</v>
      </c>
      <c r="AY270" s="27" t="b">
        <f>S270&gt;R270</f>
        <v>0</v>
      </c>
      <c r="BA270" s="27" t="e">
        <f>AND(AA270&gt;$BA$3,(W270+$W$8)/$W$2&lt;$BB$3,(X270+$X$8)/$X$2&lt;$BB$3)</f>
        <v>#VALUE!</v>
      </c>
      <c r="BB270" s="27" t="e">
        <f>AND(AA270&lt;$BA$3,AND(W270/$W$2&gt;$BB$3,X270/$X$2&gt;$BB$3))</f>
        <v>#VALUE!</v>
      </c>
      <c r="BC270" s="27" t="e">
        <f>AND(AA270&lt;$BA$3,OR(W270/$W$2&gt;$BB$3,X270/$X$2&gt;$BB$3))</f>
        <v>#VALUE!</v>
      </c>
      <c r="BE270" s="32">
        <v>32</v>
      </c>
    </row>
    <row r="271" spans="1:57" s="27" customFormat="1" ht="12.75" customHeight="1" x14ac:dyDescent="0.2">
      <c r="A271" s="10">
        <v>537279</v>
      </c>
      <c r="B271" s="2">
        <v>22</v>
      </c>
      <c r="C271" s="10">
        <v>20</v>
      </c>
      <c r="D271" s="10">
        <v>20</v>
      </c>
      <c r="E271" s="10"/>
      <c r="F271" s="10"/>
      <c r="G271" s="10"/>
      <c r="H271" s="10"/>
      <c r="I271" s="10"/>
      <c r="J271" s="2">
        <v>30</v>
      </c>
      <c r="K271" s="10">
        <v>50</v>
      </c>
      <c r="L271" s="10">
        <v>49</v>
      </c>
      <c r="M271" s="10"/>
      <c r="N271" s="93"/>
      <c r="O271" s="13"/>
      <c r="P271" s="10">
        <v>100</v>
      </c>
      <c r="Q271" s="10"/>
      <c r="R271" s="2"/>
      <c r="S271" s="10"/>
      <c r="T271" s="13"/>
      <c r="U271" s="1">
        <f t="array" ref="U271">IF(AND(A271&lt;&gt;"",OR(ISNUMBER(B271:I271))),SUM(B271:I271),"")</f>
        <v>62</v>
      </c>
      <c r="V271" s="10">
        <f t="array" ref="V271">IF(AND(A271&lt;&gt;"",OR(ISNUMBER(J271:O271))),SUM(J271:O271),"")</f>
        <v>129</v>
      </c>
      <c r="W271" s="10">
        <f t="array" ref="W271">IF(AND(A271&lt;&gt;"",OR(ISNUMBER(P271),ISNUMBER(Q271))),SUM(MAX(P271:Q271),Q271),"")</f>
        <v>100</v>
      </c>
      <c r="X271" s="10" t="str">
        <f t="array" ref="X271">IF(AND(A271&lt;&gt;"",OR(ISNUMBER(S271),ISNUMBER(T271))),SUM(S271,T271),"")</f>
        <v/>
      </c>
      <c r="Y271" s="13">
        <v>1</v>
      </c>
      <c r="Z271" s="13">
        <f>IF(A271&lt;&gt;"",SUM(U271:Y271),"")</f>
        <v>292</v>
      </c>
      <c r="AA271" s="27">
        <f>IF(A271&lt;&gt;"",(Z271+Normalize_To_Add)/(Point_Total_So_Far)*100,"")</f>
        <v>95.73770491803279</v>
      </c>
      <c r="AB271" s="10">
        <f>IF(A271&lt;&gt;"",RANK(AA271,All_Student_XC),"")</f>
        <v>261</v>
      </c>
      <c r="AC271" s="32" t="str">
        <f>IF(A271&lt;&gt;"",CHOOSE(10-MIN(9,TRUNC((AA271+0.5)/10)),"A","B","C","D","F","F","F","F","F","F"),"")</f>
        <v>A</v>
      </c>
      <c r="AD271" s="31" t="str">
        <f>IF(A271&lt;&gt;"",IF(OR(AA271+0.5&gt;=93,AA271+0.5&lt;60),"",IF(MOD(AA271+0.5,10)&gt;=7,"+",IF(MOD(AA271+0.5,10)&lt;3,"-",""))),"")</f>
        <v/>
      </c>
      <c r="AE271" s="32">
        <f>IF(A271&lt;&gt;"",SUM(W271:X271,$W$8:$X$8)/SUM($W$2:$X$2)*100,"")</f>
        <v>100</v>
      </c>
      <c r="AF271" s="32" t="str">
        <f>IF(A271&lt;&gt;"",CHOOSE(10-MIN(9,TRUNC((AE271+0.5)/10)),"A","B","C","D","F","F","F","F","F","F"),"")</f>
        <v>A</v>
      </c>
      <c r="AG271" s="32" t="str">
        <f>IF(A271&lt;&gt;"",IF(OR(AE271+0.5&gt;=93,AE271+0.5&lt;60),"",IF(MOD(AE271+0.5,10)&gt;=7,"+",IF(MOD(AE271+0.5,10)&lt;3,"-",""))),"")</f>
        <v/>
      </c>
      <c r="AH271" s="36">
        <f>IF(A271&lt;&gt;"",MIN(MAX(AA271,AE271),AA271+$AH$8,AE271+$AH$8),"")</f>
        <v>100</v>
      </c>
      <c r="AI271" s="32" t="str">
        <f>IF(A271&lt;&gt;"",CHOOSE(10-MIN(9,TRUNC((AH271+0.5)/10)),"A","B","C","D","F","F","F","F","F","F"),"")</f>
        <v>A</v>
      </c>
      <c r="AJ271" s="32" t="str">
        <f>IF(A271&lt;&gt;"",IF(OR(AH271+0.5&gt;=93,AH271+0.5&lt;60),"",IF(MOD(AH271+0.5,10)&gt;=7,"+",IF(MOD(AH271+0.5,10)&lt;3,"-",""))),"")</f>
        <v/>
      </c>
      <c r="AK271" s="71" t="b">
        <f>IF(A271&lt;&gt;"",OR(AI271&lt;&gt;AC271,AJ271&lt;&gt;AD271),"")</f>
        <v>0</v>
      </c>
      <c r="AL271" s="86">
        <f>IF(AND(A271&lt;&gt;"",U271&lt;&gt;""),SUM(U271,$AL$8)/$AL$2*100,"")</f>
        <v>82.666666666666671</v>
      </c>
      <c r="AM271" s="71">
        <f>IF(AND(A271&lt;&gt;"",V271&lt;&gt;""),SUM(V271,$AM$8)/$AM$2*100,"")</f>
        <v>99.230769230769226</v>
      </c>
      <c r="AN271" s="71">
        <f>IF(AND(A271&lt;&gt;"",ISNUMBER(P271),P271&gt;=0),SUM(P271,$AN$8)/$AN$2*100,"")</f>
        <v>100</v>
      </c>
      <c r="AO271" s="71" t="str">
        <f>IF(AND(A271&lt;&gt;"",ISNUMBER(Q271),Q271&gt;=0),SUM(Q271,$AO$8)/$AO$2*100,"")</f>
        <v/>
      </c>
      <c r="AP271" s="24" t="str">
        <f>IF(AND(A271&lt;&gt;"",R271&lt;&gt;""),SUM(R271,$AP$8)/$AP$2*100,"")</f>
        <v/>
      </c>
      <c r="AQ271" s="24">
        <f>IF(AND(A271&lt;&gt;"",ISNUMBER(W271),W271&gt;=0),SUM(W271,$AQ$8)/$AQ$2*100,"")</f>
        <v>100</v>
      </c>
      <c r="AR271" s="24" t="str">
        <f>IF(AND(A271&lt;&gt;"",T271&gt;0,ISNUMBER(T271)),SUM(T271,$AR$8)/$AR$2*100,"")</f>
        <v/>
      </c>
      <c r="AS271" s="24" t="str">
        <f>IF(AND(A271&lt;&gt;"",X271&lt;&gt;""),SUM(X271,$AS$8)/$AS$2*100,"")</f>
        <v/>
      </c>
      <c r="AT271" s="89">
        <f>IF(AND(A271&lt;&gt;"",OR(ISNUMBER(W271),ISNUMBER(X271))),SUM(W271:X271,$AT$8)/$AT$2*100,"")</f>
        <v>100</v>
      </c>
      <c r="AU271" s="24">
        <f>AA271</f>
        <v>95.73770491803279</v>
      </c>
      <c r="AV271" s="71"/>
      <c r="AW271" s="27">
        <f>IF(A271&lt;&gt;"",AE271-AA271,"")</f>
        <v>4.2622950819672099</v>
      </c>
      <c r="AY271" s="27" t="b">
        <f>S271&gt;R271</f>
        <v>0</v>
      </c>
      <c r="BA271" s="27" t="e">
        <f>AND(AA271&gt;$BA$3,(W271+$W$8)/$W$2&lt;$BB$3,(X271+$X$8)/$X$2&lt;$BB$3)</f>
        <v>#VALUE!</v>
      </c>
      <c r="BB271" s="27" t="e">
        <f>AND(AA271&lt;$BA$3,AND(W271/$W$2&gt;$BB$3,X271/$X$2&gt;$BB$3))</f>
        <v>#VALUE!</v>
      </c>
      <c r="BC271" s="27" t="e">
        <f>AND(AA271&lt;$BA$3,OR(W271/$W$2&gt;$BB$3,X271/$X$2&gt;$BB$3))</f>
        <v>#VALUE!</v>
      </c>
      <c r="BE271" s="32" t="s">
        <v>84</v>
      </c>
    </row>
    <row r="272" spans="1:57" s="27" customFormat="1" ht="12.75" customHeight="1" x14ac:dyDescent="0.2">
      <c r="A272" s="10">
        <v>539036</v>
      </c>
      <c r="B272" s="2">
        <v>18</v>
      </c>
      <c r="C272" s="10">
        <v>19</v>
      </c>
      <c r="D272" s="10">
        <v>25</v>
      </c>
      <c r="E272" s="10"/>
      <c r="F272" s="10"/>
      <c r="G272" s="3"/>
      <c r="H272" s="10"/>
      <c r="I272" s="10"/>
      <c r="J272" s="2">
        <v>28</v>
      </c>
      <c r="K272" s="10">
        <v>34</v>
      </c>
      <c r="L272" s="10">
        <v>50</v>
      </c>
      <c r="M272" s="10"/>
      <c r="N272" s="10"/>
      <c r="O272" s="12"/>
      <c r="P272" s="10">
        <v>80</v>
      </c>
      <c r="Q272" s="41"/>
      <c r="R272" s="2"/>
      <c r="S272" s="10"/>
      <c r="T272" s="13"/>
      <c r="U272" s="1">
        <f t="array" ref="U272">IF(AND(A272&lt;&gt;"",OR(ISNUMBER(B272:I272))),SUM(B272:I272),"")</f>
        <v>62</v>
      </c>
      <c r="V272" s="10">
        <f t="array" ref="V272">IF(AND(A272&lt;&gt;"",OR(ISNUMBER(J272:O272))),SUM(J272:O272),"")</f>
        <v>112</v>
      </c>
      <c r="W272" s="10">
        <f t="array" ref="W272">IF(AND(A272&lt;&gt;"",OR(ISNUMBER(P272),ISNUMBER(Q272))),SUM(MAX(P272:Q272),Q272),"")</f>
        <v>80</v>
      </c>
      <c r="X272" s="10" t="str">
        <f t="array" ref="X272">IF(AND(A272&lt;&gt;"",OR(ISNUMBER(S272),ISNUMBER(T272))),SUM(S272,T272),"")</f>
        <v/>
      </c>
      <c r="Y272" s="13">
        <v>1</v>
      </c>
      <c r="Z272" s="13">
        <f>IF(A272&lt;&gt;"",SUM(U272:Y272),"")</f>
        <v>255</v>
      </c>
      <c r="AA272" s="27">
        <f>IF(A272&lt;&gt;"",(Z272+Normalize_To_Add)/(Point_Total_So_Far)*100,"")</f>
        <v>83.606557377049185</v>
      </c>
      <c r="AB272" s="10">
        <f>IF(A272&lt;&gt;"",RANK(AA272,All_Student_XC),"")</f>
        <v>384</v>
      </c>
      <c r="AC272" s="32" t="str">
        <f>IF(A272&lt;&gt;"",CHOOSE(10-MIN(9,TRUNC((AA272+0.5)/10)),"A","B","C","D","F","F","F","F","F","F"),"")</f>
        <v>B</v>
      </c>
      <c r="AD272" s="32" t="str">
        <f>IF(A272&lt;&gt;"",IF(OR(AA272+0.5&gt;=93,AA272+0.5&lt;60),"",IF(MOD(AA272+0.5,10)&gt;=7,"+",IF(MOD(AA272+0.5,10)&lt;3,"-",""))),"")</f>
        <v/>
      </c>
      <c r="AE272" s="32">
        <f>IF(A272&lt;&gt;"",SUM(W272:X272,$W$8:$X$8)/SUM($W$2:$X$2)*100,"")</f>
        <v>80</v>
      </c>
      <c r="AF272" s="32" t="str">
        <f>IF(A272&lt;&gt;"",CHOOSE(10-MIN(9,TRUNC((AE272+0.5)/10)),"A","B","C","D","F","F","F","F","F","F"),"")</f>
        <v>B</v>
      </c>
      <c r="AG272" s="32" t="str">
        <f>IF(A272&lt;&gt;"",IF(OR(AE272+0.5&gt;=93,AE272+0.5&lt;60),"",IF(MOD(AE272+0.5,10)&gt;=7,"+",IF(MOD(AE272+0.5,10)&lt;3,"-",""))),"")</f>
        <v>-</v>
      </c>
      <c r="AH272" s="36">
        <f>IF(A272&lt;&gt;"",MIN(MAX(AA272,AE272),AA272+$AH$8,AE272+$AH$8),"")</f>
        <v>83.606557377049185</v>
      </c>
      <c r="AI272" s="32" t="str">
        <f>IF(A272&lt;&gt;"",CHOOSE(10-MIN(9,TRUNC((AH272+0.5)/10)),"A","B","C","D","F","F","F","F","F","F"),"")</f>
        <v>B</v>
      </c>
      <c r="AJ272" s="32" t="str">
        <f>IF(A272&lt;&gt;"",IF(OR(AH272+0.5&gt;=93,AH272+0.5&lt;60),"",IF(MOD(AH272+0.5,10)&gt;=7,"+",IF(MOD(AH272+0.5,10)&lt;3,"-",""))),"")</f>
        <v/>
      </c>
      <c r="AK272" s="32" t="b">
        <f>IF(A272&lt;&gt;"",OR(AI272&lt;&gt;AC272,AJ272&lt;&gt;AD272),"")</f>
        <v>0</v>
      </c>
      <c r="AL272" s="84">
        <f>IF(AND(A272&lt;&gt;"",U272&lt;&gt;""),SUM(U272,$AL$8)/$AL$2*100,"")</f>
        <v>82.666666666666671</v>
      </c>
      <c r="AM272" s="24">
        <f>IF(AND(A272&lt;&gt;"",V272&lt;&gt;""),SUM(V272,$AM$8)/$AM$2*100,"")</f>
        <v>86.15384615384616</v>
      </c>
      <c r="AN272" s="24">
        <f>IF(AND(A272&lt;&gt;"",ISNUMBER(P272),P272&gt;=0),SUM(P272,$AN$8)/$AN$2*100,"")</f>
        <v>80</v>
      </c>
      <c r="AO272" s="24" t="str">
        <f>IF(AND(A272&lt;&gt;"",ISNUMBER(Q272),Q272&gt;=0),SUM(Q272,$AO$8)/$AO$2*100,"")</f>
        <v/>
      </c>
      <c r="AP272" s="24" t="str">
        <f>IF(AND(A272&lt;&gt;"",R272&lt;&gt;""),SUM(R272,$AP$8)/$AP$2*100,"")</f>
        <v/>
      </c>
      <c r="AQ272" s="24">
        <f>IF(AND(A272&lt;&gt;"",ISNUMBER(W272),W272&gt;=0),SUM(W272,$AQ$8)/$AQ$2*100,"")</f>
        <v>80</v>
      </c>
      <c r="AR272" s="24" t="str">
        <f>IF(AND(A272&lt;&gt;"",T272&gt;0,ISNUMBER(T272)),SUM(T272,$AR$8)/$AR$2*100,"")</f>
        <v/>
      </c>
      <c r="AS272" s="24" t="str">
        <f>IF(AND(A272&lt;&gt;"",X272&lt;&gt;""),SUM(X272,$AS$8)/$AS$2*100,"")</f>
        <v/>
      </c>
      <c r="AT272" s="89">
        <f>IF(AND(A272&lt;&gt;"",OR(ISNUMBER(W272),ISNUMBER(X272))),SUM(W272:X272,$AT$8)/$AT$2*100,"")</f>
        <v>80</v>
      </c>
      <c r="AU272" s="24">
        <f>AA272</f>
        <v>83.606557377049185</v>
      </c>
      <c r="AV272" s="24"/>
      <c r="AW272" s="27">
        <f>IF(A272&lt;&gt;"",AE272-AA272,"")</f>
        <v>-3.6065573770491852</v>
      </c>
      <c r="AY272" s="27" t="b">
        <f>S272&gt;R272</f>
        <v>0</v>
      </c>
      <c r="BA272" s="27" t="e">
        <f>AND(AA272&gt;$BA$3,(W272+$W$8)/$W$2&lt;$BB$3,(X272+$X$8)/$X$2&lt;$BB$3)</f>
        <v>#VALUE!</v>
      </c>
      <c r="BB272" s="27" t="e">
        <f>AND(AA272&lt;$BA$3,AND(W272/$W$2&gt;$BB$3,X272/$X$2&gt;$BB$3))</f>
        <v>#VALUE!</v>
      </c>
      <c r="BC272" s="27" t="e">
        <f>AND(AA272&lt;$BA$3,OR(W272/$W$2&gt;$BB$3,X272/$X$2&gt;$BB$3))</f>
        <v>#VALUE!</v>
      </c>
      <c r="BE272" s="32" t="s">
        <v>85</v>
      </c>
    </row>
    <row r="273" spans="1:57" s="27" customFormat="1" ht="12.75" customHeight="1" x14ac:dyDescent="0.2">
      <c r="A273" s="10">
        <v>540078</v>
      </c>
      <c r="B273" s="2">
        <v>23</v>
      </c>
      <c r="C273" s="10">
        <v>23</v>
      </c>
      <c r="D273" s="10">
        <v>23</v>
      </c>
      <c r="E273" s="10"/>
      <c r="F273" s="10"/>
      <c r="G273" s="10"/>
      <c r="H273" s="10"/>
      <c r="I273" s="10"/>
      <c r="J273" s="2">
        <v>32</v>
      </c>
      <c r="K273" s="10">
        <v>44</v>
      </c>
      <c r="L273" s="10">
        <v>50</v>
      </c>
      <c r="M273" s="10"/>
      <c r="N273" s="93"/>
      <c r="O273" s="13"/>
      <c r="P273" s="10">
        <v>101</v>
      </c>
      <c r="Q273" s="10"/>
      <c r="R273" s="2"/>
      <c r="S273" s="10"/>
      <c r="T273" s="13"/>
      <c r="U273" s="1">
        <f t="array" ref="U273">IF(AND(A273&lt;&gt;"",OR(ISNUMBER(B273:I273))),SUM(B273:I273),"")</f>
        <v>69</v>
      </c>
      <c r="V273" s="10">
        <f t="array" ref="V273">IF(AND(A273&lt;&gt;"",OR(ISNUMBER(J273:O273))),SUM(J273:O273),"")</f>
        <v>126</v>
      </c>
      <c r="W273" s="10">
        <f t="array" ref="W273">IF(AND(A273&lt;&gt;"",OR(ISNUMBER(P273),ISNUMBER(Q273))),SUM(MAX(P273:Q273),Q273),"")</f>
        <v>101</v>
      </c>
      <c r="X273" s="10" t="str">
        <f t="array" ref="X273">IF(AND(A273&lt;&gt;"",OR(ISNUMBER(S273),ISNUMBER(T273))),SUM(S273,T273),"")</f>
        <v/>
      </c>
      <c r="Y273" s="13">
        <v>1</v>
      </c>
      <c r="Z273" s="13">
        <f>IF(A273&lt;&gt;"",SUM(U273:Y273),"")</f>
        <v>297</v>
      </c>
      <c r="AA273" s="27">
        <f>IF(A273&lt;&gt;"",(Z273+Normalize_To_Add)/(Point_Total_So_Far)*100,"")</f>
        <v>97.377049180327873</v>
      </c>
      <c r="AB273" s="10">
        <f>IF(A273&lt;&gt;"",RANK(AA273,All_Student_XC),"")</f>
        <v>224</v>
      </c>
      <c r="AC273" s="32" t="str">
        <f>IF(A273&lt;&gt;"",CHOOSE(10-MIN(9,TRUNC((AA273+0.5)/10)),"A","B","C","D","F","F","F","F","F","F"),"")</f>
        <v>A</v>
      </c>
      <c r="AD273" s="31" t="str">
        <f>IF(A273&lt;&gt;"",IF(OR(AA273+0.5&gt;=93,AA273+0.5&lt;60),"",IF(MOD(AA273+0.5,10)&gt;=7,"+",IF(MOD(AA273+0.5,10)&lt;3,"-",""))),"")</f>
        <v/>
      </c>
      <c r="AE273" s="32">
        <f>IF(A273&lt;&gt;"",SUM(W273:X273,$W$8:$X$8)/SUM($W$2:$X$2)*100,"")</f>
        <v>101</v>
      </c>
      <c r="AF273" s="32" t="str">
        <f>IF(A273&lt;&gt;"",CHOOSE(10-MIN(9,TRUNC((AE273+0.5)/10)),"A","B","C","D","F","F","F","F","F","F"),"")</f>
        <v>A</v>
      </c>
      <c r="AG273" s="32" t="str">
        <f>IF(A273&lt;&gt;"",IF(OR(AE273+0.5&gt;=93,AE273+0.5&lt;60),"",IF(MOD(AE273+0.5,10)&gt;=7,"+",IF(MOD(AE273+0.5,10)&lt;3,"-",""))),"")</f>
        <v/>
      </c>
      <c r="AH273" s="36">
        <f>IF(A273&lt;&gt;"",MIN(MAX(AA273,AE273),AA273+$AH$8,AE273+$AH$8),"")</f>
        <v>101</v>
      </c>
      <c r="AI273" s="32" t="str">
        <f>IF(A273&lt;&gt;"",CHOOSE(10-MIN(9,TRUNC((AH273+0.5)/10)),"A","B","C","D","F","F","F","F","F","F"),"")</f>
        <v>A</v>
      </c>
      <c r="AJ273" s="32" t="str">
        <f>IF(A273&lt;&gt;"",IF(OR(AH273+0.5&gt;=93,AH273+0.5&lt;60),"",IF(MOD(AH273+0.5,10)&gt;=7,"+",IF(MOD(AH273+0.5,10)&lt;3,"-",""))),"")</f>
        <v/>
      </c>
      <c r="AK273" s="71" t="b">
        <f>IF(A273&lt;&gt;"",OR(AI273&lt;&gt;AC273,AJ273&lt;&gt;AD273),"")</f>
        <v>0</v>
      </c>
      <c r="AL273" s="86">
        <f>IF(AND(A273&lt;&gt;"",U273&lt;&gt;""),SUM(U273,$AL$8)/$AL$2*100,"")</f>
        <v>92</v>
      </c>
      <c r="AM273" s="71">
        <f>IF(AND(A273&lt;&gt;"",V273&lt;&gt;""),SUM(V273,$AM$8)/$AM$2*100,"")</f>
        <v>96.92307692307692</v>
      </c>
      <c r="AN273" s="71">
        <f>IF(AND(A273&lt;&gt;"",ISNUMBER(P273),P273&gt;=0),SUM(P273,$AN$8)/$AN$2*100,"")</f>
        <v>101</v>
      </c>
      <c r="AO273" s="71" t="str">
        <f>IF(AND(A273&lt;&gt;"",ISNUMBER(Q273),Q273&gt;=0),SUM(Q273,$AO$8)/$AO$2*100,"")</f>
        <v/>
      </c>
      <c r="AP273" s="24" t="str">
        <f>IF(AND(A273&lt;&gt;"",R273&lt;&gt;""),SUM(R273,$AP$8)/$AP$2*100,"")</f>
        <v/>
      </c>
      <c r="AQ273" s="24">
        <f>IF(AND(A273&lt;&gt;"",ISNUMBER(W273),W273&gt;=0),SUM(W273,$AQ$8)/$AQ$2*100,"")</f>
        <v>101</v>
      </c>
      <c r="AR273" s="24" t="str">
        <f>IF(AND(A273&lt;&gt;"",T273&gt;0,ISNUMBER(T273)),SUM(T273,$AR$8)/$AR$2*100,"")</f>
        <v/>
      </c>
      <c r="AS273" s="24" t="str">
        <f>IF(AND(A273&lt;&gt;"",X273&lt;&gt;""),SUM(X273,$AS$8)/$AS$2*100,"")</f>
        <v/>
      </c>
      <c r="AT273" s="89">
        <f>IF(AND(A273&lt;&gt;"",OR(ISNUMBER(W273),ISNUMBER(X273))),SUM(W273:X273,$AT$8)/$AT$2*100,"")</f>
        <v>101</v>
      </c>
      <c r="AU273" s="24">
        <f>AA273</f>
        <v>97.377049180327873</v>
      </c>
      <c r="AV273" s="71"/>
      <c r="AW273" s="27">
        <f>IF(A273&lt;&gt;"",AE273-AA273,"")</f>
        <v>3.622950819672127</v>
      </c>
      <c r="AY273" s="27" t="b">
        <f>S273&gt;R273</f>
        <v>0</v>
      </c>
      <c r="BA273" s="27" t="e">
        <f>AND(AA273&gt;$BA$3,(W273+$W$8)/$W$2&lt;$BB$3,(X273+$X$8)/$X$2&lt;$BB$3)</f>
        <v>#VALUE!</v>
      </c>
      <c r="BB273" s="27" t="e">
        <f>AND(AA273&lt;$BA$3,AND(W273/$W$2&gt;$BB$3,X273/$X$2&gt;$BB$3))</f>
        <v>#VALUE!</v>
      </c>
      <c r="BC273" s="27" t="e">
        <f>AND(AA273&lt;$BA$3,OR(W273/$W$2&gt;$BB$3,X273/$X$2&gt;$BB$3))</f>
        <v>#VALUE!</v>
      </c>
      <c r="BE273" s="32">
        <v>32</v>
      </c>
    </row>
    <row r="274" spans="1:57" s="27" customFormat="1" ht="12.75" customHeight="1" x14ac:dyDescent="0.2">
      <c r="A274" s="10">
        <v>543905</v>
      </c>
      <c r="B274" s="2">
        <v>23</v>
      </c>
      <c r="C274" s="10">
        <v>24</v>
      </c>
      <c r="D274" s="10">
        <v>25</v>
      </c>
      <c r="E274" s="10"/>
      <c r="F274" s="10"/>
      <c r="G274" s="10"/>
      <c r="H274" s="10"/>
      <c r="I274" s="10"/>
      <c r="J274" s="2">
        <v>30</v>
      </c>
      <c r="K274" s="10">
        <v>50</v>
      </c>
      <c r="L274" s="10">
        <v>49</v>
      </c>
      <c r="M274" s="10"/>
      <c r="N274" s="10"/>
      <c r="O274" s="13"/>
      <c r="P274" s="10">
        <v>101</v>
      </c>
      <c r="Q274" s="10"/>
      <c r="R274" s="2"/>
      <c r="S274" s="10"/>
      <c r="T274" s="13"/>
      <c r="U274" s="1">
        <f t="array" ref="U274">IF(AND(A274&lt;&gt;"",OR(ISNUMBER(B274:I274))),SUM(B274:I274),"")</f>
        <v>72</v>
      </c>
      <c r="V274" s="10">
        <f t="array" ref="V274">IF(AND(A274&lt;&gt;"",OR(ISNUMBER(J274:O274))),SUM(J274:O274),"")</f>
        <v>129</v>
      </c>
      <c r="W274" s="10">
        <f t="array" ref="W274">IF(AND(A274&lt;&gt;"",OR(ISNUMBER(P274),ISNUMBER(Q274))),SUM(MAX(P274:Q274),Q274),"")</f>
        <v>101</v>
      </c>
      <c r="X274" s="10" t="str">
        <f t="array" ref="X274">IF(AND(A274&lt;&gt;"",OR(ISNUMBER(S274),ISNUMBER(T274))),SUM(S274,T274),"")</f>
        <v/>
      </c>
      <c r="Y274" s="13">
        <v>1</v>
      </c>
      <c r="Z274" s="13">
        <f>IF(A274&lt;&gt;"",SUM(U274:Y274),"")</f>
        <v>303</v>
      </c>
      <c r="AA274" s="27">
        <f>IF(A274&lt;&gt;"",(Z274+Normalize_To_Add)/(Point_Total_So_Far)*100,"")</f>
        <v>99.344262295081961</v>
      </c>
      <c r="AB274" s="10">
        <f>IF(A274&lt;&gt;"",RANK(AA274,All_Student_XC),"")</f>
        <v>145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>
        <f>IF(A274&lt;&gt;"",SUM(W274:X274,$W$8:$X$8)/SUM($W$2:$X$2)*100,"")</f>
        <v>101</v>
      </c>
      <c r="AF274" s="32" t="str">
        <f>IF(A274&lt;&gt;"",CHOOSE(10-MIN(9,TRUNC((AE274+0.5)/10)),"A","B","C","D","F","F","F","F","F","F"),"")</f>
        <v>A</v>
      </c>
      <c r="AG274" s="32" t="str">
        <f>IF(A274&lt;&gt;"",IF(OR(AE274+0.5&gt;=93,AE274+0.5&lt;60),"",IF(MOD(AE274+0.5,10)&gt;=7,"+",IF(MOD(AE274+0.5,10)&lt;3,"-",""))),"")</f>
        <v/>
      </c>
      <c r="AH274" s="36">
        <f>IF(A274&lt;&gt;"",MIN(MAX(AA274,AE274),AA274+$AH$8,AE274+$AH$8),"")</f>
        <v>101</v>
      </c>
      <c r="AI274" s="32" t="str">
        <f>IF(A274&lt;&gt;"",CHOOSE(10-MIN(9,TRUNC((AH274+0.5)/10)),"A","B","C","D","F","F","F","F","F","F"),"")</f>
        <v>A</v>
      </c>
      <c r="AJ274" s="32" t="str">
        <f>IF(A274&lt;&gt;"",IF(OR(AH274+0.5&gt;=93,AH274+0.5&lt;60),"",IF(MOD(AH274+0.5,10)&gt;=7,"+",IF(MOD(AH274+0.5,10)&lt;3,"-",""))),"")</f>
        <v/>
      </c>
      <c r="AK274" s="71" t="b">
        <f>IF(A274&lt;&gt;"",OR(AI274&lt;&gt;AC274,AJ274&lt;&gt;AD274),"")</f>
        <v>0</v>
      </c>
      <c r="AL274" s="86">
        <f>IF(AND(A274&lt;&gt;"",U274&lt;&gt;""),SUM(U274,$AL$8)/$AL$2*100,"")</f>
        <v>96</v>
      </c>
      <c r="AM274" s="71">
        <f>IF(AND(A274&lt;&gt;"",V274&lt;&gt;""),SUM(V274,$AM$8)/$AM$2*100,"")</f>
        <v>99.230769230769226</v>
      </c>
      <c r="AN274" s="71">
        <f>IF(AND(A274&lt;&gt;"",ISNUMBER(P274),P274&gt;=0),SUM(P274,$AN$8)/$AN$2*100,"")</f>
        <v>101</v>
      </c>
      <c r="AO274" s="71" t="str">
        <f>IF(AND(A274&lt;&gt;"",ISNUMBER(Q274),Q274&gt;=0),SUM(Q274,$AO$8)/$AO$2*100,"")</f>
        <v/>
      </c>
      <c r="AP274" s="24" t="str">
        <f>IF(AND(A274&lt;&gt;"",R274&lt;&gt;""),SUM(R274,$AP$8)/$AP$2*100,"")</f>
        <v/>
      </c>
      <c r="AQ274" s="24">
        <f>IF(AND(A274&lt;&gt;"",ISNUMBER(W274),W274&gt;=0),SUM(W274,$AQ$8)/$AQ$2*100,"")</f>
        <v>101</v>
      </c>
      <c r="AR274" s="24" t="str">
        <f>IF(AND(A274&lt;&gt;"",T274&gt;0,ISNUMBER(T274)),SUM(T274,$AR$8)/$AR$2*100,"")</f>
        <v/>
      </c>
      <c r="AS274" s="24" t="str">
        <f>IF(AND(A274&lt;&gt;"",X274&lt;&gt;""),SUM(X274,$AS$8)/$AS$2*100,"")</f>
        <v/>
      </c>
      <c r="AT274" s="89">
        <f>IF(AND(A274&lt;&gt;"",OR(ISNUMBER(W274),ISNUMBER(X274))),SUM(W274:X274,$AT$8)/$AT$2*100,"")</f>
        <v>101</v>
      </c>
      <c r="AU274" s="24">
        <f>AA274</f>
        <v>99.344262295081961</v>
      </c>
      <c r="AV274" s="71"/>
      <c r="AW274" s="27">
        <f>IF(A274&lt;&gt;"",AE274-AA274,"")</f>
        <v>1.6557377049180388</v>
      </c>
      <c r="AY274" s="27" t="b">
        <f>S274&gt;R274</f>
        <v>0</v>
      </c>
      <c r="BA274" s="27" t="e">
        <f>AND(AA274&gt;$BA$3,(W274+$W$8)/$W$2&lt;$BB$3,(X274+$X$8)/$X$2&lt;$BB$3)</f>
        <v>#VALUE!</v>
      </c>
      <c r="BB274" s="27" t="e">
        <f>AND(AA274&lt;$BA$3,AND(W274/$W$2&gt;$BB$3,X274/$X$2&gt;$BB$3))</f>
        <v>#VALUE!</v>
      </c>
      <c r="BC274" s="27" t="e">
        <f>AND(AA274&lt;$BA$3,OR(W274/$W$2&gt;$BB$3,X274/$X$2&gt;$BB$3))</f>
        <v>#VALUE!</v>
      </c>
      <c r="BE274" s="32">
        <v>32</v>
      </c>
    </row>
    <row r="275" spans="1:57" s="27" customFormat="1" ht="12.75" customHeight="1" x14ac:dyDescent="0.2">
      <c r="A275" s="10">
        <v>545482</v>
      </c>
      <c r="B275" s="2">
        <v>12</v>
      </c>
      <c r="C275" s="10">
        <v>20</v>
      </c>
      <c r="D275" s="10">
        <v>21</v>
      </c>
      <c r="E275" s="10"/>
      <c r="F275" s="10"/>
      <c r="G275" s="3"/>
      <c r="H275" s="10"/>
      <c r="I275" s="10"/>
      <c r="J275" s="2"/>
      <c r="K275" s="10" t="s">
        <v>67</v>
      </c>
      <c r="L275" s="10">
        <v>33</v>
      </c>
      <c r="M275" s="10"/>
      <c r="N275" s="10"/>
      <c r="O275" s="12"/>
      <c r="P275" s="41">
        <v>101</v>
      </c>
      <c r="Q275" s="41"/>
      <c r="R275" s="2"/>
      <c r="S275" s="10"/>
      <c r="T275" s="13"/>
      <c r="U275" s="1">
        <f t="array" ref="U275">IF(AND(A275&lt;&gt;"",OR(ISNUMBER(B275:I275))),SUM(B275:I275),"")</f>
        <v>53</v>
      </c>
      <c r="V275" s="10">
        <f t="array" ref="V275">IF(AND(A275&lt;&gt;"",OR(ISNUMBER(J275:O275))),SUM(J275:O275),"")</f>
        <v>33</v>
      </c>
      <c r="W275" s="10">
        <f t="array" ref="W275">IF(AND(A275&lt;&gt;"",OR(ISNUMBER(P275),ISNUMBER(Q275))),SUM(MAX(P275:Q275),Q275),"")</f>
        <v>101</v>
      </c>
      <c r="X275" s="10" t="str">
        <f t="array" ref="X275">IF(AND(A275&lt;&gt;"",OR(ISNUMBER(S275),ISNUMBER(T275))),SUM(S275,T275),"")</f>
        <v/>
      </c>
      <c r="Y275" s="13"/>
      <c r="Z275" s="13">
        <f>IF(A275&lt;&gt;"",SUM(U275:Y275),"")</f>
        <v>187</v>
      </c>
      <c r="AA275" s="27">
        <f>IF(A275&lt;&gt;"",(Z275+Normalize_To_Add)/(Point_Total_So_Far)*100,"")</f>
        <v>61.311475409836071</v>
      </c>
      <c r="AB275" s="10">
        <f>IF(A275&lt;&gt;"",RANK(AA275,All_Student_XC),"")</f>
        <v>475</v>
      </c>
      <c r="AC275" s="32" t="str">
        <f>IF(A275&lt;&gt;"",CHOOSE(10-MIN(9,TRUNC((AA275+0.5)/10)),"A","B","C","D","F","F","F","F","F","F"),"")</f>
        <v>D</v>
      </c>
      <c r="AD275" s="32" t="str">
        <f>IF(A275&lt;&gt;"",IF(OR(AA275+0.5&gt;=93,AA275+0.5&lt;60),"",IF(MOD(AA275+0.5,10)&gt;=7,"+",IF(MOD(AA275+0.5,10)&lt;3,"-",""))),"")</f>
        <v>-</v>
      </c>
      <c r="AE275" s="32">
        <f>IF(A275&lt;&gt;"",SUM(W275:X275,$W$8:$X$8)/SUM($W$2:$X$2)*100,"")</f>
        <v>101</v>
      </c>
      <c r="AF275" s="32" t="str">
        <f>IF(A275&lt;&gt;"",CHOOSE(10-MIN(9,TRUNC((AE275+0.5)/10)),"A","B","C","D","F","F","F","F","F","F"),"")</f>
        <v>A</v>
      </c>
      <c r="AG275" s="32" t="str">
        <f>IF(A275&lt;&gt;"",IF(OR(AE275+0.5&gt;=93,AE275+0.5&lt;60),"",IF(MOD(AE275+0.5,10)&gt;=7,"+",IF(MOD(AE275+0.5,10)&lt;3,"-",""))),"")</f>
        <v/>
      </c>
      <c r="AH275" s="36">
        <f>IF(A275&lt;&gt;"",MIN(MAX(AA275,AE275),AA275+$AH$8,AE275+$AH$8),"")</f>
        <v>101</v>
      </c>
      <c r="AI275" s="32" t="str">
        <f>IF(A275&lt;&gt;"",CHOOSE(10-MIN(9,TRUNC((AH275+0.5)/10)),"A","B","C","D","F","F","F","F","F","F"),"")</f>
        <v>A</v>
      </c>
      <c r="AJ275" s="32" t="str">
        <f>IF(A275&lt;&gt;"",IF(OR(AH275+0.5&gt;=93,AH275+0.5&lt;60),"",IF(MOD(AH275+0.5,10)&gt;=7,"+",IF(MOD(AH275+0.5,10)&lt;3,"-",""))),"")</f>
        <v/>
      </c>
      <c r="AK275" s="32" t="b">
        <f>IF(A275&lt;&gt;"",OR(AI275&lt;&gt;AC275,AJ275&lt;&gt;AD275),"")</f>
        <v>1</v>
      </c>
      <c r="AL275" s="84">
        <f>IF(AND(A275&lt;&gt;"",U275&lt;&gt;""),SUM(U275,$AL$8)/$AL$2*100,"")</f>
        <v>70.666666666666671</v>
      </c>
      <c r="AM275" s="24">
        <f>IF(AND(A275&lt;&gt;"",V275&lt;&gt;""),SUM(V275,$AM$8)/$AM$2*100,"")</f>
        <v>25.384615384615383</v>
      </c>
      <c r="AN275" s="24">
        <f>IF(AND(A275&lt;&gt;"",ISNUMBER(P275),P275&gt;=0),SUM(P275,$AN$8)/$AN$2*100,"")</f>
        <v>101</v>
      </c>
      <c r="AO275" s="24" t="str">
        <f>IF(AND(A275&lt;&gt;"",ISNUMBER(Q275),Q275&gt;=0),SUM(Q275,$AO$8)/$AO$2*100,"")</f>
        <v/>
      </c>
      <c r="AP275" s="24" t="str">
        <f>IF(AND(A275&lt;&gt;"",R275&lt;&gt;""),SUM(R275,$AP$8)/$AP$2*100,"")</f>
        <v/>
      </c>
      <c r="AQ275" s="24">
        <f>IF(AND(A275&lt;&gt;"",ISNUMBER(W275),W275&gt;=0),SUM(W275,$AQ$8)/$AQ$2*100,"")</f>
        <v>101</v>
      </c>
      <c r="AR275" s="24" t="str">
        <f>IF(AND(A275&lt;&gt;"",T275&gt;0,ISNUMBER(T275)),SUM(T275,$AR$8)/$AR$2*100,"")</f>
        <v/>
      </c>
      <c r="AS275" s="24" t="str">
        <f>IF(AND(A275&lt;&gt;"",X275&lt;&gt;""),SUM(X275,$AS$8)/$AS$2*100,"")</f>
        <v/>
      </c>
      <c r="AT275" s="89">
        <f>IF(AND(A275&lt;&gt;"",OR(ISNUMBER(W275),ISNUMBER(X275))),SUM(W275:X275,$AT$8)/$AT$2*100,"")</f>
        <v>101</v>
      </c>
      <c r="AU275" s="24">
        <f>AA275</f>
        <v>61.311475409836071</v>
      </c>
      <c r="AV275" s="24"/>
      <c r="AW275" s="27">
        <f>IF(A275&lt;&gt;"",AE275-AA275,"")</f>
        <v>39.688524590163929</v>
      </c>
      <c r="AY275" s="27" t="b">
        <f>S275&gt;R275</f>
        <v>0</v>
      </c>
      <c r="BA275" s="27" t="e">
        <f>AND(AA275&gt;$BA$3,(W275+$W$8)/$W$2&lt;$BB$3,(X275+$X$8)/$X$2&lt;$BB$3)</f>
        <v>#VALUE!</v>
      </c>
      <c r="BB275" s="27" t="e">
        <f>AND(AA275&lt;$BA$3,AND(W275/$W$2&gt;$BB$3,X275/$X$2&gt;$BB$3))</f>
        <v>#VALUE!</v>
      </c>
      <c r="BC275" s="27" t="e">
        <f>AND(AA275&lt;$BA$3,OR(W275/$W$2&gt;$BB$3,X275/$X$2&gt;$BB$3))</f>
        <v>#VALUE!</v>
      </c>
      <c r="BE275" s="32"/>
    </row>
    <row r="276" spans="1:57" s="27" customFormat="1" ht="12.75" customHeight="1" x14ac:dyDescent="0.2">
      <c r="A276" s="10">
        <v>547146</v>
      </c>
      <c r="B276" s="2">
        <v>25</v>
      </c>
      <c r="C276" s="10">
        <v>24</v>
      </c>
      <c r="D276" s="10">
        <v>25</v>
      </c>
      <c r="E276" s="10"/>
      <c r="F276" s="10"/>
      <c r="G276" s="10"/>
      <c r="H276" s="10"/>
      <c r="I276" s="10"/>
      <c r="J276" s="2">
        <v>30</v>
      </c>
      <c r="K276" s="10">
        <v>36</v>
      </c>
      <c r="L276" s="10">
        <v>49</v>
      </c>
      <c r="M276" s="10"/>
      <c r="N276" s="93"/>
      <c r="O276" s="13"/>
      <c r="P276" s="10">
        <v>101</v>
      </c>
      <c r="Q276" s="10"/>
      <c r="R276" s="2"/>
      <c r="S276" s="10"/>
      <c r="T276" s="13"/>
      <c r="U276" s="1">
        <f t="array" ref="U276">IF(AND(A276&lt;&gt;"",OR(ISNUMBER(B276:I276))),SUM(B276:I276),"")</f>
        <v>74</v>
      </c>
      <c r="V276" s="10">
        <f t="array" ref="V276">IF(AND(A276&lt;&gt;"",OR(ISNUMBER(J276:O276))),SUM(J276:O276),"")</f>
        <v>115</v>
      </c>
      <c r="W276" s="10">
        <f t="array" ref="W276">IF(AND(A276&lt;&gt;"",OR(ISNUMBER(P276),ISNUMBER(Q276))),SUM(MAX(P276:Q276),Q276),"")</f>
        <v>101</v>
      </c>
      <c r="X276" s="10" t="str">
        <f t="array" ref="X276">IF(AND(A276&lt;&gt;"",OR(ISNUMBER(S276),ISNUMBER(T276))),SUM(S276,T276),"")</f>
        <v/>
      </c>
      <c r="Y276" s="13">
        <v>1</v>
      </c>
      <c r="Z276" s="13">
        <f>IF(A276&lt;&gt;"",SUM(U276:Y276),"")</f>
        <v>291</v>
      </c>
      <c r="AA276" s="27">
        <f>IF(A276&lt;&gt;"",(Z276+Normalize_To_Add)/(Point_Total_So_Far)*100,"")</f>
        <v>95.409836065573771</v>
      </c>
      <c r="AB276" s="10">
        <f>IF(A276&lt;&gt;"",RANK(AA276,All_Student_XC),"")</f>
        <v>266</v>
      </c>
      <c r="AC276" s="32" t="str">
        <f>IF(A276&lt;&gt;"",CHOOSE(10-MIN(9,TRUNC((AA276+0.5)/10)),"A","B","C","D","F","F","F","F","F","F"),"")</f>
        <v>A</v>
      </c>
      <c r="AD276" s="31" t="str">
        <f>IF(A276&lt;&gt;"",IF(OR(AA276+0.5&gt;=93,AA276+0.5&lt;60),"",IF(MOD(AA276+0.5,10)&gt;=7,"+",IF(MOD(AA276+0.5,10)&lt;3,"-",""))),"")</f>
        <v/>
      </c>
      <c r="AE276" s="32">
        <f>IF(A276&lt;&gt;"",SUM(W276:X276,$W$8:$X$8)/SUM($W$2:$X$2)*100,"")</f>
        <v>101</v>
      </c>
      <c r="AF276" s="32" t="str">
        <f>IF(A276&lt;&gt;"",CHOOSE(10-MIN(9,TRUNC((AE276+0.5)/10)),"A","B","C","D","F","F","F","F","F","F"),"")</f>
        <v>A</v>
      </c>
      <c r="AG276" s="32" t="str">
        <f>IF(A276&lt;&gt;"",IF(OR(AE276+0.5&gt;=93,AE276+0.5&lt;60),"",IF(MOD(AE276+0.5,10)&gt;=7,"+",IF(MOD(AE276+0.5,10)&lt;3,"-",""))),"")</f>
        <v/>
      </c>
      <c r="AH276" s="36">
        <f>IF(A276&lt;&gt;"",MIN(MAX(AA276,AE276),AA276+$AH$8,AE276+$AH$8),"")</f>
        <v>101</v>
      </c>
      <c r="AI276" s="32" t="str">
        <f>IF(A276&lt;&gt;"",CHOOSE(10-MIN(9,TRUNC((AH276+0.5)/10)),"A","B","C","D","F","F","F","F","F","F"),"")</f>
        <v>A</v>
      </c>
      <c r="AJ276" s="32" t="str">
        <f>IF(A276&lt;&gt;"",IF(OR(AH276+0.5&gt;=93,AH276+0.5&lt;60),"",IF(MOD(AH276+0.5,10)&gt;=7,"+",IF(MOD(AH276+0.5,10)&lt;3,"-",""))),"")</f>
        <v/>
      </c>
      <c r="AK276" s="71" t="b">
        <f>IF(A276&lt;&gt;"",OR(AI276&lt;&gt;AC276,AJ276&lt;&gt;AD276),"")</f>
        <v>0</v>
      </c>
      <c r="AL276" s="86">
        <f>IF(AND(A276&lt;&gt;"",U276&lt;&gt;""),SUM(U276,$AL$8)/$AL$2*100,"")</f>
        <v>98.666666666666671</v>
      </c>
      <c r="AM276" s="71">
        <f>IF(AND(A276&lt;&gt;"",V276&lt;&gt;""),SUM(V276,$AM$8)/$AM$2*100,"")</f>
        <v>88.461538461538453</v>
      </c>
      <c r="AN276" s="71">
        <f>IF(AND(A276&lt;&gt;"",ISNUMBER(P276),P276&gt;=0),SUM(P276,$AN$8)/$AN$2*100,"")</f>
        <v>101</v>
      </c>
      <c r="AO276" s="71" t="str">
        <f>IF(AND(A276&lt;&gt;"",ISNUMBER(Q276),Q276&gt;=0),SUM(Q276,$AO$8)/$AO$2*100,"")</f>
        <v/>
      </c>
      <c r="AP276" s="24" t="str">
        <f>IF(AND(A276&lt;&gt;"",R276&lt;&gt;""),SUM(R276,$AP$8)/$AP$2*100,"")</f>
        <v/>
      </c>
      <c r="AQ276" s="24">
        <f>IF(AND(A276&lt;&gt;"",ISNUMBER(W276),W276&gt;=0),SUM(W276,$AQ$8)/$AQ$2*100,"")</f>
        <v>101</v>
      </c>
      <c r="AR276" s="24" t="str">
        <f>IF(AND(A276&lt;&gt;"",T276&gt;0,ISNUMBER(T276)),SUM(T276,$AR$8)/$AR$2*100,"")</f>
        <v/>
      </c>
      <c r="AS276" s="24" t="str">
        <f>IF(AND(A276&lt;&gt;"",X276&lt;&gt;""),SUM(X276,$AS$8)/$AS$2*100,"")</f>
        <v/>
      </c>
      <c r="AT276" s="89">
        <f>IF(AND(A276&lt;&gt;"",OR(ISNUMBER(W276),ISNUMBER(X276))),SUM(W276:X276,$AT$8)/$AT$2*100,"")</f>
        <v>101</v>
      </c>
      <c r="AU276" s="24">
        <f>AA276</f>
        <v>95.409836065573771</v>
      </c>
      <c r="AV276" s="71"/>
      <c r="AW276" s="27">
        <f>IF(A276&lt;&gt;"",AE276-AA276,"")</f>
        <v>5.5901639344262293</v>
      </c>
      <c r="AY276" s="27" t="b">
        <f>S276&gt;R276</f>
        <v>0</v>
      </c>
      <c r="BA276" s="27" t="e">
        <f>AND(AA276&gt;$BA$3,(W276+$W$8)/$W$2&lt;$BB$3,(X276+$X$8)/$X$2&lt;$BB$3)</f>
        <v>#VALUE!</v>
      </c>
      <c r="BB276" s="27" t="e">
        <f>AND(AA276&lt;$BA$3,AND(W276/$W$2&gt;$BB$3,X276/$X$2&gt;$BB$3))</f>
        <v>#VALUE!</v>
      </c>
      <c r="BC276" s="27" t="e">
        <f>AND(AA276&lt;$BA$3,OR(W276/$W$2&gt;$BB$3,X276/$X$2&gt;$BB$3))</f>
        <v>#VALUE!</v>
      </c>
      <c r="BE276" s="32" t="s">
        <v>85</v>
      </c>
    </row>
    <row r="277" spans="1:57" s="27" customFormat="1" ht="12.75" customHeight="1" x14ac:dyDescent="0.2">
      <c r="A277" s="10">
        <v>549688</v>
      </c>
      <c r="B277" s="2">
        <v>22</v>
      </c>
      <c r="C277" s="10">
        <v>20</v>
      </c>
      <c r="D277" s="10">
        <v>25</v>
      </c>
      <c r="E277" s="10"/>
      <c r="F277" s="10"/>
      <c r="G277" s="10"/>
      <c r="H277" s="10"/>
      <c r="I277" s="10"/>
      <c r="J277" s="2">
        <v>30</v>
      </c>
      <c r="K277" s="10">
        <v>42</v>
      </c>
      <c r="L277" s="10">
        <v>49</v>
      </c>
      <c r="M277" s="10"/>
      <c r="N277" s="93"/>
      <c r="O277" s="13"/>
      <c r="P277" s="10">
        <v>100</v>
      </c>
      <c r="Q277" s="10"/>
      <c r="R277" s="2"/>
      <c r="S277" s="10"/>
      <c r="T277" s="13"/>
      <c r="U277" s="1">
        <f t="array" ref="U277">IF(AND(A277&lt;&gt;"",OR(ISNUMBER(B277:I277))),SUM(B277:I277),"")</f>
        <v>67</v>
      </c>
      <c r="V277" s="10">
        <f t="array" ref="V277">IF(AND(A277&lt;&gt;"",OR(ISNUMBER(J277:O277))),SUM(J277:O277),"")</f>
        <v>121</v>
      </c>
      <c r="W277" s="10">
        <f t="array" ref="W277">IF(AND(A277&lt;&gt;"",OR(ISNUMBER(P277),ISNUMBER(Q277))),SUM(MAX(P277:Q277),Q277),"")</f>
        <v>100</v>
      </c>
      <c r="X277" s="10" t="str">
        <f t="array" ref="X277">IF(AND(A277&lt;&gt;"",OR(ISNUMBER(S277),ISNUMBER(T277))),SUM(S277,T277),"")</f>
        <v/>
      </c>
      <c r="Y277" s="13">
        <v>1</v>
      </c>
      <c r="Z277" s="13">
        <f>IF(A277&lt;&gt;"",SUM(U277:Y277),"")</f>
        <v>289</v>
      </c>
      <c r="AA277" s="27">
        <f>IF(A277&lt;&gt;"",(Z277+Normalize_To_Add)/(Point_Total_So_Far)*100,"")</f>
        <v>94.754098360655732</v>
      </c>
      <c r="AB277" s="10">
        <f>IF(A277&lt;&gt;"",RANK(AA277,All_Student_XC),"")</f>
        <v>273</v>
      </c>
      <c r="AC277" s="32" t="str">
        <f>IF(A277&lt;&gt;"",CHOOSE(10-MIN(9,TRUNC((AA277+0.5)/10)),"A","B","C","D","F","F","F","F","F","F"),"")</f>
        <v>A</v>
      </c>
      <c r="AD277" s="31" t="str">
        <f>IF(A277&lt;&gt;"",IF(OR(AA277+0.5&gt;=93,AA277+0.5&lt;60),"",IF(MOD(AA277+0.5,10)&gt;=7,"+",IF(MOD(AA277+0.5,10)&lt;3,"-",""))),"")</f>
        <v/>
      </c>
      <c r="AE277" s="32">
        <f>IF(A277&lt;&gt;"",SUM(W277:X277,$W$8:$X$8)/SUM($W$2:$X$2)*100,"")</f>
        <v>100</v>
      </c>
      <c r="AF277" s="32" t="str">
        <f>IF(A277&lt;&gt;"",CHOOSE(10-MIN(9,TRUNC((AE277+0.5)/10)),"A","B","C","D","F","F","F","F","F","F"),"")</f>
        <v>A</v>
      </c>
      <c r="AG277" s="32" t="str">
        <f>IF(A277&lt;&gt;"",IF(OR(AE277+0.5&gt;=93,AE277+0.5&lt;60),"",IF(MOD(AE277+0.5,10)&gt;=7,"+",IF(MOD(AE277+0.5,10)&lt;3,"-",""))),"")</f>
        <v/>
      </c>
      <c r="AH277" s="36">
        <f>IF(A277&lt;&gt;"",MIN(MAX(AA277,AE277),AA277+$AH$8,AE277+$AH$8),"")</f>
        <v>100</v>
      </c>
      <c r="AI277" s="32" t="str">
        <f>IF(A277&lt;&gt;"",CHOOSE(10-MIN(9,TRUNC((AH277+0.5)/10)),"A","B","C","D","F","F","F","F","F","F"),"")</f>
        <v>A</v>
      </c>
      <c r="AJ277" s="32" t="str">
        <f>IF(A277&lt;&gt;"",IF(OR(AH277+0.5&gt;=93,AH277+0.5&lt;60),"",IF(MOD(AH277+0.5,10)&gt;=7,"+",IF(MOD(AH277+0.5,10)&lt;3,"-",""))),"")</f>
        <v/>
      </c>
      <c r="AK277" s="71" t="b">
        <f>IF(A277&lt;&gt;"",OR(AI277&lt;&gt;AC277,AJ277&lt;&gt;AD277),"")</f>
        <v>0</v>
      </c>
      <c r="AL277" s="86">
        <f>IF(AND(A277&lt;&gt;"",U277&lt;&gt;""),SUM(U277,$AL$8)/$AL$2*100,"")</f>
        <v>89.333333333333329</v>
      </c>
      <c r="AM277" s="71">
        <f>IF(AND(A277&lt;&gt;"",V277&lt;&gt;""),SUM(V277,$AM$8)/$AM$2*100,"")</f>
        <v>93.07692307692308</v>
      </c>
      <c r="AN277" s="71">
        <f>IF(AND(A277&lt;&gt;"",ISNUMBER(P277),P277&gt;=0),SUM(P277,$AN$8)/$AN$2*100,"")</f>
        <v>100</v>
      </c>
      <c r="AO277" s="71" t="str">
        <f>IF(AND(A277&lt;&gt;"",ISNUMBER(Q277),Q277&gt;=0),SUM(Q277,$AO$8)/$AO$2*100,"")</f>
        <v/>
      </c>
      <c r="AP277" s="24" t="str">
        <f>IF(AND(A277&lt;&gt;"",R277&lt;&gt;""),SUM(R277,$AP$8)/$AP$2*100,"")</f>
        <v/>
      </c>
      <c r="AQ277" s="24">
        <f>IF(AND(A277&lt;&gt;"",ISNUMBER(W277),W277&gt;=0),SUM(W277,$AQ$8)/$AQ$2*100,"")</f>
        <v>100</v>
      </c>
      <c r="AR277" s="24" t="str">
        <f>IF(AND(A277&lt;&gt;"",T277&gt;0,ISNUMBER(T277)),SUM(T277,$AR$8)/$AR$2*100,"")</f>
        <v/>
      </c>
      <c r="AS277" s="24" t="str">
        <f>IF(AND(A277&lt;&gt;"",X277&lt;&gt;""),SUM(X277,$AS$8)/$AS$2*100,"")</f>
        <v/>
      </c>
      <c r="AT277" s="89">
        <f>IF(AND(A277&lt;&gt;"",OR(ISNUMBER(W277),ISNUMBER(X277))),SUM(W277:X277,$AT$8)/$AT$2*100,"")</f>
        <v>100</v>
      </c>
      <c r="AU277" s="24">
        <f>AA277</f>
        <v>94.754098360655732</v>
      </c>
      <c r="AV277" s="71"/>
      <c r="AW277" s="27">
        <f>IF(A277&lt;&gt;"",AE277-AA277,"")</f>
        <v>5.2459016393442681</v>
      </c>
      <c r="AY277" s="27" t="b">
        <f>S277&gt;R277</f>
        <v>0</v>
      </c>
      <c r="BA277" s="27" t="e">
        <f>AND(AA277&gt;$BA$3,(W277+$W$8)/$W$2&lt;$BB$3,(X277+$X$8)/$X$2&lt;$BB$3)</f>
        <v>#VALUE!</v>
      </c>
      <c r="BB277" s="27" t="e">
        <f>AND(AA277&lt;$BA$3,AND(W277/$W$2&gt;$BB$3,X277/$X$2&gt;$BB$3))</f>
        <v>#VALUE!</v>
      </c>
      <c r="BC277" s="27" t="e">
        <f>AND(AA277&lt;$BA$3,OR(W277/$W$2&gt;$BB$3,X277/$X$2&gt;$BB$3))</f>
        <v>#VALUE!</v>
      </c>
      <c r="BE277" s="32" t="s">
        <v>85</v>
      </c>
    </row>
    <row r="278" spans="1:57" s="27" customFormat="1" ht="12.75" customHeight="1" x14ac:dyDescent="0.2">
      <c r="A278" s="10">
        <v>550634</v>
      </c>
      <c r="B278" s="2">
        <v>24</v>
      </c>
      <c r="C278" s="10">
        <v>24</v>
      </c>
      <c r="D278" s="10">
        <v>25</v>
      </c>
      <c r="E278" s="10"/>
      <c r="F278" s="10"/>
      <c r="G278" s="3"/>
      <c r="H278" s="10"/>
      <c r="I278" s="10"/>
      <c r="J278" s="2">
        <v>30</v>
      </c>
      <c r="K278" s="10">
        <v>52</v>
      </c>
      <c r="L278" s="10">
        <v>52</v>
      </c>
      <c r="M278" s="10"/>
      <c r="N278" s="93"/>
      <c r="O278" s="12"/>
      <c r="P278" s="10">
        <v>101</v>
      </c>
      <c r="Q278" s="41"/>
      <c r="R278" s="2"/>
      <c r="S278" s="10"/>
      <c r="T278" s="13"/>
      <c r="U278" s="1">
        <f t="array" ref="U278">IF(AND(A278&lt;&gt;"",OR(ISNUMBER(B278:I278))),SUM(B278:I278),"")</f>
        <v>73</v>
      </c>
      <c r="V278" s="10">
        <f t="array" ref="V278">IF(AND(A278&lt;&gt;"",OR(ISNUMBER(J278:O278))),SUM(J278:O278),"")</f>
        <v>134</v>
      </c>
      <c r="W278" s="10">
        <f t="array" ref="W278">IF(AND(A278&lt;&gt;"",OR(ISNUMBER(P278),ISNUMBER(Q278))),SUM(MAX(P278:Q278),Q278),"")</f>
        <v>101</v>
      </c>
      <c r="X278" s="10" t="str">
        <f t="array" ref="X278">IF(AND(A278&lt;&gt;"",OR(ISNUMBER(S278),ISNUMBER(T278))),SUM(S278,T278),"")</f>
        <v/>
      </c>
      <c r="Y278" s="13">
        <v>1</v>
      </c>
      <c r="Z278" s="13">
        <f>IF(A278&lt;&gt;"",SUM(U278:Y278),"")</f>
        <v>309</v>
      </c>
      <c r="AA278" s="27">
        <f>IF(A278&lt;&gt;"",(Z278+Normalize_To_Add)/(Point_Total_So_Far)*100,"")</f>
        <v>101.31147540983608</v>
      </c>
      <c r="AB278" s="10">
        <f>IF(A278&lt;&gt;"",RANK(AA278,All_Student_XC),"")</f>
        <v>35</v>
      </c>
      <c r="AC278" s="32" t="str">
        <f>IF(A278&lt;&gt;"",CHOOSE(10-MIN(9,TRUNC((AA278+0.5)/10)),"A","B","C","D","F","F","F","F","F","F"),"")</f>
        <v>A</v>
      </c>
      <c r="AD278" s="32" t="str">
        <f>IF(A278&lt;&gt;"",IF(OR(AA278+0.5&gt;=93,AA278+0.5&lt;60),"",IF(MOD(AA278+0.5,10)&gt;=7,"+",IF(MOD(AA278+0.5,10)&lt;3,"-",""))),"")</f>
        <v/>
      </c>
      <c r="AE278" s="32">
        <f>IF(A278&lt;&gt;"",SUM(W278:X278,$W$8:$X$8)/SUM($W$2:$X$2)*100,"")</f>
        <v>101</v>
      </c>
      <c r="AF278" s="32" t="str">
        <f>IF(A278&lt;&gt;"",CHOOSE(10-MIN(9,TRUNC((AE278+0.5)/10)),"A","B","C","D","F","F","F","F","F","F"),"")</f>
        <v>A</v>
      </c>
      <c r="AG278" s="32" t="str">
        <f>IF(A278&lt;&gt;"",IF(OR(AE278+0.5&gt;=93,AE278+0.5&lt;60),"",IF(MOD(AE278+0.5,10)&gt;=7,"+",IF(MOD(AE278+0.5,10)&lt;3,"-",""))),"")</f>
        <v/>
      </c>
      <c r="AH278" s="36">
        <f>IF(A278&lt;&gt;"",MIN(MAX(AA278,AE278),AA278+$AH$8,AE278+$AH$8),"")</f>
        <v>101.31147540983608</v>
      </c>
      <c r="AI278" s="32" t="str">
        <f>IF(A278&lt;&gt;"",CHOOSE(10-MIN(9,TRUNC((AH278+0.5)/10)),"A","B","C","D","F","F","F","F","F","F"),"")</f>
        <v>A</v>
      </c>
      <c r="AJ278" s="32" t="str">
        <f>IF(A278&lt;&gt;"",IF(OR(AH278+0.5&gt;=93,AH278+0.5&lt;60),"",IF(MOD(AH278+0.5,10)&gt;=7,"+",IF(MOD(AH278+0.5,10)&lt;3,"-",""))),"")</f>
        <v/>
      </c>
      <c r="AK278" s="32" t="b">
        <f>IF(A278&lt;&gt;"",OR(AI278&lt;&gt;AC278,AJ278&lt;&gt;AD278),"")</f>
        <v>0</v>
      </c>
      <c r="AL278" s="84">
        <f>IF(AND(A278&lt;&gt;"",U278&lt;&gt;""),SUM(U278,$AL$8)/$AL$2*100,"")</f>
        <v>97.333333333333343</v>
      </c>
      <c r="AM278" s="24">
        <f>IF(AND(A278&lt;&gt;"",V278&lt;&gt;""),SUM(V278,$AM$8)/$AM$2*100,"")</f>
        <v>103.07692307692307</v>
      </c>
      <c r="AN278" s="24">
        <f>IF(AND(A278&lt;&gt;"",ISNUMBER(P278),P278&gt;=0),SUM(P278,$AN$8)/$AN$2*100,"")</f>
        <v>101</v>
      </c>
      <c r="AO278" s="24" t="str">
        <f>IF(AND(A278&lt;&gt;"",ISNUMBER(Q278),Q278&gt;=0),SUM(Q278,$AO$8)/$AO$2*100,"")</f>
        <v/>
      </c>
      <c r="AP278" s="24" t="str">
        <f>IF(AND(A278&lt;&gt;"",R278&lt;&gt;""),SUM(R278,$AP$8)/$AP$2*100,"")</f>
        <v/>
      </c>
      <c r="AQ278" s="24">
        <f>IF(AND(A278&lt;&gt;"",ISNUMBER(W278),W278&gt;=0),SUM(W278,$AQ$8)/$AQ$2*100,"")</f>
        <v>101</v>
      </c>
      <c r="AR278" s="24" t="str">
        <f>IF(AND(A278&lt;&gt;"",T278&gt;0,ISNUMBER(T278)),SUM(T278,$AR$8)/$AR$2*100,"")</f>
        <v/>
      </c>
      <c r="AS278" s="24" t="str">
        <f>IF(AND(A278&lt;&gt;"",X278&lt;&gt;""),SUM(X278,$AS$8)/$AS$2*100,"")</f>
        <v/>
      </c>
      <c r="AT278" s="89">
        <f>IF(AND(A278&lt;&gt;"",OR(ISNUMBER(W278),ISNUMBER(X278))),SUM(W278:X278,$AT$8)/$AT$2*100,"")</f>
        <v>101</v>
      </c>
      <c r="AU278" s="24">
        <f>AA278</f>
        <v>101.31147540983608</v>
      </c>
      <c r="AV278" s="24"/>
      <c r="AW278" s="27">
        <f>IF(A278&lt;&gt;"",AE278-AA278,"")</f>
        <v>-0.31147540983607769</v>
      </c>
      <c r="AY278" s="27" t="b">
        <f>S278&gt;R278</f>
        <v>0</v>
      </c>
      <c r="BA278" s="27" t="e">
        <f>AND(AA278&gt;$BA$3,(W278+$W$8)/$W$2&lt;$BB$3,(X278+$X$8)/$X$2&lt;$BB$3)</f>
        <v>#VALUE!</v>
      </c>
      <c r="BB278" s="27" t="e">
        <f>AND(AA278&lt;$BA$3,AND(W278/$W$2&gt;$BB$3,X278/$X$2&gt;$BB$3))</f>
        <v>#VALUE!</v>
      </c>
      <c r="BC278" s="27" t="e">
        <f>AND(AA278&lt;$BA$3,OR(W278/$W$2&gt;$BB$3,X278/$X$2&gt;$BB$3))</f>
        <v>#VALUE!</v>
      </c>
      <c r="BE278" s="32" t="s">
        <v>84</v>
      </c>
    </row>
    <row r="279" spans="1:57" s="27" customFormat="1" ht="12.75" customHeight="1" x14ac:dyDescent="0.2">
      <c r="A279" s="10">
        <v>554616</v>
      </c>
      <c r="B279" s="2">
        <v>24</v>
      </c>
      <c r="C279" s="10">
        <v>22</v>
      </c>
      <c r="D279" s="10">
        <v>25</v>
      </c>
      <c r="E279" s="10"/>
      <c r="F279" s="10"/>
      <c r="G279" s="10"/>
      <c r="H279" s="10"/>
      <c r="I279" s="10"/>
      <c r="J279" s="2">
        <v>31</v>
      </c>
      <c r="K279" s="10">
        <v>52</v>
      </c>
      <c r="L279" s="10">
        <v>51</v>
      </c>
      <c r="M279" s="10"/>
      <c r="N279" s="93"/>
      <c r="O279" s="13"/>
      <c r="P279" s="10">
        <v>101</v>
      </c>
      <c r="Q279" s="10"/>
      <c r="R279" s="2"/>
      <c r="S279" s="10"/>
      <c r="T279" s="13"/>
      <c r="U279" s="1">
        <f t="array" ref="U279">IF(AND(A279&lt;&gt;"",OR(ISNUMBER(B279:I279))),SUM(B279:I279),"")</f>
        <v>71</v>
      </c>
      <c r="V279" s="10">
        <f t="array" ref="V279">IF(AND(A279&lt;&gt;"",OR(ISNUMBER(J279:O279))),SUM(J279:O279),"")</f>
        <v>134</v>
      </c>
      <c r="W279" s="10">
        <f t="array" ref="W279">IF(AND(A279&lt;&gt;"",OR(ISNUMBER(P279),ISNUMBER(Q279))),SUM(MAX(P279:Q279),Q279),"")</f>
        <v>101</v>
      </c>
      <c r="X279" s="10" t="str">
        <f t="array" ref="X279">IF(AND(A279&lt;&gt;"",OR(ISNUMBER(S279),ISNUMBER(T279))),SUM(S279,T279),"")</f>
        <v/>
      </c>
      <c r="Y279" s="13">
        <v>1</v>
      </c>
      <c r="Z279" s="13">
        <f>IF(A279&lt;&gt;"",SUM(U279:Y279),"")</f>
        <v>307</v>
      </c>
      <c r="AA279" s="27">
        <f>IF(A279&lt;&gt;"",(Z279+Normalize_To_Add)/(Point_Total_So_Far)*100,"")</f>
        <v>100.65573770491802</v>
      </c>
      <c r="AB279" s="10">
        <f>IF(A279&lt;&gt;"",RANK(AA279,All_Student_XC),"")</f>
        <v>72</v>
      </c>
      <c r="AC279" s="32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/>
      </c>
      <c r="AE279" s="32">
        <f>IF(A279&lt;&gt;"",SUM(W279:X279,$W$8:$X$8)/SUM($W$2:$X$2)*100,"")</f>
        <v>101</v>
      </c>
      <c r="AF279" s="32" t="str">
        <f>IF(A279&lt;&gt;"",CHOOSE(10-MIN(9,TRUNC((AE279+0.5)/10)),"A","B","C","D","F","F","F","F","F","F"),"")</f>
        <v>A</v>
      </c>
      <c r="AG279" s="32" t="str">
        <f>IF(A279&lt;&gt;"",IF(OR(AE279+0.5&gt;=93,AE279+0.5&lt;60),"",IF(MOD(AE279+0.5,10)&gt;=7,"+",IF(MOD(AE279+0.5,10)&lt;3,"-",""))),"")</f>
        <v/>
      </c>
      <c r="AH279" s="36">
        <f>IF(A279&lt;&gt;"",MIN(MAX(AA279,AE279),AA279+$AH$8,AE279+$AH$8),"")</f>
        <v>101</v>
      </c>
      <c r="AI279" s="32" t="str">
        <f>IF(A279&lt;&gt;"",CHOOSE(10-MIN(9,TRUNC((AH279+0.5)/10)),"A","B","C","D","F","F","F","F","F","F"),"")</f>
        <v>A</v>
      </c>
      <c r="AJ279" s="32" t="str">
        <f>IF(A279&lt;&gt;"",IF(OR(AH279+0.5&gt;=93,AH279+0.5&lt;60),"",IF(MOD(AH279+0.5,10)&gt;=7,"+",IF(MOD(AH279+0.5,10)&lt;3,"-",""))),"")</f>
        <v/>
      </c>
      <c r="AK279" s="71" t="b">
        <f>IF(A279&lt;&gt;"",OR(AI279&lt;&gt;AC279,AJ279&lt;&gt;AD279),"")</f>
        <v>0</v>
      </c>
      <c r="AL279" s="86">
        <f>IF(AND(A279&lt;&gt;"",U279&lt;&gt;""),SUM(U279,$AL$8)/$AL$2*100,"")</f>
        <v>94.666666666666671</v>
      </c>
      <c r="AM279" s="71">
        <f>IF(AND(A279&lt;&gt;"",V279&lt;&gt;""),SUM(V279,$AM$8)/$AM$2*100,"")</f>
        <v>103.07692307692307</v>
      </c>
      <c r="AN279" s="71">
        <f>IF(AND(A279&lt;&gt;"",ISNUMBER(P279),P279&gt;=0),SUM(P279,$AN$8)/$AN$2*100,"")</f>
        <v>101</v>
      </c>
      <c r="AO279" s="71" t="str">
        <f>IF(AND(A279&lt;&gt;"",ISNUMBER(Q279),Q279&gt;=0),SUM(Q279,$AO$8)/$AO$2*100,"")</f>
        <v/>
      </c>
      <c r="AP279" s="24" t="str">
        <f>IF(AND(A279&lt;&gt;"",R279&lt;&gt;""),SUM(R279,$AP$8)/$AP$2*100,"")</f>
        <v/>
      </c>
      <c r="AQ279" s="24">
        <f>IF(AND(A279&lt;&gt;"",ISNUMBER(W279),W279&gt;=0),SUM(W279,$AQ$8)/$AQ$2*100,"")</f>
        <v>101</v>
      </c>
      <c r="AR279" s="24" t="str">
        <f>IF(AND(A279&lt;&gt;"",T279&gt;0,ISNUMBER(T279)),SUM(T279,$AR$8)/$AR$2*100,"")</f>
        <v/>
      </c>
      <c r="AS279" s="24" t="str">
        <f>IF(AND(A279&lt;&gt;"",X279&lt;&gt;""),SUM(X279,$AS$8)/$AS$2*100,"")</f>
        <v/>
      </c>
      <c r="AT279" s="89">
        <f>IF(AND(A279&lt;&gt;"",OR(ISNUMBER(W279),ISNUMBER(X279))),SUM(W279:X279,$AT$8)/$AT$2*100,"")</f>
        <v>101</v>
      </c>
      <c r="AU279" s="24">
        <f>AA279</f>
        <v>100.65573770491802</v>
      </c>
      <c r="AV279" s="71"/>
      <c r="AW279" s="27">
        <f>IF(A279&lt;&gt;"",AE279-AA279,"")</f>
        <v>0.34426229508197537</v>
      </c>
      <c r="AY279" s="27" t="b">
        <f>S279&gt;R279</f>
        <v>0</v>
      </c>
      <c r="BA279" s="27" t="e">
        <f>AND(AA279&gt;$BA$3,(W279+$W$8)/$W$2&lt;$BB$3,(X279+$X$8)/$X$2&lt;$BB$3)</f>
        <v>#VALUE!</v>
      </c>
      <c r="BB279" s="27" t="e">
        <f>AND(AA279&lt;$BA$3,AND(W279/$W$2&gt;$BB$3,X279/$X$2&gt;$BB$3))</f>
        <v>#VALUE!</v>
      </c>
      <c r="BC279" s="27" t="e">
        <f>AND(AA279&lt;$BA$3,OR(W279/$W$2&gt;$BB$3,X279/$X$2&gt;$BB$3))</f>
        <v>#VALUE!</v>
      </c>
      <c r="BE279" s="32" t="s">
        <v>84</v>
      </c>
    </row>
    <row r="280" spans="1:57" s="27" customFormat="1" ht="12.75" customHeight="1" x14ac:dyDescent="0.2">
      <c r="A280" s="10">
        <v>555637</v>
      </c>
      <c r="B280" s="2">
        <v>22</v>
      </c>
      <c r="C280" s="10">
        <v>22</v>
      </c>
      <c r="D280" s="10">
        <v>25</v>
      </c>
      <c r="E280" s="10"/>
      <c r="F280" s="10"/>
      <c r="G280" s="10"/>
      <c r="H280" s="10"/>
      <c r="I280" s="10"/>
      <c r="J280" s="2">
        <v>30</v>
      </c>
      <c r="K280" s="10">
        <v>52</v>
      </c>
      <c r="L280" s="10">
        <v>50</v>
      </c>
      <c r="M280" s="10"/>
      <c r="N280" s="93"/>
      <c r="O280" s="12"/>
      <c r="P280" s="10">
        <v>101</v>
      </c>
      <c r="Q280" s="41"/>
      <c r="R280" s="2"/>
      <c r="S280" s="10"/>
      <c r="T280" s="13"/>
      <c r="U280" s="1">
        <f t="array" ref="U280">IF(AND(A280&lt;&gt;"",OR(ISNUMBER(B280:I280))),SUM(B280:I280),"")</f>
        <v>69</v>
      </c>
      <c r="V280" s="10">
        <f t="array" ref="V280">IF(AND(A280&lt;&gt;"",OR(ISNUMBER(J280:O280))),SUM(J280:O280),"")</f>
        <v>132</v>
      </c>
      <c r="W280" s="10">
        <f t="array" ref="W280">IF(AND(A280&lt;&gt;"",OR(ISNUMBER(P280),ISNUMBER(Q280))),SUM(MAX(P280:Q280),Q280),"")</f>
        <v>101</v>
      </c>
      <c r="X280" s="10" t="str">
        <f t="array" ref="X280">IF(AND(A280&lt;&gt;"",OR(ISNUMBER(S280),ISNUMBER(T280))),SUM(S280,T280),"")</f>
        <v/>
      </c>
      <c r="Y280" s="13">
        <v>1</v>
      </c>
      <c r="Z280" s="13">
        <f>IF(A280&lt;&gt;"",SUM(U280:Y280),"")</f>
        <v>303</v>
      </c>
      <c r="AA280" s="27">
        <f>IF(A280&lt;&gt;"",(Z280+Normalize_To_Add)/(Point_Total_So_Far)*100,"")</f>
        <v>99.344262295081961</v>
      </c>
      <c r="AB280" s="10">
        <f>IF(A280&lt;&gt;"",RANK(AA280,All_Student_XC),"")</f>
        <v>145</v>
      </c>
      <c r="AC280" s="32" t="str">
        <f>IF(A280&lt;&gt;"",CHOOSE(10-MIN(9,TRUNC((AA280+0.5)/10)),"A","B","C","D","F","F","F","F","F","F"),"")</f>
        <v>A</v>
      </c>
      <c r="AD280" s="32" t="str">
        <f>IF(A280&lt;&gt;"",IF(OR(AA280+0.5&gt;=93,AA280+0.5&lt;60),"",IF(MOD(AA280+0.5,10)&gt;=7,"+",IF(MOD(AA280+0.5,10)&lt;3,"-",""))),"")</f>
        <v/>
      </c>
      <c r="AE280" s="32">
        <f>IF(A280&lt;&gt;"",SUM(W280:X280,$W$8:$X$8)/SUM($W$2:$X$2)*100,"")</f>
        <v>101</v>
      </c>
      <c r="AF280" s="32" t="str">
        <f>IF(A280&lt;&gt;"",CHOOSE(10-MIN(9,TRUNC((AE280+0.5)/10)),"A","B","C","D","F","F","F","F","F","F"),"")</f>
        <v>A</v>
      </c>
      <c r="AG280" s="32" t="str">
        <f>IF(A280&lt;&gt;"",IF(OR(AE280+0.5&gt;=93,AE280+0.5&lt;60),"",IF(MOD(AE280+0.5,10)&gt;=7,"+",IF(MOD(AE280+0.5,10)&lt;3,"-",""))),"")</f>
        <v/>
      </c>
      <c r="AH280" s="36">
        <f>IF(A280&lt;&gt;"",MIN(MAX(AA280,AE280),AA280+$AH$8,AE280+$AH$8),"")</f>
        <v>101</v>
      </c>
      <c r="AI280" s="32" t="str">
        <f>IF(A280&lt;&gt;"",CHOOSE(10-MIN(9,TRUNC((AH280+0.5)/10)),"A","B","C","D","F","F","F","F","F","F"),"")</f>
        <v>A</v>
      </c>
      <c r="AJ280" s="32" t="str">
        <f>IF(A280&lt;&gt;"",IF(OR(AH280+0.5&gt;=93,AH280+0.5&lt;60),"",IF(MOD(AH280+0.5,10)&gt;=7,"+",IF(MOD(AH280+0.5,10)&lt;3,"-",""))),"")</f>
        <v/>
      </c>
      <c r="AK280" s="32" t="b">
        <f>IF(A280&lt;&gt;"",OR(AI280&lt;&gt;AC280,AJ280&lt;&gt;AD280),"")</f>
        <v>0</v>
      </c>
      <c r="AL280" s="84">
        <f>IF(AND(A280&lt;&gt;"",U280&lt;&gt;""),SUM(U280,$AL$8)/$AL$2*100,"")</f>
        <v>92</v>
      </c>
      <c r="AM280" s="24">
        <f>IF(AND(A280&lt;&gt;"",V280&lt;&gt;""),SUM(V280,$AM$8)/$AM$2*100,"")</f>
        <v>101.53846153846153</v>
      </c>
      <c r="AN280" s="24">
        <f>IF(AND(A280&lt;&gt;"",ISNUMBER(P280),P280&gt;=0),SUM(P280,$AN$8)/$AN$2*100,"")</f>
        <v>101</v>
      </c>
      <c r="AO280" s="24" t="str">
        <f>IF(AND(A280&lt;&gt;"",ISNUMBER(Q280),Q280&gt;=0),SUM(Q280,$AO$8)/$AO$2*100,"")</f>
        <v/>
      </c>
      <c r="AP280" s="24" t="str">
        <f>IF(AND(A280&lt;&gt;"",R280&lt;&gt;""),SUM(R280,$AP$8)/$AP$2*100,"")</f>
        <v/>
      </c>
      <c r="AQ280" s="24">
        <f>IF(AND(A280&lt;&gt;"",ISNUMBER(W280),W280&gt;=0),SUM(W280,$AQ$8)/$AQ$2*100,"")</f>
        <v>101</v>
      </c>
      <c r="AR280" s="24" t="str">
        <f>IF(AND(A280&lt;&gt;"",T280&gt;0,ISNUMBER(T280)),SUM(T280,$AR$8)/$AR$2*100,"")</f>
        <v/>
      </c>
      <c r="AS280" s="24" t="str">
        <f>IF(AND(A280&lt;&gt;"",X280&lt;&gt;""),SUM(X280,$AS$8)/$AS$2*100,"")</f>
        <v/>
      </c>
      <c r="AT280" s="89">
        <f>IF(AND(A280&lt;&gt;"",OR(ISNUMBER(W280),ISNUMBER(X280))),SUM(W280:X280,$AT$8)/$AT$2*100,"")</f>
        <v>101</v>
      </c>
      <c r="AU280" s="24">
        <f>AA280</f>
        <v>99.344262295081961</v>
      </c>
      <c r="AV280" s="24"/>
      <c r="AW280" s="27">
        <f>IF(A280&lt;&gt;"",AE280-AA280,"")</f>
        <v>1.6557377049180388</v>
      </c>
      <c r="AY280" s="27" t="b">
        <f>S280&gt;R280</f>
        <v>0</v>
      </c>
      <c r="BA280" s="27" t="e">
        <f>AND(AA280&gt;$BA$3,(W280+$W$8)/$W$2&lt;$BB$3,(X280+$X$8)/$X$2&lt;$BB$3)</f>
        <v>#VALUE!</v>
      </c>
      <c r="BB280" s="27" t="e">
        <f>AND(AA280&lt;$BA$3,AND(W280/$W$2&gt;$BB$3,X280/$X$2&gt;$BB$3))</f>
        <v>#VALUE!</v>
      </c>
      <c r="BC280" s="27" t="e">
        <f>AND(AA280&lt;$BA$3,OR(W280/$W$2&gt;$BB$3,X280/$X$2&gt;$BB$3))</f>
        <v>#VALUE!</v>
      </c>
      <c r="BE280" s="32" t="s">
        <v>84</v>
      </c>
    </row>
    <row r="281" spans="1:57" s="27" customFormat="1" ht="12.75" customHeight="1" x14ac:dyDescent="0.2">
      <c r="A281" s="10">
        <v>560307</v>
      </c>
      <c r="B281" s="2">
        <v>25</v>
      </c>
      <c r="C281" s="10">
        <v>25</v>
      </c>
      <c r="D281" s="10">
        <v>25</v>
      </c>
      <c r="E281" s="10"/>
      <c r="F281" s="10"/>
      <c r="G281" s="3"/>
      <c r="H281" s="10"/>
      <c r="I281" s="10"/>
      <c r="J281" s="2">
        <v>31</v>
      </c>
      <c r="K281" s="10">
        <v>52</v>
      </c>
      <c r="L281" s="10">
        <v>52</v>
      </c>
      <c r="M281" s="10"/>
      <c r="N281" s="93"/>
      <c r="O281" s="12"/>
      <c r="P281" s="56">
        <v>101</v>
      </c>
      <c r="Q281" s="41"/>
      <c r="R281" s="2"/>
      <c r="S281" s="10"/>
      <c r="T281" s="13"/>
      <c r="U281" s="1">
        <f t="array" ref="U281">IF(AND(A281&lt;&gt;"",OR(ISNUMBER(B281:I281))),SUM(B281:I281),"")</f>
        <v>75</v>
      </c>
      <c r="V281" s="10">
        <f t="array" ref="V281">IF(AND(A281&lt;&gt;"",OR(ISNUMBER(J281:O281))),SUM(J281:O281),"")</f>
        <v>135</v>
      </c>
      <c r="W281" s="10">
        <f t="array" ref="W281">IF(AND(A281&lt;&gt;"",OR(ISNUMBER(P281),ISNUMBER(Q281))),SUM(MAX(P281:Q281),Q281),"")</f>
        <v>101</v>
      </c>
      <c r="X281" s="10" t="str">
        <f t="array" ref="X281">IF(AND(A281&lt;&gt;"",OR(ISNUMBER(S281),ISNUMBER(T281))),SUM(S281,T281),"")</f>
        <v/>
      </c>
      <c r="Y281" s="13">
        <v>1</v>
      </c>
      <c r="Z281" s="13">
        <f>IF(A281&lt;&gt;"",SUM(U281:Y281),"")</f>
        <v>312</v>
      </c>
      <c r="AA281" s="27">
        <f>IF(A281&lt;&gt;"",(Z281+Normalize_To_Add)/(Point_Total_So_Far)*100,"")</f>
        <v>102.29508196721311</v>
      </c>
      <c r="AB281" s="10">
        <f>IF(A281&lt;&gt;"",RANK(AA281,All_Student_XC),"")</f>
        <v>2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>
        <f>IF(A281&lt;&gt;"",SUM(W281:X281,$W$8:$X$8)/SUM($W$2:$X$2)*100,"")</f>
        <v>101</v>
      </c>
      <c r="AF281" s="32" t="str">
        <f>IF(A281&lt;&gt;"",CHOOSE(10-MIN(9,TRUNC((AE281+0.5)/10)),"A","B","C","D","F","F","F","F","F","F"),"")</f>
        <v>A</v>
      </c>
      <c r="AG281" s="32" t="str">
        <f>IF(A281&lt;&gt;"",IF(OR(AE281+0.5&gt;=93,AE281+0.5&lt;60),"",IF(MOD(AE281+0.5,10)&gt;=7,"+",IF(MOD(AE281+0.5,10)&lt;3,"-",""))),"")</f>
        <v/>
      </c>
      <c r="AH281" s="36">
        <f>IF(A281&lt;&gt;"",MIN(MAX(AA281,AE281),AA281+$AH$8,AE281+$AH$8),"")</f>
        <v>102.29508196721311</v>
      </c>
      <c r="AI281" s="32" t="str">
        <f>IF(A281&lt;&gt;"",CHOOSE(10-MIN(9,TRUNC((AH281+0.5)/10)),"A","B","C","D","F","F","F","F","F","F"),"")</f>
        <v>A</v>
      </c>
      <c r="AJ281" s="32" t="str">
        <f>IF(A281&lt;&gt;"",IF(OR(AH281+0.5&gt;=93,AH281+0.5&lt;60),"",IF(MOD(AH281+0.5,10)&gt;=7,"+",IF(MOD(AH281+0.5,10)&lt;3,"-",""))),"")</f>
        <v/>
      </c>
      <c r="AK281" s="32" t="b">
        <f>IF(A281&lt;&gt;"",OR(AI281&lt;&gt;AC281,AJ281&lt;&gt;AD281),"")</f>
        <v>0</v>
      </c>
      <c r="AL281" s="84">
        <f>IF(AND(A281&lt;&gt;"",U281&lt;&gt;""),SUM(U281,$AL$8)/$AL$2*100,"")</f>
        <v>100</v>
      </c>
      <c r="AM281" s="24">
        <f>IF(AND(A281&lt;&gt;"",V281&lt;&gt;""),SUM(V281,$AM$8)/$AM$2*100,"")</f>
        <v>103.84615384615385</v>
      </c>
      <c r="AN281" s="24">
        <f>IF(AND(A281&lt;&gt;"",ISNUMBER(P281),P281&gt;=0),SUM(P281,$AN$8)/$AN$2*100,"")</f>
        <v>101</v>
      </c>
      <c r="AO281" s="24" t="str">
        <f>IF(AND(A281&lt;&gt;"",ISNUMBER(Q281),Q281&gt;=0),SUM(Q281,$AO$8)/$AO$2*100,"")</f>
        <v/>
      </c>
      <c r="AP281" s="24" t="str">
        <f>IF(AND(A281&lt;&gt;"",R281&lt;&gt;""),SUM(R281,$AP$8)/$AP$2*100,"")</f>
        <v/>
      </c>
      <c r="AQ281" s="24">
        <f>IF(AND(A281&lt;&gt;"",ISNUMBER(W281),W281&gt;=0),SUM(W281,$AQ$8)/$AQ$2*100,"")</f>
        <v>101</v>
      </c>
      <c r="AR281" s="24" t="str">
        <f>IF(AND(A281&lt;&gt;"",T281&gt;0,ISNUMBER(T281)),SUM(T281,$AR$8)/$AR$2*100,"")</f>
        <v/>
      </c>
      <c r="AS281" s="24" t="str">
        <f>IF(AND(A281&lt;&gt;"",X281&lt;&gt;""),SUM(X281,$AS$8)/$AS$2*100,"")</f>
        <v/>
      </c>
      <c r="AT281" s="89">
        <f>IF(AND(A281&lt;&gt;"",OR(ISNUMBER(W281),ISNUMBER(X281))),SUM(W281:X281,$AT$8)/$AT$2*100,"")</f>
        <v>101</v>
      </c>
      <c r="AU281" s="24">
        <f>AA281</f>
        <v>102.29508196721311</v>
      </c>
      <c r="AV281" s="24"/>
      <c r="AW281" s="27">
        <f>IF(A281&lt;&gt;"",AE281-AA281,"")</f>
        <v>-1.2950819672131075</v>
      </c>
      <c r="AY281" s="27" t="b">
        <f>S281&gt;R281</f>
        <v>0</v>
      </c>
      <c r="BA281" s="27" t="e">
        <f>AND(AA281&gt;$BA$3,(W281+$W$8)/$W$2&lt;$BB$3,(X281+$X$8)/$X$2&lt;$BB$3)</f>
        <v>#VALUE!</v>
      </c>
      <c r="BB281" s="27" t="e">
        <f>AND(AA281&lt;$BA$3,AND(W281/$W$2&gt;$BB$3,X281/$X$2&gt;$BB$3))</f>
        <v>#VALUE!</v>
      </c>
      <c r="BC281" s="27" t="e">
        <f>AND(AA281&lt;$BA$3,OR(W281/$W$2&gt;$BB$3,X281/$X$2&gt;$BB$3))</f>
        <v>#VALUE!</v>
      </c>
      <c r="BE281" s="32" t="s">
        <v>84</v>
      </c>
    </row>
    <row r="282" spans="1:57" s="27" customFormat="1" ht="12.75" customHeight="1" x14ac:dyDescent="0.2">
      <c r="A282" s="10">
        <v>563301</v>
      </c>
      <c r="B282" s="2">
        <v>25</v>
      </c>
      <c r="C282" s="10">
        <v>23</v>
      </c>
      <c r="D282" s="10">
        <v>25</v>
      </c>
      <c r="E282" s="10"/>
      <c r="F282" s="10"/>
      <c r="G282" s="3"/>
      <c r="H282" s="10"/>
      <c r="I282" s="10"/>
      <c r="J282" s="2">
        <v>32</v>
      </c>
      <c r="K282" s="10">
        <v>52</v>
      </c>
      <c r="L282" s="10">
        <v>52</v>
      </c>
      <c r="M282" s="10"/>
      <c r="N282" s="93"/>
      <c r="O282" s="12"/>
      <c r="P282" s="10">
        <v>101</v>
      </c>
      <c r="Q282" s="41"/>
      <c r="R282" s="2"/>
      <c r="S282" s="10"/>
      <c r="T282" s="13"/>
      <c r="U282" s="1">
        <f t="array" ref="U282">IF(AND(A282&lt;&gt;"",OR(ISNUMBER(B282:I282))),SUM(B282:I282),"")</f>
        <v>73</v>
      </c>
      <c r="V282" s="10">
        <f t="array" ref="V282">IF(AND(A282&lt;&gt;"",OR(ISNUMBER(J282:O282))),SUM(J282:O282),"")</f>
        <v>136</v>
      </c>
      <c r="W282" s="10">
        <f t="array" ref="W282">IF(AND(A282&lt;&gt;"",OR(ISNUMBER(P282),ISNUMBER(Q282))),SUM(MAX(P282:Q282),Q282),"")</f>
        <v>101</v>
      </c>
      <c r="X282" s="10" t="str">
        <f t="array" ref="X282">IF(AND(A282&lt;&gt;"",OR(ISNUMBER(S282),ISNUMBER(T282))),SUM(S282,T282),"")</f>
        <v/>
      </c>
      <c r="Y282" s="13">
        <v>1</v>
      </c>
      <c r="Z282" s="13">
        <f>IF(A282&lt;&gt;"",SUM(U282:Y282),"")</f>
        <v>311</v>
      </c>
      <c r="AA282" s="27">
        <f>IF(A282&lt;&gt;"",(Z282+Normalize_To_Add)/(Point_Total_So_Far)*100,"")</f>
        <v>101.9672131147541</v>
      </c>
      <c r="AB282" s="10">
        <f>IF(A282&lt;&gt;"",RANK(AA282,All_Student_XC),"")</f>
        <v>7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>
        <f>IF(A282&lt;&gt;"",SUM(W282:X282,$W$8:$X$8)/SUM($W$2:$X$2)*100,"")</f>
        <v>101</v>
      </c>
      <c r="AF282" s="44" t="str">
        <f>IF(A282&lt;&gt;"",CHOOSE(10-MIN(9,TRUNC((AE282+0.5)/10)),"A","B","C","D","F","F","F","F","F","F"),"")</f>
        <v>A</v>
      </c>
      <c r="AG282" s="44" t="str">
        <f>IF(A282&lt;&gt;"",IF(OR(AE282+0.5&gt;=93,AE282+0.5&lt;60),"",IF(MOD(AE282+0.5,10)&gt;=7,"+",IF(MOD(AE282+0.5,10)&lt;3,"-",""))),"")</f>
        <v/>
      </c>
      <c r="AH282" s="36">
        <f>IF(A282&lt;&gt;"",MIN(MAX(AA282,AE282),AA282+$AH$8,AE282+$AH$8),"")</f>
        <v>101.9672131147541</v>
      </c>
      <c r="AI282" s="32" t="str">
        <f>IF(A282&lt;&gt;"",CHOOSE(10-MIN(9,TRUNC((AH282+0.5)/10)),"A","B","C","D","F","F","F","F","F","F"),"")</f>
        <v>A</v>
      </c>
      <c r="AJ282" s="32" t="str">
        <f>IF(A282&lt;&gt;"",IF(OR(AH282+0.5&gt;=93,AH282+0.5&lt;60),"",IF(MOD(AH282+0.5,10)&gt;=7,"+",IF(MOD(AH282+0.5,10)&lt;3,"-",""))),"")</f>
        <v/>
      </c>
      <c r="AK282" s="32" t="b">
        <f>IF(A282&lt;&gt;"",OR(AI282&lt;&gt;AC282,AJ282&lt;&gt;AD282),"")</f>
        <v>0</v>
      </c>
      <c r="AL282" s="84">
        <f>IF(AND(A282&lt;&gt;"",U282&lt;&gt;""),SUM(U282,$AL$8)/$AL$2*100,"")</f>
        <v>97.333333333333343</v>
      </c>
      <c r="AM282" s="24">
        <f>IF(AND(A282&lt;&gt;"",V282&lt;&gt;""),SUM(V282,$AM$8)/$AM$2*100,"")</f>
        <v>104.61538461538463</v>
      </c>
      <c r="AN282" s="24">
        <f>IF(AND(A282&lt;&gt;"",ISNUMBER(P282),P282&gt;=0),SUM(P282,$AN$8)/$AN$2*100,"")</f>
        <v>101</v>
      </c>
      <c r="AO282" s="24" t="str">
        <f>IF(AND(A282&lt;&gt;"",ISNUMBER(Q282),Q282&gt;=0),SUM(Q282,$AO$8)/$AO$2*100,"")</f>
        <v/>
      </c>
      <c r="AP282" s="24" t="str">
        <f>IF(AND(A282&lt;&gt;"",R282&lt;&gt;""),SUM(R282,$AP$8)/$AP$2*100,"")</f>
        <v/>
      </c>
      <c r="AQ282" s="24">
        <f>IF(AND(A282&lt;&gt;"",ISNUMBER(W282),W282&gt;=0),SUM(W282,$AQ$8)/$AQ$2*100,"")</f>
        <v>101</v>
      </c>
      <c r="AR282" s="24" t="str">
        <f>IF(AND(A282&lt;&gt;"",T282&gt;0,ISNUMBER(T282)),SUM(T282,$AR$8)/$AR$2*100,"")</f>
        <v/>
      </c>
      <c r="AS282" s="24" t="str">
        <f>IF(AND(A282&lt;&gt;"",X282&lt;&gt;""),SUM(X282,$AS$8)/$AS$2*100,"")</f>
        <v/>
      </c>
      <c r="AT282" s="89">
        <f>IF(AND(A282&lt;&gt;"",OR(ISNUMBER(W282),ISNUMBER(X282))),SUM(W282:X282,$AT$8)/$AT$2*100,"")</f>
        <v>101</v>
      </c>
      <c r="AU282" s="24">
        <f>AA282</f>
        <v>101.9672131147541</v>
      </c>
      <c r="AV282" s="24"/>
      <c r="AW282" s="27">
        <f>IF(A282&lt;&gt;"",AE282-AA282,"")</f>
        <v>-0.96721311475410232</v>
      </c>
      <c r="AY282" s="27" t="b">
        <f>S282&gt;R282</f>
        <v>0</v>
      </c>
      <c r="BA282" s="27" t="e">
        <f>AND(AA282&gt;$BA$3,(W282+$W$8)/$W$2&lt;$BB$3,(X282+$X$8)/$X$2&lt;$BB$3)</f>
        <v>#VALUE!</v>
      </c>
      <c r="BB282" s="27" t="e">
        <f>AND(AA282&lt;$BA$3,AND(W282/$W$2&gt;$BB$3,X282/$X$2&gt;$BB$3))</f>
        <v>#VALUE!</v>
      </c>
      <c r="BC282" s="27" t="e">
        <f>AND(AA282&lt;$BA$3,OR(W282/$W$2&gt;$BB$3,X282/$X$2&gt;$BB$3))</f>
        <v>#VALUE!</v>
      </c>
      <c r="BE282" s="32">
        <v>32</v>
      </c>
    </row>
    <row r="283" spans="1:57" s="27" customFormat="1" ht="12.75" customHeight="1" x14ac:dyDescent="0.2">
      <c r="A283" s="7">
        <v>563706</v>
      </c>
      <c r="B283" s="2">
        <v>3</v>
      </c>
      <c r="C283" s="10">
        <v>21</v>
      </c>
      <c r="D283" s="10">
        <v>21</v>
      </c>
      <c r="E283" s="10"/>
      <c r="F283" s="10"/>
      <c r="G283" s="3"/>
      <c r="H283" s="10"/>
      <c r="I283" s="10"/>
      <c r="J283" s="2">
        <v>29</v>
      </c>
      <c r="K283" s="10">
        <v>36</v>
      </c>
      <c r="L283" s="10">
        <v>47</v>
      </c>
      <c r="M283" s="10"/>
      <c r="N283" s="93"/>
      <c r="O283" s="12"/>
      <c r="P283" s="10">
        <v>30</v>
      </c>
      <c r="Q283" s="41"/>
      <c r="R283" s="2"/>
      <c r="S283" s="10"/>
      <c r="T283" s="13"/>
      <c r="U283" s="1">
        <f t="array" ref="U283">IF(AND(A283&lt;&gt;"",OR(ISNUMBER(B283:I283))),SUM(B283:I283),"")</f>
        <v>45</v>
      </c>
      <c r="V283" s="10">
        <f t="array" ref="V283">IF(AND(A283&lt;&gt;"",OR(ISNUMBER(J283:O283))),SUM(J283:O283),"")</f>
        <v>112</v>
      </c>
      <c r="W283" s="10">
        <f t="array" ref="W283">IF(AND(A283&lt;&gt;"",OR(ISNUMBER(P283),ISNUMBER(Q283))),SUM(MAX(P283:Q283),Q283),"")</f>
        <v>30</v>
      </c>
      <c r="X283" s="10" t="str">
        <f t="array" ref="X283">IF(AND(A283&lt;&gt;"",OR(ISNUMBER(S283),ISNUMBER(T283))),SUM(S283,T283),"")</f>
        <v/>
      </c>
      <c r="Y283" s="13">
        <v>1</v>
      </c>
      <c r="Z283" s="13">
        <f>IF(A283&lt;&gt;"",SUM(U283:Y283),"")</f>
        <v>188</v>
      </c>
      <c r="AA283" s="27">
        <f>IF(A283&lt;&gt;"",(Z283+Normalize_To_Add)/(Point_Total_So_Far)*100,"")</f>
        <v>61.639344262295083</v>
      </c>
      <c r="AB283" s="10">
        <f>IF(A283&lt;&gt;"",RANK(AA283,All_Student_XC),"")</f>
        <v>473</v>
      </c>
      <c r="AC283" s="32" t="str">
        <f>IF(A283&lt;&gt;"",CHOOSE(10-MIN(9,TRUNC((AA283+0.5)/10)),"A","B","C","D","F","F","F","F","F","F"),"")</f>
        <v>D</v>
      </c>
      <c r="AD283" s="32" t="str">
        <f>IF(A283&lt;&gt;"",IF(OR(AA283+0.5&gt;=93,AA283+0.5&lt;60),"",IF(MOD(AA283+0.5,10)&gt;=7,"+",IF(MOD(AA283+0.5,10)&lt;3,"-",""))),"")</f>
        <v>-</v>
      </c>
      <c r="AE283" s="32">
        <f>IF(A283&lt;&gt;"",SUM(W283:X283,$W$8:$X$8)/SUM($W$2:$X$2)*100,"")</f>
        <v>30</v>
      </c>
      <c r="AF283" s="32" t="str">
        <f>IF(A283&lt;&gt;"",CHOOSE(10-MIN(9,TRUNC((AE283+0.5)/10)),"A","B","C","D","F","F","F","F","F","F"),"")</f>
        <v>F</v>
      </c>
      <c r="AG283" s="32" t="str">
        <f>IF(A283&lt;&gt;"",IF(OR(AE283+0.5&gt;=93,AE283+0.5&lt;60),"",IF(MOD(AE283+0.5,10)&gt;=7,"+",IF(MOD(AE283+0.5,10)&lt;3,"-",""))),"")</f>
        <v/>
      </c>
      <c r="AH283" s="36">
        <f>IF(A283&lt;&gt;"",MIN(MAX(AA283,AE283),AA283+$AH$8,AE283+$AH$8),"")</f>
        <v>61.639344262295083</v>
      </c>
      <c r="AI283" s="32" t="str">
        <f>IF(A283&lt;&gt;"",CHOOSE(10-MIN(9,TRUNC((AH283+0.5)/10)),"A","B","C","D","F","F","F","F","F","F"),"")</f>
        <v>D</v>
      </c>
      <c r="AJ283" s="32" t="str">
        <f>IF(A283&lt;&gt;"",IF(OR(AH283+0.5&gt;=93,AH283+0.5&lt;60),"",IF(MOD(AH283+0.5,10)&gt;=7,"+",IF(MOD(AH283+0.5,10)&lt;3,"-",""))),"")</f>
        <v>-</v>
      </c>
      <c r="AK283" s="32" t="b">
        <f>IF(A283&lt;&gt;"",OR(AI283&lt;&gt;AC283,AJ283&lt;&gt;AD283),"")</f>
        <v>0</v>
      </c>
      <c r="AL283" s="84">
        <f>IF(AND(A283&lt;&gt;"",U283&lt;&gt;""),SUM(U283,$AL$8)/$AL$2*100,"")</f>
        <v>60</v>
      </c>
      <c r="AM283" s="24">
        <f>IF(AND(A283&lt;&gt;"",V283&lt;&gt;""),SUM(V283,$AM$8)/$AM$2*100,"")</f>
        <v>86.15384615384616</v>
      </c>
      <c r="AN283" s="24">
        <f>IF(AND(A283&lt;&gt;"",ISNUMBER(P283),P283&gt;=0),SUM(P283,$AN$8)/$AN$2*100,"")</f>
        <v>30</v>
      </c>
      <c r="AO283" s="24" t="str">
        <f>IF(AND(A283&lt;&gt;"",ISNUMBER(Q283),Q283&gt;=0),SUM(Q283,$AO$8)/$AO$2*100,"")</f>
        <v/>
      </c>
      <c r="AP283" s="24" t="str">
        <f>IF(AND(A283&lt;&gt;"",R283&lt;&gt;""),SUM(R283,$AP$8)/$AP$2*100,"")</f>
        <v/>
      </c>
      <c r="AQ283" s="24">
        <f>IF(AND(A283&lt;&gt;"",ISNUMBER(W283),W283&gt;=0),SUM(W283,$AQ$8)/$AQ$2*100,"")</f>
        <v>30</v>
      </c>
      <c r="AR283" s="24" t="str">
        <f>IF(AND(A283&lt;&gt;"",T283&gt;0,ISNUMBER(T283)),SUM(T283,$AR$8)/$AR$2*100,"")</f>
        <v/>
      </c>
      <c r="AS283" s="24" t="str">
        <f>IF(AND(A283&lt;&gt;"",X283&lt;&gt;""),SUM(X283,$AS$8)/$AS$2*100,"")</f>
        <v/>
      </c>
      <c r="AT283" s="89">
        <f>IF(AND(A283&lt;&gt;"",OR(ISNUMBER(W283),ISNUMBER(X283))),SUM(W283:X283,$AT$8)/$AT$2*100,"")</f>
        <v>30</v>
      </c>
      <c r="AU283" s="24">
        <f>AA283</f>
        <v>61.639344262295083</v>
      </c>
      <c r="AV283" s="24"/>
      <c r="AW283" s="27">
        <f>IF(A283&lt;&gt;"",AE283-AA283,"")</f>
        <v>-31.639344262295083</v>
      </c>
      <c r="AY283" s="27" t="b">
        <f>S283&gt;R283</f>
        <v>0</v>
      </c>
      <c r="BA283" s="27" t="e">
        <f>AND(AA283&gt;$BA$3,(W283+$W$8)/$W$2&lt;$BB$3,(X283+$X$8)/$X$2&lt;$BB$3)</f>
        <v>#VALUE!</v>
      </c>
      <c r="BB283" s="27" t="e">
        <f>AND(AA283&lt;$BA$3,AND(W283/$W$2&gt;$BB$3,X283/$X$2&gt;$BB$3))</f>
        <v>#VALUE!</v>
      </c>
      <c r="BC283" s="27" t="e">
        <f>AND(AA283&lt;$BA$3,OR(W283/$W$2&gt;$BB$3,X283/$X$2&gt;$BB$3))</f>
        <v>#VALUE!</v>
      </c>
      <c r="BE283" s="32" t="s">
        <v>85</v>
      </c>
    </row>
    <row r="284" spans="1:57" s="27" customFormat="1" ht="12.75" customHeight="1" x14ac:dyDescent="0.2">
      <c r="A284" s="10">
        <v>567365</v>
      </c>
      <c r="B284" s="2">
        <v>19</v>
      </c>
      <c r="C284" s="10">
        <v>23</v>
      </c>
      <c r="D284" s="10">
        <v>25</v>
      </c>
      <c r="E284" s="10"/>
      <c r="F284" s="10"/>
      <c r="G284" s="10"/>
      <c r="H284" s="10"/>
      <c r="I284" s="10"/>
      <c r="J284" s="2">
        <v>31</v>
      </c>
      <c r="K284" s="10">
        <v>52</v>
      </c>
      <c r="L284" s="10">
        <v>51</v>
      </c>
      <c r="M284" s="10"/>
      <c r="N284" s="93"/>
      <c r="O284" s="13"/>
      <c r="P284" s="10">
        <v>101</v>
      </c>
      <c r="Q284" s="10"/>
      <c r="R284" s="2"/>
      <c r="S284" s="10"/>
      <c r="T284" s="13"/>
      <c r="U284" s="1">
        <f t="array" ref="U284">IF(AND(A284&lt;&gt;"",OR(ISNUMBER(B284:I284))),SUM(B284:I284),"")</f>
        <v>67</v>
      </c>
      <c r="V284" s="10">
        <f t="array" ref="V284">IF(AND(A284&lt;&gt;"",OR(ISNUMBER(J284:O284))),SUM(J284:O284),"")</f>
        <v>134</v>
      </c>
      <c r="W284" s="10">
        <f t="array" ref="W284">IF(AND(A284&lt;&gt;"",OR(ISNUMBER(P284),ISNUMBER(Q284))),SUM(MAX(P284:Q284),Q284),"")</f>
        <v>101</v>
      </c>
      <c r="X284" s="10" t="str">
        <f t="array" ref="X284">IF(AND(A284&lt;&gt;"",OR(ISNUMBER(S284),ISNUMBER(T284))),SUM(S284,T284),"")</f>
        <v/>
      </c>
      <c r="Y284" s="13">
        <v>1</v>
      </c>
      <c r="Z284" s="13">
        <f>IF(A284&lt;&gt;"",SUM(U284:Y284),"")</f>
        <v>303</v>
      </c>
      <c r="AA284" s="27">
        <f>IF(A284&lt;&gt;"",(Z284+Normalize_To_Add)/(Point_Total_So_Far)*100,"")</f>
        <v>99.344262295081961</v>
      </c>
      <c r="AB284" s="10">
        <f>IF(A284&lt;&gt;"",RANK(AA284,All_Student_XC),"")</f>
        <v>145</v>
      </c>
      <c r="AC284" s="32" t="str">
        <f>IF(A284&lt;&gt;"",CHOOSE(10-MIN(9,TRUNC((AA284+0.5)/10)),"A","B","C","D","F","F","F","F","F","F"),"")</f>
        <v>A</v>
      </c>
      <c r="AD284" s="31" t="str">
        <f>IF(A284&lt;&gt;"",IF(OR(AA284+0.5&gt;=93,AA284+0.5&lt;60),"",IF(MOD(AA284+0.5,10)&gt;=7,"+",IF(MOD(AA284+0.5,10)&lt;3,"-",""))),"")</f>
        <v/>
      </c>
      <c r="AE284" s="32">
        <f>IF(A284&lt;&gt;"",SUM(W284:X284,$W$8:$X$8)/SUM($W$2:$X$2)*100,"")</f>
        <v>101</v>
      </c>
      <c r="AF284" s="32" t="str">
        <f>IF(A284&lt;&gt;"",CHOOSE(10-MIN(9,TRUNC((AE284+0.5)/10)),"A","B","C","D","F","F","F","F","F","F"),"")</f>
        <v>A</v>
      </c>
      <c r="AG284" s="32" t="str">
        <f>IF(A284&lt;&gt;"",IF(OR(AE284+0.5&gt;=93,AE284+0.5&lt;60),"",IF(MOD(AE284+0.5,10)&gt;=7,"+",IF(MOD(AE284+0.5,10)&lt;3,"-",""))),"")</f>
        <v/>
      </c>
      <c r="AH284" s="36">
        <f>IF(A284&lt;&gt;"",MIN(MAX(AA284,AE284),AA284+$AH$8,AE284+$AH$8),"")</f>
        <v>101</v>
      </c>
      <c r="AI284" s="32" t="str">
        <f>IF(A284&lt;&gt;"",CHOOSE(10-MIN(9,TRUNC((AH284+0.5)/10)),"A","B","C","D","F","F","F","F","F","F"),"")</f>
        <v>A</v>
      </c>
      <c r="AJ284" s="32" t="str">
        <f>IF(A284&lt;&gt;"",IF(OR(AH284+0.5&gt;=93,AH284+0.5&lt;60),"",IF(MOD(AH284+0.5,10)&gt;=7,"+",IF(MOD(AH284+0.5,10)&lt;3,"-",""))),"")</f>
        <v/>
      </c>
      <c r="AK284" s="71" t="b">
        <f>IF(A284&lt;&gt;"",OR(AI284&lt;&gt;AC284,AJ284&lt;&gt;AD284),"")</f>
        <v>0</v>
      </c>
      <c r="AL284" s="86">
        <f>IF(AND(A284&lt;&gt;"",U284&lt;&gt;""),SUM(U284,$AL$8)/$AL$2*100,"")</f>
        <v>89.333333333333329</v>
      </c>
      <c r="AM284" s="71">
        <f>IF(AND(A284&lt;&gt;"",V284&lt;&gt;""),SUM(V284,$AM$8)/$AM$2*100,"")</f>
        <v>103.07692307692307</v>
      </c>
      <c r="AN284" s="71">
        <f>IF(AND(A284&lt;&gt;"",ISNUMBER(P284),P284&gt;=0),SUM(P284,$AN$8)/$AN$2*100,"")</f>
        <v>101</v>
      </c>
      <c r="AO284" s="71" t="str">
        <f>IF(AND(A284&lt;&gt;"",ISNUMBER(Q284),Q284&gt;=0),SUM(Q284,$AO$8)/$AO$2*100,"")</f>
        <v/>
      </c>
      <c r="AP284" s="24" t="str">
        <f>IF(AND(A284&lt;&gt;"",R284&lt;&gt;""),SUM(R284,$AP$8)/$AP$2*100,"")</f>
        <v/>
      </c>
      <c r="AQ284" s="24">
        <f>IF(AND(A284&lt;&gt;"",ISNUMBER(W284),W284&gt;=0),SUM(W284,$AQ$8)/$AQ$2*100,"")</f>
        <v>101</v>
      </c>
      <c r="AR284" s="24" t="str">
        <f>IF(AND(A284&lt;&gt;"",T284&gt;0,ISNUMBER(T284)),SUM(T284,$AR$8)/$AR$2*100,"")</f>
        <v/>
      </c>
      <c r="AS284" s="24" t="str">
        <f>IF(AND(A284&lt;&gt;"",X284&lt;&gt;""),SUM(X284,$AS$8)/$AS$2*100,"")</f>
        <v/>
      </c>
      <c r="AT284" s="89">
        <f>IF(AND(A284&lt;&gt;"",OR(ISNUMBER(W284),ISNUMBER(X284))),SUM(W284:X284,$AT$8)/$AT$2*100,"")</f>
        <v>101</v>
      </c>
      <c r="AU284" s="24">
        <f>AA284</f>
        <v>99.344262295081961</v>
      </c>
      <c r="AV284" s="71"/>
      <c r="AW284" s="27">
        <f>IF(A284&lt;&gt;"",AE284-AA284,"")</f>
        <v>1.6557377049180388</v>
      </c>
      <c r="AY284" s="27" t="b">
        <f>S284&gt;R284</f>
        <v>0</v>
      </c>
      <c r="BA284" s="27" t="e">
        <f>AND(AA284&gt;$BA$3,(W284+$W$8)/$W$2&lt;$BB$3,(X284+$X$8)/$X$2&lt;$BB$3)</f>
        <v>#VALUE!</v>
      </c>
      <c r="BB284" s="27" t="e">
        <f>AND(AA284&lt;$BA$3,AND(W284/$W$2&gt;$BB$3,X284/$X$2&gt;$BB$3))</f>
        <v>#VALUE!</v>
      </c>
      <c r="BC284" s="27" t="e">
        <f>AND(AA284&lt;$BA$3,OR(W284/$W$2&gt;$BB$3,X284/$X$2&gt;$BB$3))</f>
        <v>#VALUE!</v>
      </c>
      <c r="BE284" s="32" t="s">
        <v>84</v>
      </c>
    </row>
    <row r="285" spans="1:57" s="99" customFormat="1" ht="12.75" customHeight="1" x14ac:dyDescent="0.2">
      <c r="A285" s="78">
        <v>567819</v>
      </c>
      <c r="B285" s="97">
        <v>7</v>
      </c>
      <c r="C285" s="78">
        <v>12</v>
      </c>
      <c r="D285" s="78">
        <v>22</v>
      </c>
      <c r="E285" s="78"/>
      <c r="F285" s="78"/>
      <c r="G285" s="78"/>
      <c r="H285" s="78"/>
      <c r="I285" s="78"/>
      <c r="J285" s="97">
        <v>18</v>
      </c>
      <c r="K285" s="78">
        <v>27</v>
      </c>
      <c r="L285" s="78">
        <v>52</v>
      </c>
      <c r="M285" s="78"/>
      <c r="N285" s="103"/>
      <c r="O285" s="98"/>
      <c r="P285" s="78">
        <v>80</v>
      </c>
      <c r="Q285" s="78"/>
      <c r="R285" s="97"/>
      <c r="S285" s="78"/>
      <c r="T285" s="98"/>
      <c r="U285" s="111">
        <f t="array" ref="U285">IF(AND(A285&lt;&gt;"",OR(ISNUMBER(B285:I285))),SUM(B285:I285),"")</f>
        <v>41</v>
      </c>
      <c r="V285" s="78">
        <f t="array" ref="V285">IF(AND(A285&lt;&gt;"",OR(ISNUMBER(J285:O285))),SUM(J285:O285),"")</f>
        <v>97</v>
      </c>
      <c r="W285" s="78">
        <f t="array" ref="W285">IF(AND(A285&lt;&gt;"",OR(ISNUMBER(P285),ISNUMBER(Q285))),SUM(MAX(P285:Q285),Q285),"")</f>
        <v>80</v>
      </c>
      <c r="X285" s="78" t="str">
        <f t="array" ref="X285">IF(AND(A285&lt;&gt;"",OR(ISNUMBER(S285),ISNUMBER(T285))),SUM(S285,T285),"")</f>
        <v/>
      </c>
      <c r="Y285" s="98">
        <v>1</v>
      </c>
      <c r="Z285" s="98">
        <f>IF(A285&lt;&gt;"",SUM(U285:Y285),"")</f>
        <v>219</v>
      </c>
      <c r="AA285" s="99">
        <f>IF(A285&lt;&gt;"",(Z285+Normalize_To_Add)/(Point_Total_So_Far)*100,"")</f>
        <v>71.803278688524586</v>
      </c>
      <c r="AB285" s="78">
        <f>IF(A285&lt;&gt;"",RANK(AA285,All_Student_XC),"")</f>
        <v>451</v>
      </c>
      <c r="AC285" s="100" t="str">
        <f>IF(A285&lt;&gt;"",CHOOSE(10-MIN(9,TRUNC((AA285+0.5)/10)),"A","B","C","D","F","F","F","F","F","F"),"")</f>
        <v>C</v>
      </c>
      <c r="AD285" s="96" t="str">
        <f>IF(A285&lt;&gt;"",IF(OR(AA285+0.5&gt;=93,AA285+0.5&lt;60),"",IF(MOD(AA285+0.5,10)&gt;=7,"+",IF(MOD(AA285+0.5,10)&lt;3,"-",""))),"")</f>
        <v>-</v>
      </c>
      <c r="AE285" s="100">
        <f>IF(A285&lt;&gt;"",SUM(W285:X285,$W$8:$X$8)/SUM($W$2:$X$2)*100,"")</f>
        <v>80</v>
      </c>
      <c r="AF285" s="100" t="str">
        <f>IF(A285&lt;&gt;"",CHOOSE(10-MIN(9,TRUNC((AE285+0.5)/10)),"A","B","C","D","F","F","F","F","F","F"),"")</f>
        <v>B</v>
      </c>
      <c r="AG285" s="100" t="str">
        <f>IF(A285&lt;&gt;"",IF(OR(AE285+0.5&gt;=93,AE285+0.5&lt;60),"",IF(MOD(AE285+0.5,10)&gt;=7,"+",IF(MOD(AE285+0.5,10)&lt;3,"-",""))),"")</f>
        <v>-</v>
      </c>
      <c r="AH285" s="101">
        <f>IF(A285&lt;&gt;"",MIN(MAX(AA285,AE285),AA285+$AH$8,AE285+$AH$8),"")</f>
        <v>80</v>
      </c>
      <c r="AI285" s="100" t="str">
        <f>IF(A285&lt;&gt;"",CHOOSE(10-MIN(9,TRUNC((AH285+0.5)/10)),"A","B","C","D","F","F","F","F","F","F"),"")</f>
        <v>B</v>
      </c>
      <c r="AJ285" s="100" t="str">
        <f>IF(A285&lt;&gt;"",IF(OR(AH285+0.5&gt;=93,AH285+0.5&lt;60),"",IF(MOD(AH285+0.5,10)&gt;=7,"+",IF(MOD(AH285+0.5,10)&lt;3,"-",""))),"")</f>
        <v>-</v>
      </c>
      <c r="AK285" s="95" t="b">
        <f>IF(A285&lt;&gt;"",OR(AI285&lt;&gt;AC285,AJ285&lt;&gt;AD285),"")</f>
        <v>1</v>
      </c>
      <c r="AL285" s="104">
        <f>IF(AND(A285&lt;&gt;"",U285&lt;&gt;""),SUM(U285,$AL$8)/$AL$2*100,"")</f>
        <v>54.666666666666664</v>
      </c>
      <c r="AM285" s="95">
        <f>IF(AND(A285&lt;&gt;"",V285&lt;&gt;""),SUM(V285,$AM$8)/$AM$2*100,"")</f>
        <v>74.615384615384613</v>
      </c>
      <c r="AN285" s="95">
        <f>IF(AND(A285&lt;&gt;"",ISNUMBER(P285),P285&gt;=0),SUM(P285,$AN$8)/$AN$2*100,"")</f>
        <v>80</v>
      </c>
      <c r="AO285" s="95" t="str">
        <f>IF(AND(A285&lt;&gt;"",ISNUMBER(Q285),Q285&gt;=0),SUM(Q285,$AO$8)/$AO$2*100,"")</f>
        <v/>
      </c>
      <c r="AP285" s="94" t="str">
        <f>IF(AND(A285&lt;&gt;"",R285&lt;&gt;""),SUM(R285,$AP$8)/$AP$2*100,"")</f>
        <v/>
      </c>
      <c r="AQ285" s="94">
        <f>IF(AND(A285&lt;&gt;"",ISNUMBER(W285),W285&gt;=0),SUM(W285,$AQ$8)/$AQ$2*100,"")</f>
        <v>80</v>
      </c>
      <c r="AR285" s="94" t="str">
        <f>IF(AND(A285&lt;&gt;"",T285&gt;0,ISNUMBER(T285)),SUM(T285,$AR$8)/$AR$2*100,"")</f>
        <v/>
      </c>
      <c r="AS285" s="94" t="str">
        <f>IF(AND(A285&lt;&gt;"",X285&lt;&gt;""),SUM(X285,$AS$8)/$AS$2*100,"")</f>
        <v/>
      </c>
      <c r="AT285" s="102">
        <f>IF(AND(A285&lt;&gt;"",OR(ISNUMBER(W285),ISNUMBER(X285))),SUM(W285:X285,$AT$8)/$AT$2*100,"")</f>
        <v>80</v>
      </c>
      <c r="AU285" s="94">
        <f>AA285</f>
        <v>71.803278688524586</v>
      </c>
      <c r="AV285" s="95"/>
      <c r="AW285" s="99">
        <f>IF(A285&lt;&gt;"",AE285-AA285,"")</f>
        <v>8.1967213114754145</v>
      </c>
      <c r="AY285" s="99" t="b">
        <f>S285&gt;R285</f>
        <v>0</v>
      </c>
      <c r="BA285" s="99" t="e">
        <f>AND(AA285&gt;$BA$3,(W285+$W$8)/$W$2&lt;$BB$3,(X285+$X$8)/$X$2&lt;$BB$3)</f>
        <v>#VALUE!</v>
      </c>
      <c r="BB285" s="99" t="e">
        <f>AND(AA285&lt;$BA$3,AND(W285/$W$2&gt;$BB$3,X285/$X$2&gt;$BB$3))</f>
        <v>#VALUE!</v>
      </c>
      <c r="BC285" s="99" t="e">
        <f>AND(AA285&lt;$BA$3,OR(W285/$W$2&gt;$BB$3,X285/$X$2&gt;$BB$3))</f>
        <v>#VALUE!</v>
      </c>
      <c r="BE285" s="100" t="s">
        <v>84</v>
      </c>
    </row>
    <row r="286" spans="1:57" s="27" customFormat="1" ht="12.75" customHeight="1" x14ac:dyDescent="0.2">
      <c r="A286" s="10">
        <v>575507</v>
      </c>
      <c r="B286" s="2">
        <v>24</v>
      </c>
      <c r="C286" s="10">
        <v>23</v>
      </c>
      <c r="D286" s="10">
        <v>25</v>
      </c>
      <c r="E286" s="10"/>
      <c r="F286" s="10"/>
      <c r="G286" s="10"/>
      <c r="H286" s="10"/>
      <c r="I286" s="10"/>
      <c r="J286" s="2">
        <v>31</v>
      </c>
      <c r="K286" s="10">
        <v>52</v>
      </c>
      <c r="L286" s="10">
        <v>51</v>
      </c>
      <c r="M286" s="10"/>
      <c r="N286" s="93"/>
      <c r="O286" s="13"/>
      <c r="P286" s="10">
        <v>101</v>
      </c>
      <c r="Q286" s="10"/>
      <c r="R286" s="2"/>
      <c r="S286" s="10"/>
      <c r="T286" s="13"/>
      <c r="U286" s="1">
        <f t="array" ref="U286">IF(AND(A286&lt;&gt;"",OR(ISNUMBER(B286:I286))),SUM(B286:I286),"")</f>
        <v>72</v>
      </c>
      <c r="V286" s="10">
        <f t="array" ref="V286">IF(AND(A286&lt;&gt;"",OR(ISNUMBER(J286:O286))),SUM(J286:O286),"")</f>
        <v>134</v>
      </c>
      <c r="W286" s="10">
        <f t="array" ref="W286">IF(AND(A286&lt;&gt;"",OR(ISNUMBER(P286),ISNUMBER(Q286))),SUM(MAX(P286:Q286),Q286),"")</f>
        <v>101</v>
      </c>
      <c r="X286" s="10" t="str">
        <f t="array" ref="X286">IF(AND(A286&lt;&gt;"",OR(ISNUMBER(S286),ISNUMBER(T286))),SUM(S286,T286),"")</f>
        <v/>
      </c>
      <c r="Y286" s="13">
        <v>1</v>
      </c>
      <c r="Z286" s="13">
        <f>IF(A286&lt;&gt;"",SUM(U286:Y286),"")</f>
        <v>308</v>
      </c>
      <c r="AA286" s="27">
        <f>IF(A286&lt;&gt;"",(Z286+Normalize_To_Add)/(Point_Total_So_Far)*100,"")</f>
        <v>100.98360655737706</v>
      </c>
      <c r="AB286" s="10">
        <f>IF(A286&lt;&gt;"",RANK(AA286,All_Student_XC),"")</f>
        <v>57</v>
      </c>
      <c r="AC286" s="32" t="str">
        <f>IF(A286&lt;&gt;"",CHOOSE(10-MIN(9,TRUNC((AA286+0.5)/10)),"A","B","C","D","F","F","F","F","F","F"),"")</f>
        <v>A</v>
      </c>
      <c r="AD286" s="31" t="str">
        <f>IF(A286&lt;&gt;"",IF(OR(AA286+0.5&gt;=93,AA286+0.5&lt;60),"",IF(MOD(AA286+0.5,10)&gt;=7,"+",IF(MOD(AA286+0.5,10)&lt;3,"-",""))),"")</f>
        <v/>
      </c>
      <c r="AE286" s="32">
        <f>IF(A286&lt;&gt;"",SUM(W286:X286,$W$8:$X$8)/SUM($W$2:$X$2)*100,"")</f>
        <v>101</v>
      </c>
      <c r="AF286" s="32" t="str">
        <f>IF(A286&lt;&gt;"",CHOOSE(10-MIN(9,TRUNC((AE286+0.5)/10)),"A","B","C","D","F","F","F","F","F","F"),"")</f>
        <v>A</v>
      </c>
      <c r="AG286" s="32" t="str">
        <f>IF(A286&lt;&gt;"",IF(OR(AE286+0.5&gt;=93,AE286+0.5&lt;60),"",IF(MOD(AE286+0.5,10)&gt;=7,"+",IF(MOD(AE286+0.5,10)&lt;3,"-",""))),"")</f>
        <v/>
      </c>
      <c r="AH286" s="36">
        <f>IF(A286&lt;&gt;"",MIN(MAX(AA286,AE286),AA286+$AH$8,AE286+$AH$8),"")</f>
        <v>101</v>
      </c>
      <c r="AI286" s="32" t="str">
        <f>IF(A286&lt;&gt;"",CHOOSE(10-MIN(9,TRUNC((AH286+0.5)/10)),"A","B","C","D","F","F","F","F","F","F"),"")</f>
        <v>A</v>
      </c>
      <c r="AJ286" s="32" t="str">
        <f>IF(A286&lt;&gt;"",IF(OR(AH286+0.5&gt;=93,AH286+0.5&lt;60),"",IF(MOD(AH286+0.5,10)&gt;=7,"+",IF(MOD(AH286+0.5,10)&lt;3,"-",""))),"")</f>
        <v/>
      </c>
      <c r="AK286" s="71" t="b">
        <f>IF(A286&lt;&gt;"",OR(AI286&lt;&gt;AC286,AJ286&lt;&gt;AD286),"")</f>
        <v>0</v>
      </c>
      <c r="AL286" s="86">
        <f>IF(AND(A286&lt;&gt;"",U286&lt;&gt;""),SUM(U286,$AL$8)/$AL$2*100,"")</f>
        <v>96</v>
      </c>
      <c r="AM286" s="71">
        <f>IF(AND(A286&lt;&gt;"",V286&lt;&gt;""),SUM(V286,$AM$8)/$AM$2*100,"")</f>
        <v>103.07692307692307</v>
      </c>
      <c r="AN286" s="71">
        <f>IF(AND(A286&lt;&gt;"",ISNUMBER(P286),P286&gt;=0),SUM(P286,$AN$8)/$AN$2*100,"")</f>
        <v>101</v>
      </c>
      <c r="AO286" s="71" t="str">
        <f>IF(AND(A286&lt;&gt;"",ISNUMBER(Q286),Q286&gt;=0),SUM(Q286,$AO$8)/$AO$2*100,"")</f>
        <v/>
      </c>
      <c r="AP286" s="24" t="str">
        <f>IF(AND(A286&lt;&gt;"",R286&lt;&gt;""),SUM(R286,$AP$8)/$AP$2*100,"")</f>
        <v/>
      </c>
      <c r="AQ286" s="24">
        <f>IF(AND(A286&lt;&gt;"",ISNUMBER(W286),W286&gt;=0),SUM(W286,$AQ$8)/$AQ$2*100,"")</f>
        <v>101</v>
      </c>
      <c r="AR286" s="24" t="str">
        <f>IF(AND(A286&lt;&gt;"",T286&gt;0,ISNUMBER(T286)),SUM(T286,$AR$8)/$AR$2*100,"")</f>
        <v/>
      </c>
      <c r="AS286" s="24" t="str">
        <f>IF(AND(A286&lt;&gt;"",X286&lt;&gt;""),SUM(X286,$AS$8)/$AS$2*100,"")</f>
        <v/>
      </c>
      <c r="AT286" s="89">
        <f>IF(AND(A286&lt;&gt;"",OR(ISNUMBER(W286),ISNUMBER(X286))),SUM(W286:X286,$AT$8)/$AT$2*100,"")</f>
        <v>101</v>
      </c>
      <c r="AU286" s="24">
        <f>AA286</f>
        <v>100.98360655737706</v>
      </c>
      <c r="AV286" s="71"/>
      <c r="AW286" s="27">
        <f>IF(A286&lt;&gt;"",AE286-AA286,"")</f>
        <v>1.6393442622941734E-2</v>
      </c>
      <c r="AY286" s="27" t="b">
        <f>S286&gt;R286</f>
        <v>0</v>
      </c>
      <c r="BA286" s="27" t="e">
        <f>AND(AA286&gt;$BA$3,(W286+$W$8)/$W$2&lt;$BB$3,(X286+$X$8)/$X$2&lt;$BB$3)</f>
        <v>#VALUE!</v>
      </c>
      <c r="BB286" s="27" t="e">
        <f>AND(AA286&lt;$BA$3,AND(W286/$W$2&gt;$BB$3,X286/$X$2&gt;$BB$3))</f>
        <v>#VALUE!</v>
      </c>
      <c r="BC286" s="27" t="e">
        <f>AND(AA286&lt;$BA$3,OR(W286/$W$2&gt;$BB$3,X286/$X$2&gt;$BB$3))</f>
        <v>#VALUE!</v>
      </c>
      <c r="BE286" s="32" t="s">
        <v>84</v>
      </c>
    </row>
    <row r="287" spans="1:57" s="27" customFormat="1" ht="12.75" customHeight="1" x14ac:dyDescent="0.2">
      <c r="A287" s="10">
        <v>578006</v>
      </c>
      <c r="B287" s="2">
        <v>25</v>
      </c>
      <c r="C287" s="10">
        <v>25</v>
      </c>
      <c r="D287" s="10">
        <v>25</v>
      </c>
      <c r="E287" s="10"/>
      <c r="F287" s="10"/>
      <c r="G287" s="3"/>
      <c r="H287" s="10"/>
      <c r="I287" s="10"/>
      <c r="J287" s="2">
        <v>31</v>
      </c>
      <c r="K287" s="10">
        <v>52</v>
      </c>
      <c r="L287" s="10">
        <v>52</v>
      </c>
      <c r="M287" s="10"/>
      <c r="N287" s="10"/>
      <c r="O287" s="12"/>
      <c r="P287" s="10">
        <v>101</v>
      </c>
      <c r="Q287" s="41"/>
      <c r="R287" s="2"/>
      <c r="S287" s="10"/>
      <c r="T287" s="13"/>
      <c r="U287" s="35">
        <f t="array" ref="U287">IF(AND(A287&lt;&gt;"",OR(ISNUMBER(B287:I287))),SUM(B287:I287),"")</f>
        <v>75</v>
      </c>
      <c r="V287" s="10">
        <f t="array" ref="V287">IF(AND(A287&lt;&gt;"",OR(ISNUMBER(J287:O287))),SUM(J287:O287),"")</f>
        <v>135</v>
      </c>
      <c r="W287" s="10">
        <f t="array" ref="W287">IF(AND(A287&lt;&gt;"",OR(ISNUMBER(P287),ISNUMBER(Q287))),SUM(MAX(P287:Q287),Q287),"")</f>
        <v>101</v>
      </c>
      <c r="X287" s="10" t="str">
        <f t="array" ref="X287">IF(AND(A287&lt;&gt;"",OR(ISNUMBER(S287),ISNUMBER(T287))),SUM(S287,T287),"")</f>
        <v/>
      </c>
      <c r="Y287" s="13">
        <v>1</v>
      </c>
      <c r="Z287" s="13">
        <f>IF(A287&lt;&gt;"",SUM(U287:Y287),"")</f>
        <v>312</v>
      </c>
      <c r="AA287" s="27">
        <f>IF(A287&lt;&gt;"",(Z287+Normalize_To_Add)/(Point_Total_So_Far)*100,"")</f>
        <v>102.29508196721311</v>
      </c>
      <c r="AB287" s="10">
        <f>IF(A287&lt;&gt;"",RANK(AA287,All_Student_XC),"")</f>
        <v>2</v>
      </c>
      <c r="AC287" s="32" t="str">
        <f>IF(A287&lt;&gt;"",CHOOSE(10-MIN(9,TRUNC((AA287+0.5)/10)),"A","B","C","D","F","F","F","F","F","F"),"")</f>
        <v>A</v>
      </c>
      <c r="AD287" s="32" t="str">
        <f>IF(A287&lt;&gt;"",IF(OR(AA287+0.5&gt;=93,AA287+0.5&lt;60),"",IF(MOD(AA287+0.5,10)&gt;=7,"+",IF(MOD(AA287+0.5,10)&lt;3,"-",""))),"")</f>
        <v/>
      </c>
      <c r="AE287" s="32">
        <f>IF(A287&lt;&gt;"",SUM(W287:X287,$W$8:$X$8)/SUM($W$2:$X$2)*100,"")</f>
        <v>101</v>
      </c>
      <c r="AF287" s="32" t="str">
        <f>IF(A287&lt;&gt;"",CHOOSE(10-MIN(9,TRUNC((AE287+0.5)/10)),"A","B","C","D","F","F","F","F","F","F"),"")</f>
        <v>A</v>
      </c>
      <c r="AG287" s="32" t="str">
        <f>IF(A287&lt;&gt;"",IF(OR(AE287+0.5&gt;=93,AE287+0.5&lt;60),"",IF(MOD(AE287+0.5,10)&gt;=7,"+",IF(MOD(AE287+0.5,10)&lt;3,"-",""))),"")</f>
        <v/>
      </c>
      <c r="AH287" s="36">
        <f>IF(A287&lt;&gt;"",MIN(MAX(AA287,AE287),AA287+$AH$8,AE287+$AH$8),"")</f>
        <v>102.29508196721311</v>
      </c>
      <c r="AI287" s="32" t="str">
        <f>IF(A287&lt;&gt;"",CHOOSE(10-MIN(9,TRUNC((AH287+0.5)/10)),"A","B","C","D","F","F","F","F","F","F"),"")</f>
        <v>A</v>
      </c>
      <c r="AJ287" s="32" t="str">
        <f>IF(A287&lt;&gt;"",IF(OR(AH287+0.5&gt;=93,AH287+0.5&lt;60),"",IF(MOD(AH287+0.5,10)&gt;=7,"+",IF(MOD(AH287+0.5,10)&lt;3,"-",""))),"")</f>
        <v/>
      </c>
      <c r="AK287" s="32" t="b">
        <f>IF(A287&lt;&gt;"",OR(AI287&lt;&gt;AC287,AJ287&lt;&gt;AD287),"")</f>
        <v>0</v>
      </c>
      <c r="AL287" s="84">
        <f>IF(AND(A287&lt;&gt;"",U287&lt;&gt;""),SUM(U287,$AL$8)/$AL$2*100,"")</f>
        <v>100</v>
      </c>
      <c r="AM287" s="24">
        <f>IF(AND(A287&lt;&gt;"",V287&lt;&gt;""),SUM(V287,$AM$8)/$AM$2*100,"")</f>
        <v>103.84615384615385</v>
      </c>
      <c r="AN287" s="24">
        <f>IF(AND(A287&lt;&gt;"",ISNUMBER(P287),P287&gt;=0),SUM(P287,$AN$8)/$AN$2*100,"")</f>
        <v>101</v>
      </c>
      <c r="AO287" s="24" t="str">
        <f>IF(AND(A287&lt;&gt;"",ISNUMBER(Q287),Q287&gt;=0),SUM(Q287,$AO$8)/$AO$2*100,"")</f>
        <v/>
      </c>
      <c r="AP287" s="24" t="str">
        <f>IF(AND(A287&lt;&gt;"",R287&lt;&gt;""),SUM(R287,$AP$8)/$AP$2*100,"")</f>
        <v/>
      </c>
      <c r="AQ287" s="24">
        <f>IF(AND(A287&lt;&gt;"",ISNUMBER(W287),W287&gt;=0),SUM(W287,$AQ$8)/$AQ$2*100,"")</f>
        <v>101</v>
      </c>
      <c r="AR287" s="24" t="str">
        <f>IF(AND(A287&lt;&gt;"",T287&gt;0,ISNUMBER(T287)),SUM(T287,$AR$8)/$AR$2*100,"")</f>
        <v/>
      </c>
      <c r="AS287" s="24" t="str">
        <f>IF(AND(A287&lt;&gt;"",X287&lt;&gt;""),SUM(X287,$AS$8)/$AS$2*100,"")</f>
        <v/>
      </c>
      <c r="AT287" s="89">
        <f>IF(AND(A287&lt;&gt;"",OR(ISNUMBER(W287),ISNUMBER(X287))),SUM(W287:X287,$AT$8)/$AT$2*100,"")</f>
        <v>101</v>
      </c>
      <c r="AU287" s="24">
        <f>AA287</f>
        <v>102.29508196721311</v>
      </c>
      <c r="AV287" s="24"/>
      <c r="AW287" s="27">
        <f>IF(A287&lt;&gt;"",AE287-AA287,"")</f>
        <v>-1.2950819672131075</v>
      </c>
      <c r="AY287" s="27" t="b">
        <f>S287&gt;R287</f>
        <v>0</v>
      </c>
      <c r="BA287" s="27" t="e">
        <f>AND(AA287&gt;$BA$3,(W287+$W$8)/$W$2&lt;$BB$3,(X287+$X$8)/$X$2&lt;$BB$3)</f>
        <v>#VALUE!</v>
      </c>
      <c r="BB287" s="27" t="e">
        <f>AND(AA287&lt;$BA$3,AND(W287/$W$2&gt;$BB$3,X287/$X$2&gt;$BB$3))</f>
        <v>#VALUE!</v>
      </c>
      <c r="BC287" s="27" t="e">
        <f>AND(AA287&lt;$BA$3,OR(W287/$W$2&gt;$BB$3,X287/$X$2&gt;$BB$3))</f>
        <v>#VALUE!</v>
      </c>
      <c r="BE287" s="32" t="s">
        <v>85</v>
      </c>
    </row>
    <row r="288" spans="1:57" s="27" customFormat="1" ht="12.75" customHeight="1" x14ac:dyDescent="0.2">
      <c r="A288" s="10">
        <v>578647</v>
      </c>
      <c r="B288" s="2">
        <v>23</v>
      </c>
      <c r="C288" s="10">
        <v>21</v>
      </c>
      <c r="D288" s="10">
        <v>25</v>
      </c>
      <c r="E288" s="10"/>
      <c r="F288" s="10"/>
      <c r="G288" s="10"/>
      <c r="H288" s="10"/>
      <c r="I288" s="10"/>
      <c r="J288" s="2">
        <v>32</v>
      </c>
      <c r="K288" s="10">
        <v>51</v>
      </c>
      <c r="L288" s="10">
        <v>51</v>
      </c>
      <c r="M288" s="10"/>
      <c r="N288" s="93"/>
      <c r="O288" s="13"/>
      <c r="P288" s="10">
        <v>101</v>
      </c>
      <c r="Q288" s="10"/>
      <c r="R288" s="2"/>
      <c r="S288" s="10"/>
      <c r="T288" s="13"/>
      <c r="U288" s="7">
        <f t="array" ref="U288">IF(AND(A288&lt;&gt;"",OR(ISNUMBER(B288:I288))),SUM(B288:I288),"")</f>
        <v>69</v>
      </c>
      <c r="V288" s="10">
        <f t="array" ref="V288">IF(AND(A288&lt;&gt;"",OR(ISNUMBER(J288:O288))),SUM(J288:O288),"")</f>
        <v>134</v>
      </c>
      <c r="W288" s="10">
        <f t="array" ref="W288">IF(AND(A288&lt;&gt;"",OR(ISNUMBER(P288),ISNUMBER(Q288))),SUM(MAX(P288:Q288),Q288),"")</f>
        <v>101</v>
      </c>
      <c r="X288" s="10" t="str">
        <f t="array" ref="X288">IF(AND(A288&lt;&gt;"",OR(ISNUMBER(S288),ISNUMBER(T288))),SUM(S288,T288),"")</f>
        <v/>
      </c>
      <c r="Y288" s="13">
        <v>1</v>
      </c>
      <c r="Z288" s="13">
        <f>IF(A288&lt;&gt;"",SUM(U288:Y288),"")</f>
        <v>305</v>
      </c>
      <c r="AA288" s="27">
        <f>IF(A288&lt;&gt;"",(Z288+Normalize_To_Add)/(Point_Total_So_Far)*100,"")</f>
        <v>100</v>
      </c>
      <c r="AB288" s="10">
        <f>IF(A288&lt;&gt;"",RANK(AA288,All_Student_XC),"")</f>
        <v>109</v>
      </c>
      <c r="AC288" s="32" t="str">
        <f>IF(A288&lt;&gt;"",CHOOSE(10-MIN(9,TRUNC((AA288+0.5)/10)),"A","B","C","D","F","F","F","F","F","F"),"")</f>
        <v>A</v>
      </c>
      <c r="AD288" s="31" t="str">
        <f>IF(A288&lt;&gt;"",IF(OR(AA288+0.5&gt;=93,AA288+0.5&lt;60),"",IF(MOD(AA288+0.5,10)&gt;=7,"+",IF(MOD(AA288+0.5,10)&lt;3,"-",""))),"")</f>
        <v/>
      </c>
      <c r="AE288" s="32">
        <f>IF(A288&lt;&gt;"",SUM(W288:X288,$W$8:$X$8)/SUM($W$2:$X$2)*100,"")</f>
        <v>101</v>
      </c>
      <c r="AF288" s="32" t="str">
        <f>IF(A288&lt;&gt;"",CHOOSE(10-MIN(9,TRUNC((AE288+0.5)/10)),"A","B","C","D","F","F","F","F","F","F"),"")</f>
        <v>A</v>
      </c>
      <c r="AG288" s="32" t="str">
        <f>IF(A288&lt;&gt;"",IF(OR(AE288+0.5&gt;=93,AE288+0.5&lt;60),"",IF(MOD(AE288+0.5,10)&gt;=7,"+",IF(MOD(AE288+0.5,10)&lt;3,"-",""))),"")</f>
        <v/>
      </c>
      <c r="AH288" s="36">
        <f>IF(A288&lt;&gt;"",MIN(MAX(AA288,AE288),AA288+$AH$8,AE288+$AH$8),"")</f>
        <v>101</v>
      </c>
      <c r="AI288" s="32" t="str">
        <f>IF(A288&lt;&gt;"",CHOOSE(10-MIN(9,TRUNC((AH288+0.5)/10)),"A","B","C","D","F","F","F","F","F","F"),"")</f>
        <v>A</v>
      </c>
      <c r="AJ288" s="32" t="str">
        <f>IF(A288&lt;&gt;"",IF(OR(AH288+0.5&gt;=93,AH288+0.5&lt;60),"",IF(MOD(AH288+0.5,10)&gt;=7,"+",IF(MOD(AH288+0.5,10)&lt;3,"-",""))),"")</f>
        <v/>
      </c>
      <c r="AK288" s="71" t="b">
        <f>IF(A288&lt;&gt;"",OR(AI288&lt;&gt;AC288,AJ288&lt;&gt;AD288),"")</f>
        <v>0</v>
      </c>
      <c r="AL288" s="86">
        <f>IF(AND(A288&lt;&gt;"",U288&lt;&gt;""),SUM(U288,$AL$8)/$AL$2*100,"")</f>
        <v>92</v>
      </c>
      <c r="AM288" s="71">
        <f>IF(AND(A288&lt;&gt;"",V288&lt;&gt;""),SUM(V288,$AM$8)/$AM$2*100,"")</f>
        <v>103.07692307692307</v>
      </c>
      <c r="AN288" s="71">
        <f>IF(AND(A288&lt;&gt;"",ISNUMBER(P288),P288&gt;=0),SUM(P288,$AN$8)/$AN$2*100,"")</f>
        <v>101</v>
      </c>
      <c r="AO288" s="71" t="str">
        <f>IF(AND(A288&lt;&gt;"",ISNUMBER(Q288),Q288&gt;=0),SUM(Q288,$AO$8)/$AO$2*100,"")</f>
        <v/>
      </c>
      <c r="AP288" s="24" t="str">
        <f>IF(AND(A288&lt;&gt;"",R288&lt;&gt;""),SUM(R288,$AP$8)/$AP$2*100,"")</f>
        <v/>
      </c>
      <c r="AQ288" s="24">
        <f>IF(AND(A288&lt;&gt;"",ISNUMBER(W288),W288&gt;=0),SUM(W288,$AQ$8)/$AQ$2*100,"")</f>
        <v>101</v>
      </c>
      <c r="AR288" s="24" t="str">
        <f>IF(AND(A288&lt;&gt;"",T288&gt;0,ISNUMBER(T288)),SUM(T288,$AR$8)/$AR$2*100,"")</f>
        <v/>
      </c>
      <c r="AS288" s="24" t="str">
        <f>IF(AND(A288&lt;&gt;"",X288&lt;&gt;""),SUM(X288,$AS$8)/$AS$2*100,"")</f>
        <v/>
      </c>
      <c r="AT288" s="89">
        <f>IF(AND(A288&lt;&gt;"",OR(ISNUMBER(W288),ISNUMBER(X288))),SUM(W288:X288,$AT$8)/$AT$2*100,"")</f>
        <v>101</v>
      </c>
      <c r="AU288" s="24">
        <f>AA288</f>
        <v>100</v>
      </c>
      <c r="AV288" s="71"/>
      <c r="AW288" s="27">
        <f>IF(A288&lt;&gt;"",AE288-AA288,"")</f>
        <v>1</v>
      </c>
      <c r="AY288" s="27" t="b">
        <f>S288&gt;R288</f>
        <v>0</v>
      </c>
      <c r="BA288" s="27" t="e">
        <f>AND(AA288&gt;$BA$3,(W288+$W$8)/$W$2&lt;$BB$3,(X288+$X$8)/$X$2&lt;$BB$3)</f>
        <v>#VALUE!</v>
      </c>
      <c r="BB288" s="27" t="e">
        <f>AND(AA288&lt;$BA$3,AND(W288/$W$2&gt;$BB$3,X288/$X$2&gt;$BB$3))</f>
        <v>#VALUE!</v>
      </c>
      <c r="BC288" s="27" t="e">
        <f>AND(AA288&lt;$BA$3,OR(W288/$W$2&gt;$BB$3,X288/$X$2&gt;$BB$3))</f>
        <v>#VALUE!</v>
      </c>
      <c r="BE288" s="32" t="s">
        <v>84</v>
      </c>
    </row>
    <row r="289" spans="1:57" s="27" customFormat="1" ht="12.75" customHeight="1" x14ac:dyDescent="0.2">
      <c r="A289" s="10">
        <v>578939</v>
      </c>
      <c r="B289" s="2">
        <v>14</v>
      </c>
      <c r="C289" s="10">
        <v>20</v>
      </c>
      <c r="D289" s="10">
        <v>4</v>
      </c>
      <c r="E289" s="10"/>
      <c r="F289" s="10"/>
      <c r="G289" s="10"/>
      <c r="H289" s="10"/>
      <c r="I289" s="10"/>
      <c r="J289" s="2">
        <v>32</v>
      </c>
      <c r="K289" s="10">
        <v>40</v>
      </c>
      <c r="L289" s="10">
        <v>50</v>
      </c>
      <c r="M289" s="10"/>
      <c r="N289" s="10"/>
      <c r="O289" s="12"/>
      <c r="P289" s="41">
        <v>100</v>
      </c>
      <c r="Q289" s="41"/>
      <c r="R289" s="2"/>
      <c r="S289" s="10"/>
      <c r="T289" s="13"/>
      <c r="U289" s="7">
        <f t="array" ref="U289">IF(AND(A289&lt;&gt;"",OR(ISNUMBER(B289:I289))),SUM(B289:I289),"")</f>
        <v>38</v>
      </c>
      <c r="V289" s="10">
        <f t="array" ref="V289">IF(AND(A289&lt;&gt;"",OR(ISNUMBER(J289:O289))),SUM(J289:O289),"")</f>
        <v>122</v>
      </c>
      <c r="W289" s="10">
        <f t="array" ref="W289">IF(AND(A289&lt;&gt;"",OR(ISNUMBER(P289),ISNUMBER(Q289))),SUM(MAX(P289:Q289),Q289),"")</f>
        <v>100</v>
      </c>
      <c r="X289" s="10" t="str">
        <f t="array" ref="X289">IF(AND(A289&lt;&gt;"",OR(ISNUMBER(S289),ISNUMBER(T289))),SUM(S289,T289),"")</f>
        <v/>
      </c>
      <c r="Y289" s="13">
        <v>1</v>
      </c>
      <c r="Z289" s="13">
        <f>IF(A289&lt;&gt;"",SUM(U289:Y289),"")</f>
        <v>261</v>
      </c>
      <c r="AA289" s="27">
        <f>IF(A289&lt;&gt;"",(Z289+Normalize_To_Add)/(Point_Total_So_Far)*100,"")</f>
        <v>85.573770491803288</v>
      </c>
      <c r="AB289" s="10">
        <f>IF(A289&lt;&gt;"",RANK(AA289,All_Student_XC),"")</f>
        <v>374</v>
      </c>
      <c r="AC289" s="32" t="str">
        <f>IF(A289&lt;&gt;"",CHOOSE(10-MIN(9,TRUNC((AA289+0.5)/10)),"A","B","C","D","F","F","F","F","F","F"),"")</f>
        <v>B</v>
      </c>
      <c r="AD289" s="32" t="str">
        <f>IF(A289&lt;&gt;"",IF(OR(AA289+0.5&gt;=93,AA289+0.5&lt;60),"",IF(MOD(AA289+0.5,10)&gt;=7,"+",IF(MOD(AA289+0.5,10)&lt;3,"-",""))),"")</f>
        <v/>
      </c>
      <c r="AE289" s="32">
        <f>IF(A289&lt;&gt;"",SUM(W289:X289,$W$8:$X$8)/SUM($W$2:$X$2)*100,"")</f>
        <v>100</v>
      </c>
      <c r="AF289" s="32" t="str">
        <f>IF(A289&lt;&gt;"",CHOOSE(10-MIN(9,TRUNC((AE289+0.5)/10)),"A","B","C","D","F","F","F","F","F","F"),"")</f>
        <v>A</v>
      </c>
      <c r="AG289" s="32" t="str">
        <f>IF(A289&lt;&gt;"",IF(OR(AE289+0.5&gt;=93,AE289+0.5&lt;60),"",IF(MOD(AE289+0.5,10)&gt;=7,"+",IF(MOD(AE289+0.5,10)&lt;3,"-",""))),"")</f>
        <v/>
      </c>
      <c r="AH289" s="36">
        <f>IF(A289&lt;&gt;"",MIN(MAX(AA289,AE289),AA289+$AH$8,AE289+$AH$8),"")</f>
        <v>100</v>
      </c>
      <c r="AI289" s="32" t="str">
        <f>IF(A289&lt;&gt;"",CHOOSE(10-MIN(9,TRUNC((AH289+0.5)/10)),"A","B","C","D","F","F","F","F","F","F"),"")</f>
        <v>A</v>
      </c>
      <c r="AJ289" s="32" t="str">
        <f>IF(A289&lt;&gt;"",IF(OR(AH289+0.5&gt;=93,AH289+0.5&lt;60),"",IF(MOD(AH289+0.5,10)&gt;=7,"+",IF(MOD(AH289+0.5,10)&lt;3,"-",""))),"")</f>
        <v/>
      </c>
      <c r="AK289" s="32" t="b">
        <f>IF(A289&lt;&gt;"",OR(AI289&lt;&gt;AC289,AJ289&lt;&gt;AD289),"")</f>
        <v>1</v>
      </c>
      <c r="AL289" s="84">
        <f>IF(AND(A289&lt;&gt;"",U289&lt;&gt;""),SUM(U289,$AL$8)/$AL$2*100,"")</f>
        <v>50.666666666666671</v>
      </c>
      <c r="AM289" s="24">
        <f>IF(AND(A289&lt;&gt;"",V289&lt;&gt;""),SUM(V289,$AM$8)/$AM$2*100,"")</f>
        <v>93.84615384615384</v>
      </c>
      <c r="AN289" s="24">
        <f>IF(AND(A289&lt;&gt;"",ISNUMBER(P289),P289&gt;=0),SUM(P289,$AN$8)/$AN$2*100,"")</f>
        <v>100</v>
      </c>
      <c r="AO289" s="24" t="str">
        <f>IF(AND(A289&lt;&gt;"",ISNUMBER(Q289),Q289&gt;=0),SUM(Q289,$AO$8)/$AO$2*100,"")</f>
        <v/>
      </c>
      <c r="AP289" s="24" t="str">
        <f>IF(AND(A289&lt;&gt;"",R289&lt;&gt;""),SUM(R289,$AP$8)/$AP$2*100,"")</f>
        <v/>
      </c>
      <c r="AQ289" s="24">
        <f>IF(AND(A289&lt;&gt;"",ISNUMBER(W289),W289&gt;=0),SUM(W289,$AQ$8)/$AQ$2*100,"")</f>
        <v>100</v>
      </c>
      <c r="AR289" s="24" t="str">
        <f>IF(AND(A289&lt;&gt;"",T289&gt;0,ISNUMBER(T289)),SUM(T289,$AR$8)/$AR$2*100,"")</f>
        <v/>
      </c>
      <c r="AS289" s="24" t="str">
        <f>IF(AND(A289&lt;&gt;"",X289&lt;&gt;""),SUM(X289,$AS$8)/$AS$2*100,"")</f>
        <v/>
      </c>
      <c r="AT289" s="89">
        <f>IF(AND(A289&lt;&gt;"",OR(ISNUMBER(W289),ISNUMBER(X289))),SUM(W289:X289,$AT$8)/$AT$2*100,"")</f>
        <v>100</v>
      </c>
      <c r="AU289" s="24">
        <f>AA289</f>
        <v>85.573770491803288</v>
      </c>
      <c r="AV289" s="24"/>
      <c r="AW289" s="27">
        <f>IF(A289&lt;&gt;"",AE289-AA289,"")</f>
        <v>14.426229508196712</v>
      </c>
      <c r="AY289" s="27" t="b">
        <f>S289&gt;R289</f>
        <v>0</v>
      </c>
      <c r="BA289" s="27" t="e">
        <f>AND(AA289&gt;$BA$3,(W289+$W$8)/$W$2&lt;$BB$3,(X289+$X$8)/$X$2&lt;$BB$3)</f>
        <v>#VALUE!</v>
      </c>
      <c r="BB289" s="27" t="e">
        <f>AND(AA289&lt;$BA$3,AND(W289/$W$2&gt;$BB$3,X289/$X$2&gt;$BB$3))</f>
        <v>#VALUE!</v>
      </c>
      <c r="BC289" s="27" t="e">
        <f>AND(AA289&lt;$BA$3,OR(W289/$W$2&gt;$BB$3,X289/$X$2&gt;$BB$3))</f>
        <v>#VALUE!</v>
      </c>
      <c r="BE289" s="32" t="s">
        <v>84</v>
      </c>
    </row>
    <row r="290" spans="1:57" s="27" customFormat="1" ht="12.75" customHeight="1" x14ac:dyDescent="0.2">
      <c r="A290" s="10">
        <v>579988</v>
      </c>
      <c r="B290" s="2">
        <v>16</v>
      </c>
      <c r="C290" s="10">
        <v>18</v>
      </c>
      <c r="D290" s="10">
        <v>14</v>
      </c>
      <c r="E290" s="10"/>
      <c r="F290" s="10"/>
      <c r="G290" s="10"/>
      <c r="H290" s="10"/>
      <c r="I290" s="10"/>
      <c r="J290" s="2">
        <v>23</v>
      </c>
      <c r="K290" s="10">
        <v>24</v>
      </c>
      <c r="L290" s="10">
        <v>51</v>
      </c>
      <c r="M290" s="10"/>
      <c r="N290" s="10"/>
      <c r="O290" s="13"/>
      <c r="P290" s="10">
        <v>100</v>
      </c>
      <c r="Q290" s="10"/>
      <c r="R290" s="2"/>
      <c r="S290" s="10"/>
      <c r="T290" s="13"/>
      <c r="U290" s="7">
        <f t="array" ref="U290">IF(AND(A290&lt;&gt;"",OR(ISNUMBER(B290:I290))),SUM(B290:I290),"")</f>
        <v>48</v>
      </c>
      <c r="V290" s="10">
        <f t="array" ref="V290">IF(AND(A290&lt;&gt;"",OR(ISNUMBER(J290:O290))),SUM(J290:O290),"")</f>
        <v>98</v>
      </c>
      <c r="W290" s="10">
        <f t="array" ref="W290">IF(AND(A290&lt;&gt;"",OR(ISNUMBER(P290),ISNUMBER(Q290))),SUM(MAX(P290:Q290),Q290),"")</f>
        <v>100</v>
      </c>
      <c r="X290" s="10" t="str">
        <f t="array" ref="X290">IF(AND(A290&lt;&gt;"",OR(ISNUMBER(S290),ISNUMBER(T290))),SUM(S290,T290),"")</f>
        <v/>
      </c>
      <c r="Y290" s="13">
        <v>1</v>
      </c>
      <c r="Z290" s="13">
        <f>IF(A290&lt;&gt;"",SUM(U290:Y290),"")</f>
        <v>247</v>
      </c>
      <c r="AA290" s="27">
        <f>IF(A290&lt;&gt;"",(Z290+Normalize_To_Add)/(Point_Total_So_Far)*100,"")</f>
        <v>80.983606557377058</v>
      </c>
      <c r="AB290" s="10">
        <f>IF(A290&lt;&gt;"",RANK(AA290,All_Student_XC),"")</f>
        <v>405</v>
      </c>
      <c r="AC290" s="32" t="str">
        <f>IF(A290&lt;&gt;"",CHOOSE(10-MIN(9,TRUNC((AA290+0.5)/10)),"A","B","C","D","F","F","F","F","F","F"),"")</f>
        <v>B</v>
      </c>
      <c r="AD290" s="31" t="str">
        <f>IF(A290&lt;&gt;"",IF(OR(AA290+0.5&gt;=93,AA290+0.5&lt;60),"",IF(MOD(AA290+0.5,10)&gt;=7,"+",IF(MOD(AA290+0.5,10)&lt;3,"-",""))),"")</f>
        <v>-</v>
      </c>
      <c r="AE290" s="32">
        <f>IF(A290&lt;&gt;"",SUM(W290:X290,$W$8:$X$8)/SUM($W$2:$X$2)*100,"")</f>
        <v>100</v>
      </c>
      <c r="AF290" s="32" t="str">
        <f>IF(A290&lt;&gt;"",CHOOSE(10-MIN(9,TRUNC((AE290+0.5)/10)),"A","B","C","D","F","F","F","F","F","F"),"")</f>
        <v>A</v>
      </c>
      <c r="AG290" s="32" t="str">
        <f>IF(A290&lt;&gt;"",IF(OR(AE290+0.5&gt;=93,AE290+0.5&lt;60),"",IF(MOD(AE290+0.5,10)&gt;=7,"+",IF(MOD(AE290+0.5,10)&lt;3,"-",""))),"")</f>
        <v/>
      </c>
      <c r="AH290" s="36">
        <f>IF(A290&lt;&gt;"",MIN(MAX(AA290,AE290),AA290+$AH$8,AE290+$AH$8),"")</f>
        <v>100</v>
      </c>
      <c r="AI290" s="32" t="str">
        <f>IF(A290&lt;&gt;"",CHOOSE(10-MIN(9,TRUNC((AH290+0.5)/10)),"A","B","C","D","F","F","F","F","F","F"),"")</f>
        <v>A</v>
      </c>
      <c r="AJ290" s="32" t="str">
        <f>IF(A290&lt;&gt;"",IF(OR(AH290+0.5&gt;=93,AH290+0.5&lt;60),"",IF(MOD(AH290+0.5,10)&gt;=7,"+",IF(MOD(AH290+0.5,10)&lt;3,"-",""))),"")</f>
        <v/>
      </c>
      <c r="AK290" s="71" t="b">
        <f>IF(A290&lt;&gt;"",OR(AI290&lt;&gt;AC290,AJ290&lt;&gt;AD290),"")</f>
        <v>1</v>
      </c>
      <c r="AL290" s="86">
        <f>IF(AND(A290&lt;&gt;"",U290&lt;&gt;""),SUM(U290,$AL$8)/$AL$2*100,"")</f>
        <v>64</v>
      </c>
      <c r="AM290" s="71">
        <f>IF(AND(A290&lt;&gt;"",V290&lt;&gt;""),SUM(V290,$AM$8)/$AM$2*100,"")</f>
        <v>75.384615384615387</v>
      </c>
      <c r="AN290" s="71">
        <f>IF(AND(A290&lt;&gt;"",ISNUMBER(P290),P290&gt;=0),SUM(P290,$AN$8)/$AN$2*100,"")</f>
        <v>100</v>
      </c>
      <c r="AO290" s="71" t="str">
        <f>IF(AND(A290&lt;&gt;"",ISNUMBER(Q290),Q290&gt;=0),SUM(Q290,$AO$8)/$AO$2*100,"")</f>
        <v/>
      </c>
      <c r="AP290" s="24" t="str">
        <f>IF(AND(A290&lt;&gt;"",R290&lt;&gt;""),SUM(R290,$AP$8)/$AP$2*100,"")</f>
        <v/>
      </c>
      <c r="AQ290" s="24">
        <f>IF(AND(A290&lt;&gt;"",ISNUMBER(W290),W290&gt;=0),SUM(W290,$AQ$8)/$AQ$2*100,"")</f>
        <v>100</v>
      </c>
      <c r="AR290" s="24" t="str">
        <f>IF(AND(A290&lt;&gt;"",T290&gt;0,ISNUMBER(T290)),SUM(T290,$AR$8)/$AR$2*100,"")</f>
        <v/>
      </c>
      <c r="AS290" s="24" t="str">
        <f>IF(AND(A290&lt;&gt;"",X290&lt;&gt;""),SUM(X290,$AS$8)/$AS$2*100,"")</f>
        <v/>
      </c>
      <c r="AT290" s="89">
        <f>IF(AND(A290&lt;&gt;"",OR(ISNUMBER(W290),ISNUMBER(X290))),SUM(W290:X290,$AT$8)/$AT$2*100,"")</f>
        <v>100</v>
      </c>
      <c r="AU290" s="24">
        <f>AA290</f>
        <v>80.983606557377058</v>
      </c>
      <c r="AV290" s="71"/>
      <c r="AW290" s="27">
        <f>IF(A290&lt;&gt;"",AE290-AA290,"")</f>
        <v>19.016393442622942</v>
      </c>
      <c r="AY290" s="27" t="b">
        <f>S290&gt;R290</f>
        <v>0</v>
      </c>
      <c r="BA290" s="27" t="e">
        <f>AND(AA290&gt;$BA$3,(W290+$W$8)/$W$2&lt;$BB$3,(X290+$X$8)/$X$2&lt;$BB$3)</f>
        <v>#VALUE!</v>
      </c>
      <c r="BB290" s="27" t="e">
        <f>AND(AA290&lt;$BA$3,AND(W290/$W$2&gt;$BB$3,X290/$X$2&gt;$BB$3))</f>
        <v>#VALUE!</v>
      </c>
      <c r="BC290" s="27" t="e">
        <f>AND(AA290&lt;$BA$3,OR(W290/$W$2&gt;$BB$3,X290/$X$2&gt;$BB$3))</f>
        <v>#VALUE!</v>
      </c>
      <c r="BE290" s="32">
        <v>32</v>
      </c>
    </row>
    <row r="291" spans="1:57" s="27" customFormat="1" ht="12.75" customHeight="1" x14ac:dyDescent="0.2">
      <c r="A291" s="10">
        <v>581028</v>
      </c>
      <c r="B291" s="2">
        <v>11</v>
      </c>
      <c r="C291" s="10">
        <v>8</v>
      </c>
      <c r="D291" s="10">
        <v>16</v>
      </c>
      <c r="E291" s="10"/>
      <c r="F291" s="10"/>
      <c r="G291" s="10"/>
      <c r="H291" s="10"/>
      <c r="I291" s="10"/>
      <c r="J291" s="2">
        <v>27</v>
      </c>
      <c r="K291" s="10">
        <v>12</v>
      </c>
      <c r="L291" s="10">
        <v>43</v>
      </c>
      <c r="M291" s="10"/>
      <c r="N291" s="10"/>
      <c r="O291" s="12"/>
      <c r="P291" s="41">
        <v>101</v>
      </c>
      <c r="Q291" s="41"/>
      <c r="R291" s="2"/>
      <c r="S291" s="10"/>
      <c r="T291" s="13"/>
      <c r="U291" s="7">
        <f t="array" ref="U291">IF(AND(A291&lt;&gt;"",OR(ISNUMBER(B291:I291))),SUM(B291:I291),"")</f>
        <v>35</v>
      </c>
      <c r="V291" s="10">
        <f t="array" ref="V291">IF(AND(A291&lt;&gt;"",OR(ISNUMBER(J291:O291))),SUM(J291:O291),"")</f>
        <v>82</v>
      </c>
      <c r="W291" s="10">
        <f t="array" ref="W291">IF(AND(A291&lt;&gt;"",OR(ISNUMBER(P291),ISNUMBER(Q291))),SUM(MAX(P291:Q291),Q291),"")</f>
        <v>101</v>
      </c>
      <c r="X291" s="10" t="str">
        <f t="array" ref="X291">IF(AND(A291&lt;&gt;"",OR(ISNUMBER(S291),ISNUMBER(T291))),SUM(S291,T291),"")</f>
        <v/>
      </c>
      <c r="Y291" s="13">
        <v>1</v>
      </c>
      <c r="Z291" s="13">
        <f>IF(A291&lt;&gt;"",SUM(U291:Y291),"")</f>
        <v>219</v>
      </c>
      <c r="AA291" s="27">
        <f>IF(A291&lt;&gt;"",(Z291+Normalize_To_Add)/(Point_Total_So_Far)*100,"")</f>
        <v>71.803278688524586</v>
      </c>
      <c r="AB291" s="10">
        <f>IF(A291&lt;&gt;"",RANK(AA291,All_Student_XC),"")</f>
        <v>451</v>
      </c>
      <c r="AC291" s="32" t="str">
        <f>IF(A291&lt;&gt;"",CHOOSE(10-MIN(9,TRUNC((AA291+0.5)/10)),"A","B","C","D","F","F","F","F","F","F"),"")</f>
        <v>C</v>
      </c>
      <c r="AD291" s="32" t="str">
        <f>IF(A291&lt;&gt;"",IF(OR(AA291+0.5&gt;=93,AA291+0.5&lt;60),"",IF(MOD(AA291+0.5,10)&gt;=7,"+",IF(MOD(AA291+0.5,10)&lt;3,"-",""))),"")</f>
        <v>-</v>
      </c>
      <c r="AE291" s="32">
        <f>IF(A291&lt;&gt;"",SUM(W291:X291,$W$8:$X$8)/SUM($W$2:$X$2)*100,"")</f>
        <v>101</v>
      </c>
      <c r="AF291" s="32" t="str">
        <f>IF(A291&lt;&gt;"",CHOOSE(10-MIN(9,TRUNC((AE291+0.5)/10)),"A","B","C","D","F","F","F","F","F","F"),"")</f>
        <v>A</v>
      </c>
      <c r="AG291" s="32" t="str">
        <f>IF(A291&lt;&gt;"",IF(OR(AE291+0.5&gt;=93,AE291+0.5&lt;60),"",IF(MOD(AE291+0.5,10)&gt;=7,"+",IF(MOD(AE291+0.5,10)&lt;3,"-",""))),"")</f>
        <v/>
      </c>
      <c r="AH291" s="36">
        <f>IF(A291&lt;&gt;"",MIN(MAX(AA291,AE291),AA291+$AH$8,AE291+$AH$8),"")</f>
        <v>101</v>
      </c>
      <c r="AI291" s="32" t="str">
        <f>IF(A291&lt;&gt;"",CHOOSE(10-MIN(9,TRUNC((AH291+0.5)/10)),"A","B","C","D","F","F","F","F","F","F"),"")</f>
        <v>A</v>
      </c>
      <c r="AJ291" s="32" t="str">
        <f>IF(A291&lt;&gt;"",IF(OR(AH291+0.5&gt;=93,AH291+0.5&lt;60),"",IF(MOD(AH291+0.5,10)&gt;=7,"+",IF(MOD(AH291+0.5,10)&lt;3,"-",""))),"")</f>
        <v/>
      </c>
      <c r="AK291" s="32" t="b">
        <f>IF(A291&lt;&gt;"",OR(AI291&lt;&gt;AC291,AJ291&lt;&gt;AD291),"")</f>
        <v>1</v>
      </c>
      <c r="AL291" s="84">
        <f>IF(AND(A291&lt;&gt;"",U291&lt;&gt;""),SUM(U291,$AL$8)/$AL$2*100,"")</f>
        <v>46.666666666666664</v>
      </c>
      <c r="AM291" s="24">
        <f>IF(AND(A291&lt;&gt;"",V291&lt;&gt;""),SUM(V291,$AM$8)/$AM$2*100,"")</f>
        <v>63.076923076923073</v>
      </c>
      <c r="AN291" s="24">
        <f>IF(AND(A291&lt;&gt;"",ISNUMBER(P291),P291&gt;=0),SUM(P291,$AN$8)/$AN$2*100,"")</f>
        <v>101</v>
      </c>
      <c r="AO291" s="24" t="str">
        <f>IF(AND(A291&lt;&gt;"",ISNUMBER(Q291),Q291&gt;=0),SUM(Q291,$AO$8)/$AO$2*100,"")</f>
        <v/>
      </c>
      <c r="AP291" s="24" t="str">
        <f>IF(AND(A291&lt;&gt;"",R291&lt;&gt;""),SUM(R291,$AP$8)/$AP$2*100,"")</f>
        <v/>
      </c>
      <c r="AQ291" s="24">
        <f>IF(AND(A291&lt;&gt;"",ISNUMBER(W291),W291&gt;=0),SUM(W291,$AQ$8)/$AQ$2*100,"")</f>
        <v>101</v>
      </c>
      <c r="AR291" s="24" t="str">
        <f>IF(AND(A291&lt;&gt;"",T291&gt;0,ISNUMBER(T291)),SUM(T291,$AR$8)/$AR$2*100,"")</f>
        <v/>
      </c>
      <c r="AS291" s="24" t="str">
        <f>IF(AND(A291&lt;&gt;"",X291&lt;&gt;""),SUM(X291,$AS$8)/$AS$2*100,"")</f>
        <v/>
      </c>
      <c r="AT291" s="89">
        <f>IF(AND(A291&lt;&gt;"",OR(ISNUMBER(W291),ISNUMBER(X291))),SUM(W291:X291,$AT$8)/$AT$2*100,"")</f>
        <v>101</v>
      </c>
      <c r="AU291" s="24">
        <f>AA291</f>
        <v>71.803278688524586</v>
      </c>
      <c r="AV291" s="24"/>
      <c r="AW291" s="27">
        <f>IF(A291&lt;&gt;"",AE291-AA291,"")</f>
        <v>29.196721311475414</v>
      </c>
      <c r="AY291" s="27" t="b">
        <f>S291&gt;R291</f>
        <v>0</v>
      </c>
      <c r="BA291" s="27" t="e">
        <f>AND(AA291&gt;$BA$3,(W291+$W$8)/$W$2&lt;$BB$3,(X291+$X$8)/$X$2&lt;$BB$3)</f>
        <v>#VALUE!</v>
      </c>
      <c r="BB291" s="27" t="e">
        <f>AND(AA291&lt;$BA$3,AND(W291/$W$2&gt;$BB$3,X291/$X$2&gt;$BB$3))</f>
        <v>#VALUE!</v>
      </c>
      <c r="BC291" s="27" t="e">
        <f>AND(AA291&lt;$BA$3,OR(W291/$W$2&gt;$BB$3,X291/$X$2&gt;$BB$3))</f>
        <v>#VALUE!</v>
      </c>
      <c r="BE291" s="32">
        <v>32</v>
      </c>
    </row>
    <row r="292" spans="1:57" s="27" customFormat="1" ht="12.75" customHeight="1" x14ac:dyDescent="0.2">
      <c r="A292" s="10">
        <v>581837</v>
      </c>
      <c r="B292" s="2">
        <v>10</v>
      </c>
      <c r="C292" s="10">
        <v>19</v>
      </c>
      <c r="D292" s="10">
        <v>18</v>
      </c>
      <c r="E292" s="10"/>
      <c r="F292" s="10"/>
      <c r="G292" s="10"/>
      <c r="H292" s="10"/>
      <c r="I292" s="10"/>
      <c r="J292" s="2">
        <v>30</v>
      </c>
      <c r="K292" s="10">
        <v>18</v>
      </c>
      <c r="L292" s="10">
        <v>49</v>
      </c>
      <c r="M292" s="10"/>
      <c r="N292" s="93"/>
      <c r="O292" s="13"/>
      <c r="P292" s="10">
        <v>40</v>
      </c>
      <c r="Q292" s="10"/>
      <c r="R292" s="2"/>
      <c r="S292" s="10"/>
      <c r="T292" s="13"/>
      <c r="U292" s="7">
        <f t="array" ref="U292">IF(AND(A292&lt;&gt;"",OR(ISNUMBER(B292:I292))),SUM(B292:I292),"")</f>
        <v>47</v>
      </c>
      <c r="V292" s="10">
        <f t="array" ref="V292">IF(AND(A292&lt;&gt;"",OR(ISNUMBER(J292:O292))),SUM(J292:O292),"")</f>
        <v>97</v>
      </c>
      <c r="W292" s="10">
        <f t="array" ref="W292">IF(AND(A292&lt;&gt;"",OR(ISNUMBER(P292),ISNUMBER(Q292))),SUM(MAX(P292:Q292),Q292),"")</f>
        <v>40</v>
      </c>
      <c r="X292" s="10" t="str">
        <f t="array" ref="X292">IF(AND(A292&lt;&gt;"",OR(ISNUMBER(S292),ISNUMBER(T292))),SUM(S292,T292),"")</f>
        <v/>
      </c>
      <c r="Y292" s="13">
        <v>1</v>
      </c>
      <c r="Z292" s="13">
        <f>IF(A292&lt;&gt;"",SUM(U292:Y292),"")</f>
        <v>185</v>
      </c>
      <c r="AA292" s="27">
        <f>IF(A292&lt;&gt;"",(Z292+Normalize_To_Add)/(Point_Total_So_Far)*100,"")</f>
        <v>60.655737704918032</v>
      </c>
      <c r="AB292" s="10">
        <f>IF(A292&lt;&gt;"",RANK(AA292,All_Student_XC),"")</f>
        <v>476</v>
      </c>
      <c r="AC292" s="32" t="str">
        <f>IF(A292&lt;&gt;"",CHOOSE(10-MIN(9,TRUNC((AA292+0.5)/10)),"A","B","C","D","F","F","F","F","F","F"),"")</f>
        <v>D</v>
      </c>
      <c r="AD292" s="31" t="str">
        <f>IF(A292&lt;&gt;"",IF(OR(AA292+0.5&gt;=93,AA292+0.5&lt;60),"",IF(MOD(AA292+0.5,10)&gt;=7,"+",IF(MOD(AA292+0.5,10)&lt;3,"-",""))),"")</f>
        <v>-</v>
      </c>
      <c r="AE292" s="32">
        <f>IF(A292&lt;&gt;"",SUM(W292:X292,$W$8:$X$8)/SUM($W$2:$X$2)*100,"")</f>
        <v>40</v>
      </c>
      <c r="AF292" s="32" t="str">
        <f>IF(A292&lt;&gt;"",CHOOSE(10-MIN(9,TRUNC((AE292+0.5)/10)),"A","B","C","D","F","F","F","F","F","F"),"")</f>
        <v>F</v>
      </c>
      <c r="AG292" s="32" t="str">
        <f>IF(A292&lt;&gt;"",IF(OR(AE292+0.5&gt;=93,AE292+0.5&lt;60),"",IF(MOD(AE292+0.5,10)&gt;=7,"+",IF(MOD(AE292+0.5,10)&lt;3,"-",""))),"")</f>
        <v/>
      </c>
      <c r="AH292" s="36">
        <f>IF(A292&lt;&gt;"",MIN(MAX(AA292,AE292),AA292+$AH$8,AE292+$AH$8),"")</f>
        <v>60.655737704918032</v>
      </c>
      <c r="AI292" s="32" t="str">
        <f>IF(A292&lt;&gt;"",CHOOSE(10-MIN(9,TRUNC((AH292+0.5)/10)),"A","B","C","D","F","F","F","F","F","F"),"")</f>
        <v>D</v>
      </c>
      <c r="AJ292" s="32" t="str">
        <f>IF(A292&lt;&gt;"",IF(OR(AH292+0.5&gt;=93,AH292+0.5&lt;60),"",IF(MOD(AH292+0.5,10)&gt;=7,"+",IF(MOD(AH292+0.5,10)&lt;3,"-",""))),"")</f>
        <v>-</v>
      </c>
      <c r="AK292" s="71" t="b">
        <f>IF(A292&lt;&gt;"",OR(AI292&lt;&gt;AC292,AJ292&lt;&gt;AD292),"")</f>
        <v>0</v>
      </c>
      <c r="AL292" s="86">
        <f>IF(AND(A292&lt;&gt;"",U292&lt;&gt;""),SUM(U292,$AL$8)/$AL$2*100,"")</f>
        <v>62.666666666666671</v>
      </c>
      <c r="AM292" s="71">
        <f>IF(AND(A292&lt;&gt;"",V292&lt;&gt;""),SUM(V292,$AM$8)/$AM$2*100,"")</f>
        <v>74.615384615384613</v>
      </c>
      <c r="AN292" s="71">
        <f>IF(AND(A292&lt;&gt;"",ISNUMBER(P292),P292&gt;=0),SUM(P292,$AN$8)/$AN$2*100,"")</f>
        <v>40</v>
      </c>
      <c r="AO292" s="71" t="str">
        <f>IF(AND(A292&lt;&gt;"",ISNUMBER(Q292),Q292&gt;=0),SUM(Q292,$AO$8)/$AO$2*100,"")</f>
        <v/>
      </c>
      <c r="AP292" s="24" t="str">
        <f>IF(AND(A292&lt;&gt;"",R292&lt;&gt;""),SUM(R292,$AP$8)/$AP$2*100,"")</f>
        <v/>
      </c>
      <c r="AQ292" s="24">
        <f>IF(AND(A292&lt;&gt;"",ISNUMBER(W292),W292&gt;=0),SUM(W292,$AQ$8)/$AQ$2*100,"")</f>
        <v>40</v>
      </c>
      <c r="AR292" s="24" t="str">
        <f>IF(AND(A292&lt;&gt;"",T292&gt;0,ISNUMBER(T292)),SUM(T292,$AR$8)/$AR$2*100,"")</f>
        <v/>
      </c>
      <c r="AS292" s="24" t="str">
        <f>IF(AND(A292&lt;&gt;"",X292&lt;&gt;""),SUM(X292,$AS$8)/$AS$2*100,"")</f>
        <v/>
      </c>
      <c r="AT292" s="89">
        <f>IF(AND(A292&lt;&gt;"",OR(ISNUMBER(W292),ISNUMBER(X292))),SUM(W292:X292,$AT$8)/$AT$2*100,"")</f>
        <v>40</v>
      </c>
      <c r="AU292" s="24">
        <f>AA292</f>
        <v>60.655737704918032</v>
      </c>
      <c r="AV292" s="71"/>
      <c r="AW292" s="27">
        <f>IF(A292&lt;&gt;"",AE292-AA292,"")</f>
        <v>-20.655737704918032</v>
      </c>
      <c r="AY292" s="27" t="b">
        <f>S292&gt;R292</f>
        <v>0</v>
      </c>
      <c r="BA292" s="27" t="e">
        <f>AND(AA292&gt;$BA$3,(W292+$W$8)/$W$2&lt;$BB$3,(X292+$X$8)/$X$2&lt;$BB$3)</f>
        <v>#VALUE!</v>
      </c>
      <c r="BB292" s="27" t="e">
        <f>AND(AA292&lt;$BA$3,AND(W292/$W$2&gt;$BB$3,X292/$X$2&gt;$BB$3))</f>
        <v>#VALUE!</v>
      </c>
      <c r="BC292" s="27" t="e">
        <f>AND(AA292&lt;$BA$3,OR(W292/$W$2&gt;$BB$3,X292/$X$2&gt;$BB$3))</f>
        <v>#VALUE!</v>
      </c>
      <c r="BE292" s="32">
        <v>32</v>
      </c>
    </row>
    <row r="293" spans="1:57" s="27" customFormat="1" ht="12.75" customHeight="1" x14ac:dyDescent="0.2">
      <c r="A293" s="10">
        <v>583610</v>
      </c>
      <c r="B293" s="2">
        <v>21</v>
      </c>
      <c r="C293" s="10">
        <v>22</v>
      </c>
      <c r="D293" s="10">
        <v>25</v>
      </c>
      <c r="E293" s="10"/>
      <c r="F293" s="10"/>
      <c r="G293" s="10"/>
      <c r="H293" s="10"/>
      <c r="I293" s="10"/>
      <c r="J293" s="2">
        <v>26</v>
      </c>
      <c r="K293" s="10">
        <v>52</v>
      </c>
      <c r="L293" s="10">
        <v>51</v>
      </c>
      <c r="M293" s="10"/>
      <c r="N293" s="10"/>
      <c r="O293" s="12"/>
      <c r="P293" s="41">
        <v>101</v>
      </c>
      <c r="Q293" s="41"/>
      <c r="R293" s="2"/>
      <c r="S293" s="10"/>
      <c r="T293" s="13"/>
      <c r="U293" s="7">
        <f t="array" ref="U293">IF(AND(A293&lt;&gt;"",OR(ISNUMBER(B293:I293))),SUM(B293:I293),"")</f>
        <v>68</v>
      </c>
      <c r="V293" s="10">
        <f t="array" ref="V293">IF(AND(A293&lt;&gt;"",OR(ISNUMBER(J293:O293))),SUM(J293:O293),"")</f>
        <v>129</v>
      </c>
      <c r="W293" s="10">
        <f t="array" ref="W293">IF(AND(A293&lt;&gt;"",OR(ISNUMBER(P293),ISNUMBER(Q293))),SUM(MAX(P293:Q293),Q293),"")</f>
        <v>101</v>
      </c>
      <c r="X293" s="10" t="str">
        <f t="array" ref="X293">IF(AND(A293&lt;&gt;"",OR(ISNUMBER(S293),ISNUMBER(T293))),SUM(S293,T293),"")</f>
        <v/>
      </c>
      <c r="Y293" s="13">
        <v>1</v>
      </c>
      <c r="Z293" s="13">
        <f>IF(A293&lt;&gt;"",SUM(U293:Y293),"")</f>
        <v>299</v>
      </c>
      <c r="AA293" s="27">
        <f>IF(A293&lt;&gt;"",(Z293+Normalize_To_Add)/(Point_Total_So_Far)*100,"")</f>
        <v>98.032786885245898</v>
      </c>
      <c r="AB293" s="10">
        <f>IF(A293&lt;&gt;"",RANK(AA293,All_Student_XC),"")</f>
        <v>195</v>
      </c>
      <c r="AC293" s="32" t="str">
        <f>IF(A293&lt;&gt;"",CHOOSE(10-MIN(9,TRUNC((AA293+0.5)/10)),"A","B","C","D","F","F","F","F","F","F"),"")</f>
        <v>A</v>
      </c>
      <c r="AD293" s="32" t="str">
        <f>IF(A293&lt;&gt;"",IF(OR(AA293+0.5&gt;=93,AA293+0.5&lt;60),"",IF(MOD(AA293+0.5,10)&gt;=7,"+",IF(MOD(AA293+0.5,10)&lt;3,"-",""))),"")</f>
        <v/>
      </c>
      <c r="AE293" s="32">
        <f>IF(A293&lt;&gt;"",SUM(W293:X293,$W$8:$X$8)/SUM($W$2:$X$2)*100,"")</f>
        <v>101</v>
      </c>
      <c r="AF293" s="32" t="str">
        <f>IF(A293&lt;&gt;"",CHOOSE(10-MIN(9,TRUNC((AE293+0.5)/10)),"A","B","C","D","F","F","F","F","F","F"),"")</f>
        <v>A</v>
      </c>
      <c r="AG293" s="32" t="str">
        <f>IF(A293&lt;&gt;"",IF(OR(AE293+0.5&gt;=93,AE293+0.5&lt;60),"",IF(MOD(AE293+0.5,10)&gt;=7,"+",IF(MOD(AE293+0.5,10)&lt;3,"-",""))),"")</f>
        <v/>
      </c>
      <c r="AH293" s="36">
        <f>IF(A293&lt;&gt;"",MIN(MAX(AA293,AE293),AA293+$AH$8,AE293+$AH$8),"")</f>
        <v>101</v>
      </c>
      <c r="AI293" s="32" t="str">
        <f>IF(A293&lt;&gt;"",CHOOSE(10-MIN(9,TRUNC((AH293+0.5)/10)),"A","B","C","D","F","F","F","F","F","F"),"")</f>
        <v>A</v>
      </c>
      <c r="AJ293" s="32" t="str">
        <f>IF(A293&lt;&gt;"",IF(OR(AH293+0.5&gt;=93,AH293+0.5&lt;60),"",IF(MOD(AH293+0.5,10)&gt;=7,"+",IF(MOD(AH293+0.5,10)&lt;3,"-",""))),"")</f>
        <v/>
      </c>
      <c r="AK293" s="32" t="b">
        <f>IF(A293&lt;&gt;"",OR(AI293&lt;&gt;AC293,AJ293&lt;&gt;AD293),"")</f>
        <v>0</v>
      </c>
      <c r="AL293" s="84">
        <f>IF(AND(A293&lt;&gt;"",U293&lt;&gt;""),SUM(U293,$AL$8)/$AL$2*100,"")</f>
        <v>90.666666666666657</v>
      </c>
      <c r="AM293" s="24">
        <f>IF(AND(A293&lt;&gt;"",V293&lt;&gt;""),SUM(V293,$AM$8)/$AM$2*100,"")</f>
        <v>99.230769230769226</v>
      </c>
      <c r="AN293" s="24">
        <f>IF(AND(A293&lt;&gt;"",ISNUMBER(P293),P293&gt;=0),SUM(P293,$AN$8)/$AN$2*100,"")</f>
        <v>101</v>
      </c>
      <c r="AO293" s="24" t="str">
        <f>IF(AND(A293&lt;&gt;"",ISNUMBER(Q293),Q293&gt;=0),SUM(Q293,$AO$8)/$AO$2*100,"")</f>
        <v/>
      </c>
      <c r="AP293" s="24" t="str">
        <f>IF(AND(A293&lt;&gt;"",R293&lt;&gt;""),SUM(R293,$AP$8)/$AP$2*100,"")</f>
        <v/>
      </c>
      <c r="AQ293" s="24">
        <f>IF(AND(A293&lt;&gt;"",ISNUMBER(W293),W293&gt;=0),SUM(W293,$AQ$8)/$AQ$2*100,"")</f>
        <v>101</v>
      </c>
      <c r="AR293" s="24" t="str">
        <f>IF(AND(A293&lt;&gt;"",T293&gt;0,ISNUMBER(T293)),SUM(T293,$AR$8)/$AR$2*100,"")</f>
        <v/>
      </c>
      <c r="AS293" s="24" t="str">
        <f>IF(AND(A293&lt;&gt;"",X293&lt;&gt;""),SUM(X293,$AS$8)/$AS$2*100,"")</f>
        <v/>
      </c>
      <c r="AT293" s="89">
        <f>IF(AND(A293&lt;&gt;"",OR(ISNUMBER(W293),ISNUMBER(X293))),SUM(W293:X293,$AT$8)/$AT$2*100,"")</f>
        <v>101</v>
      </c>
      <c r="AU293" s="24">
        <f>AA293</f>
        <v>98.032786885245898</v>
      </c>
      <c r="AV293" s="24"/>
      <c r="AW293" s="27">
        <f>IF(A293&lt;&gt;"",AE293-AA293,"")</f>
        <v>2.9672131147541023</v>
      </c>
      <c r="AY293" s="27" t="b">
        <f>S293&gt;R293</f>
        <v>0</v>
      </c>
      <c r="BA293" s="27" t="e">
        <f>AND(AA293&gt;$BA$3,(W293+$W$8)/$W$2&lt;$BB$3,(X293+$X$8)/$X$2&lt;$BB$3)</f>
        <v>#VALUE!</v>
      </c>
      <c r="BB293" s="27" t="e">
        <f>AND(AA293&lt;$BA$3,AND(W293/$W$2&gt;$BB$3,X293/$X$2&gt;$BB$3))</f>
        <v>#VALUE!</v>
      </c>
      <c r="BC293" s="27" t="e">
        <f>AND(AA293&lt;$BA$3,OR(W293/$W$2&gt;$BB$3,X293/$X$2&gt;$BB$3))</f>
        <v>#VALUE!</v>
      </c>
      <c r="BE293" s="32">
        <v>32</v>
      </c>
    </row>
    <row r="294" spans="1:57" s="27" customFormat="1" ht="12.75" customHeight="1" x14ac:dyDescent="0.2">
      <c r="A294" s="10">
        <v>585670</v>
      </c>
      <c r="B294" s="2">
        <v>23</v>
      </c>
      <c r="C294" s="10">
        <v>23</v>
      </c>
      <c r="D294" s="10">
        <v>25</v>
      </c>
      <c r="E294" s="10"/>
      <c r="F294" s="10"/>
      <c r="G294" s="10"/>
      <c r="H294" s="10"/>
      <c r="I294" s="10"/>
      <c r="J294" s="2">
        <v>28</v>
      </c>
      <c r="K294" s="10">
        <v>48</v>
      </c>
      <c r="L294" s="10">
        <v>49</v>
      </c>
      <c r="M294" s="10"/>
      <c r="N294" s="93"/>
      <c r="O294" s="13"/>
      <c r="P294" s="10">
        <v>101</v>
      </c>
      <c r="Q294" s="10"/>
      <c r="R294" s="2"/>
      <c r="S294" s="10"/>
      <c r="T294" s="13"/>
      <c r="U294" s="7">
        <f t="array" ref="U294">IF(AND(A294&lt;&gt;"",OR(ISNUMBER(B294:I294))),SUM(B294:I294),"")</f>
        <v>71</v>
      </c>
      <c r="V294" s="10">
        <f t="array" ref="V294">IF(AND(A294&lt;&gt;"",OR(ISNUMBER(J294:O294))),SUM(J294:O294),"")</f>
        <v>125</v>
      </c>
      <c r="W294" s="10">
        <f t="array" ref="W294">IF(AND(A294&lt;&gt;"",OR(ISNUMBER(P294),ISNUMBER(Q294))),SUM(MAX(P294:Q294),Q294),"")</f>
        <v>101</v>
      </c>
      <c r="X294" s="10" t="str">
        <f t="array" ref="X294">IF(AND(A294&lt;&gt;"",OR(ISNUMBER(S294),ISNUMBER(T294))),SUM(S294,T294),"")</f>
        <v/>
      </c>
      <c r="Y294" s="13">
        <v>1</v>
      </c>
      <c r="Z294" s="13">
        <f>IF(A294&lt;&gt;"",SUM(U294:Y294),"")</f>
        <v>298</v>
      </c>
      <c r="AA294" s="27">
        <f>IF(A294&lt;&gt;"",(Z294+Normalize_To_Add)/(Point_Total_So_Far)*100,"")</f>
        <v>97.704918032786878</v>
      </c>
      <c r="AB294" s="10">
        <f>IF(A294&lt;&gt;"",RANK(AA294,All_Student_XC),"")</f>
        <v>210</v>
      </c>
      <c r="AC294" s="32" t="str">
        <f>IF(A294&lt;&gt;"",CHOOSE(10-MIN(9,TRUNC((AA294+0.5)/10)),"A","B","C","D","F","F","F","F","F","F"),"")</f>
        <v>A</v>
      </c>
      <c r="AD294" s="31" t="str">
        <f>IF(A294&lt;&gt;"",IF(OR(AA294+0.5&gt;=93,AA294+0.5&lt;60),"",IF(MOD(AA294+0.5,10)&gt;=7,"+",IF(MOD(AA294+0.5,10)&lt;3,"-",""))),"")</f>
        <v/>
      </c>
      <c r="AE294" s="32">
        <f>IF(A294&lt;&gt;"",SUM(W294:X294,$W$8:$X$8)/SUM($W$2:$X$2)*100,"")</f>
        <v>101</v>
      </c>
      <c r="AF294" s="32" t="str">
        <f>IF(A294&lt;&gt;"",CHOOSE(10-MIN(9,TRUNC((AE294+0.5)/10)),"A","B","C","D","F","F","F","F","F","F"),"")</f>
        <v>A</v>
      </c>
      <c r="AG294" s="32" t="str">
        <f>IF(A294&lt;&gt;"",IF(OR(AE294+0.5&gt;=93,AE294+0.5&lt;60),"",IF(MOD(AE294+0.5,10)&gt;=7,"+",IF(MOD(AE294+0.5,10)&lt;3,"-",""))),"")</f>
        <v/>
      </c>
      <c r="AH294" s="36">
        <f>IF(A294&lt;&gt;"",MIN(MAX(AA294,AE294),AA294+$AH$8,AE294+$AH$8),"")</f>
        <v>101</v>
      </c>
      <c r="AI294" s="32" t="str">
        <f>IF(A294&lt;&gt;"",CHOOSE(10-MIN(9,TRUNC((AH294+0.5)/10)),"A","B","C","D","F","F","F","F","F","F"),"")</f>
        <v>A</v>
      </c>
      <c r="AJ294" s="32" t="str">
        <f>IF(A294&lt;&gt;"",IF(OR(AH294+0.5&gt;=93,AH294+0.5&lt;60),"",IF(MOD(AH294+0.5,10)&gt;=7,"+",IF(MOD(AH294+0.5,10)&lt;3,"-",""))),"")</f>
        <v/>
      </c>
      <c r="AK294" s="71" t="b">
        <f>IF(A294&lt;&gt;"",OR(AI294&lt;&gt;AC294,AJ294&lt;&gt;AD294),"")</f>
        <v>0</v>
      </c>
      <c r="AL294" s="86">
        <f>IF(AND(A294&lt;&gt;"",U294&lt;&gt;""),SUM(U294,$AL$8)/$AL$2*100,"")</f>
        <v>94.666666666666671</v>
      </c>
      <c r="AM294" s="71">
        <f>IF(AND(A294&lt;&gt;"",V294&lt;&gt;""),SUM(V294,$AM$8)/$AM$2*100,"")</f>
        <v>96.15384615384616</v>
      </c>
      <c r="AN294" s="71">
        <f>IF(AND(A294&lt;&gt;"",ISNUMBER(P294),P294&gt;=0),SUM(P294,$AN$8)/$AN$2*100,"")</f>
        <v>101</v>
      </c>
      <c r="AO294" s="71" t="str">
        <f>IF(AND(A294&lt;&gt;"",ISNUMBER(Q294),Q294&gt;=0),SUM(Q294,$AO$8)/$AO$2*100,"")</f>
        <v/>
      </c>
      <c r="AP294" s="24" t="str">
        <f>IF(AND(A294&lt;&gt;"",R294&lt;&gt;""),SUM(R294,$AP$8)/$AP$2*100,"")</f>
        <v/>
      </c>
      <c r="AQ294" s="24">
        <f>IF(AND(A294&lt;&gt;"",ISNUMBER(W294),W294&gt;=0),SUM(W294,$AQ$8)/$AQ$2*100,"")</f>
        <v>101</v>
      </c>
      <c r="AR294" s="24" t="str">
        <f>IF(AND(A294&lt;&gt;"",T294&gt;0,ISNUMBER(T294)),SUM(T294,$AR$8)/$AR$2*100,"")</f>
        <v/>
      </c>
      <c r="AS294" s="24" t="str">
        <f>IF(AND(A294&lt;&gt;"",X294&lt;&gt;""),SUM(X294,$AS$8)/$AS$2*100,"")</f>
        <v/>
      </c>
      <c r="AT294" s="89">
        <f>IF(AND(A294&lt;&gt;"",OR(ISNUMBER(W294),ISNUMBER(X294))),SUM(W294:X294,$AT$8)/$AT$2*100,"")</f>
        <v>101</v>
      </c>
      <c r="AU294" s="24">
        <f>AA294</f>
        <v>97.704918032786878</v>
      </c>
      <c r="AV294" s="71"/>
      <c r="AW294" s="27">
        <f>IF(A294&lt;&gt;"",AE294-AA294,"")</f>
        <v>3.2950819672131217</v>
      </c>
      <c r="AY294" s="27" t="b">
        <f>S294&gt;R294</f>
        <v>0</v>
      </c>
      <c r="BA294" s="27" t="e">
        <f>AND(AA294&gt;$BA$3,(W294+$W$8)/$W$2&lt;$BB$3,(X294+$X$8)/$X$2&lt;$BB$3)</f>
        <v>#VALUE!</v>
      </c>
      <c r="BB294" s="27" t="e">
        <f>AND(AA294&lt;$BA$3,AND(W294/$W$2&gt;$BB$3,X294/$X$2&gt;$BB$3))</f>
        <v>#VALUE!</v>
      </c>
      <c r="BC294" s="27" t="e">
        <f>AND(AA294&lt;$BA$3,OR(W294/$W$2&gt;$BB$3,X294/$X$2&gt;$BB$3))</f>
        <v>#VALUE!</v>
      </c>
      <c r="BE294" s="32" t="s">
        <v>85</v>
      </c>
    </row>
    <row r="295" spans="1:57" s="27" customFormat="1" ht="12.75" customHeight="1" x14ac:dyDescent="0.2">
      <c r="A295" s="10">
        <v>586542</v>
      </c>
      <c r="B295" s="2">
        <v>4</v>
      </c>
      <c r="C295" s="10">
        <v>24</v>
      </c>
      <c r="D295" s="10">
        <v>25</v>
      </c>
      <c r="E295" s="10"/>
      <c r="F295" s="10"/>
      <c r="G295" s="3"/>
      <c r="H295" s="10"/>
      <c r="I295" s="10"/>
      <c r="J295" s="2">
        <v>30</v>
      </c>
      <c r="K295" s="10">
        <v>38</v>
      </c>
      <c r="L295" s="10">
        <v>50</v>
      </c>
      <c r="M295" s="10"/>
      <c r="N295" s="10"/>
      <c r="O295" s="12"/>
      <c r="P295" s="10">
        <v>101</v>
      </c>
      <c r="Q295" s="41"/>
      <c r="R295" s="2"/>
      <c r="S295" s="10"/>
      <c r="T295" s="13"/>
      <c r="U295" s="35">
        <f t="array" ref="U295">IF(AND(A295&lt;&gt;"",OR(ISNUMBER(B295:I295))),SUM(B295:I295),"")</f>
        <v>53</v>
      </c>
      <c r="V295" s="10">
        <f t="array" ref="V295">IF(AND(A295&lt;&gt;"",OR(ISNUMBER(J295:O295))),SUM(J295:O295),"")</f>
        <v>118</v>
      </c>
      <c r="W295" s="10">
        <f t="array" ref="W295">IF(AND(A295&lt;&gt;"",OR(ISNUMBER(P295),ISNUMBER(Q295))),SUM(MAX(P295:Q295),Q295),"")</f>
        <v>101</v>
      </c>
      <c r="X295" s="10" t="str">
        <f t="array" ref="X295">IF(AND(A295&lt;&gt;"",OR(ISNUMBER(S295),ISNUMBER(T295))),SUM(S295,T295),"")</f>
        <v/>
      </c>
      <c r="Y295" s="13">
        <v>1</v>
      </c>
      <c r="Z295" s="13">
        <f>IF(A295&lt;&gt;"",SUM(U295:Y295),"")</f>
        <v>273</v>
      </c>
      <c r="AA295" s="27">
        <f>IF(A295&lt;&gt;"",(Z295+Normalize_To_Add)/(Point_Total_So_Far)*100,"")</f>
        <v>89.508196721311478</v>
      </c>
      <c r="AB295" s="10">
        <f>IF(A295&lt;&gt;"",RANK(AA295,All_Student_XC),"")</f>
        <v>340</v>
      </c>
      <c r="AC295" s="32" t="str">
        <f>IF(A295&lt;&gt;"",CHOOSE(10-MIN(9,TRUNC((AA295+0.5)/10)),"A","B","C","D","F","F","F","F","F","F"),"")</f>
        <v>A</v>
      </c>
      <c r="AD295" s="32" t="str">
        <f>IF(A295&lt;&gt;"",IF(OR(AA295+0.5&gt;=93,AA295+0.5&lt;60),"",IF(MOD(AA295+0.5,10)&gt;=7,"+",IF(MOD(AA295+0.5,10)&lt;3,"-",""))),"")</f>
        <v>-</v>
      </c>
      <c r="AE295" s="32">
        <f>IF(A295&lt;&gt;"",SUM(W295:X295,$W$8:$X$8)/SUM($W$2:$X$2)*100,"")</f>
        <v>101</v>
      </c>
      <c r="AF295" s="32" t="str">
        <f>IF(A295&lt;&gt;"",CHOOSE(10-MIN(9,TRUNC((AE295+0.5)/10)),"A","B","C","D","F","F","F","F","F","F"),"")</f>
        <v>A</v>
      </c>
      <c r="AG295" s="32" t="str">
        <f>IF(A295&lt;&gt;"",IF(OR(AE295+0.5&gt;=93,AE295+0.5&lt;60),"",IF(MOD(AE295+0.5,10)&gt;=7,"+",IF(MOD(AE295+0.5,10)&lt;3,"-",""))),"")</f>
        <v/>
      </c>
      <c r="AH295" s="36">
        <f>IF(A295&lt;&gt;"",MIN(MAX(AA295,AE295),AA295+$AH$8,AE295+$AH$8),"")</f>
        <v>101</v>
      </c>
      <c r="AI295" s="32" t="str">
        <f>IF(A295&lt;&gt;"",CHOOSE(10-MIN(9,TRUNC((AH295+0.5)/10)),"A","B","C","D","F","F","F","F","F","F"),"")</f>
        <v>A</v>
      </c>
      <c r="AJ295" s="32" t="str">
        <f>IF(A295&lt;&gt;"",IF(OR(AH295+0.5&gt;=93,AH295+0.5&lt;60),"",IF(MOD(AH295+0.5,10)&gt;=7,"+",IF(MOD(AH295+0.5,10)&lt;3,"-",""))),"")</f>
        <v/>
      </c>
      <c r="AK295" s="32" t="b">
        <f>IF(A295&lt;&gt;"",OR(AI295&lt;&gt;AC295,AJ295&lt;&gt;AD295),"")</f>
        <v>1</v>
      </c>
      <c r="AL295" s="84">
        <f>IF(AND(A295&lt;&gt;"",U295&lt;&gt;""),SUM(U295,$AL$8)/$AL$2*100,"")</f>
        <v>70.666666666666671</v>
      </c>
      <c r="AM295" s="24">
        <f>IF(AND(A295&lt;&gt;"",V295&lt;&gt;""),SUM(V295,$AM$8)/$AM$2*100,"")</f>
        <v>90.769230769230774</v>
      </c>
      <c r="AN295" s="24">
        <f>IF(AND(A295&lt;&gt;"",ISNUMBER(P295),P295&gt;=0),SUM(P295,$AN$8)/$AN$2*100,"")</f>
        <v>101</v>
      </c>
      <c r="AO295" s="24" t="str">
        <f>IF(AND(A295&lt;&gt;"",ISNUMBER(Q295),Q295&gt;=0),SUM(Q295,$AO$8)/$AO$2*100,"")</f>
        <v/>
      </c>
      <c r="AP295" s="24" t="str">
        <f>IF(AND(A295&lt;&gt;"",R295&lt;&gt;""),SUM(R295,$AP$8)/$AP$2*100,"")</f>
        <v/>
      </c>
      <c r="AQ295" s="24">
        <f>IF(AND(A295&lt;&gt;"",ISNUMBER(W295),W295&gt;=0),SUM(W295,$AQ$8)/$AQ$2*100,"")</f>
        <v>101</v>
      </c>
      <c r="AR295" s="24" t="str">
        <f>IF(AND(A295&lt;&gt;"",T295&gt;0,ISNUMBER(T295)),SUM(T295,$AR$8)/$AR$2*100,"")</f>
        <v/>
      </c>
      <c r="AS295" s="24" t="str">
        <f>IF(AND(A295&lt;&gt;"",X295&lt;&gt;""),SUM(X295,$AS$8)/$AS$2*100,"")</f>
        <v/>
      </c>
      <c r="AT295" s="89">
        <f>IF(AND(A295&lt;&gt;"",OR(ISNUMBER(W295),ISNUMBER(X295))),SUM(W295:X295,$AT$8)/$AT$2*100,"")</f>
        <v>101</v>
      </c>
      <c r="AU295" s="24">
        <f>AA295</f>
        <v>89.508196721311478</v>
      </c>
      <c r="AV295" s="24"/>
      <c r="AW295" s="27">
        <f>IF(A295&lt;&gt;"",AE295-AA295,"")</f>
        <v>11.491803278688522</v>
      </c>
      <c r="AY295" s="27" t="b">
        <f>S295&gt;R295</f>
        <v>0</v>
      </c>
      <c r="BA295" s="27" t="e">
        <f>AND(AA295&gt;$BA$3,(W295+$W$8)/$W$2&lt;$BB$3,(X295+$X$8)/$X$2&lt;$BB$3)</f>
        <v>#VALUE!</v>
      </c>
      <c r="BB295" s="27" t="e">
        <f>AND(AA295&lt;$BA$3,AND(W295/$W$2&gt;$BB$3,X295/$X$2&gt;$BB$3))</f>
        <v>#VALUE!</v>
      </c>
      <c r="BC295" s="27" t="e">
        <f>AND(AA295&lt;$BA$3,OR(W295/$W$2&gt;$BB$3,X295/$X$2&gt;$BB$3))</f>
        <v>#VALUE!</v>
      </c>
      <c r="BE295" s="32">
        <v>32</v>
      </c>
    </row>
    <row r="296" spans="1:57" s="27" customFormat="1" ht="12.75" customHeight="1" x14ac:dyDescent="0.2">
      <c r="A296" s="10">
        <v>587301</v>
      </c>
      <c r="B296" s="2">
        <v>24</v>
      </c>
      <c r="C296" s="10">
        <v>23</v>
      </c>
      <c r="D296" s="10">
        <v>25</v>
      </c>
      <c r="E296" s="10"/>
      <c r="F296" s="10"/>
      <c r="G296" s="10"/>
      <c r="H296" s="10"/>
      <c r="I296" s="10"/>
      <c r="J296" s="2">
        <v>30</v>
      </c>
      <c r="K296" s="10">
        <v>52</v>
      </c>
      <c r="L296" s="10">
        <v>51</v>
      </c>
      <c r="M296" s="10"/>
      <c r="N296" s="93"/>
      <c r="O296" s="13"/>
      <c r="P296" s="10">
        <v>101</v>
      </c>
      <c r="Q296" s="10"/>
      <c r="R296" s="2"/>
      <c r="S296" s="10"/>
      <c r="T296" s="13"/>
      <c r="U296" s="7">
        <f t="array" ref="U296">IF(AND(A296&lt;&gt;"",OR(ISNUMBER(B296:I296))),SUM(B296:I296),"")</f>
        <v>72</v>
      </c>
      <c r="V296" s="10">
        <f t="array" ref="V296">IF(AND(A296&lt;&gt;"",OR(ISNUMBER(J296:O296))),SUM(J296:O296),"")</f>
        <v>133</v>
      </c>
      <c r="W296" s="10">
        <f t="array" ref="W296">IF(AND(A296&lt;&gt;"",OR(ISNUMBER(P296),ISNUMBER(Q296))),SUM(MAX(P296:Q296),Q296),"")</f>
        <v>101</v>
      </c>
      <c r="X296" s="10" t="str">
        <f t="array" ref="X296">IF(AND(A296&lt;&gt;"",OR(ISNUMBER(S296),ISNUMBER(T296))),SUM(S296,T296),"")</f>
        <v/>
      </c>
      <c r="Y296" s="13">
        <v>1</v>
      </c>
      <c r="Z296" s="13">
        <f>IF(A296&lt;&gt;"",SUM(U296:Y296),"")</f>
        <v>307</v>
      </c>
      <c r="AA296" s="27">
        <f>IF(A296&lt;&gt;"",(Z296+Normalize_To_Add)/(Point_Total_So_Far)*100,"")</f>
        <v>100.65573770491802</v>
      </c>
      <c r="AB296" s="10">
        <f>IF(A296&lt;&gt;"",RANK(AA296,All_Student_XC),"")</f>
        <v>72</v>
      </c>
      <c r="AC296" s="32" t="str">
        <f>IF(A296&lt;&gt;"",CHOOSE(10-MIN(9,TRUNC((AA296+0.5)/10)),"A","B","C","D","F","F","F","F","F","F"),"")</f>
        <v>A</v>
      </c>
      <c r="AD296" s="31" t="str">
        <f>IF(A296&lt;&gt;"",IF(OR(AA296+0.5&gt;=93,AA296+0.5&lt;60),"",IF(MOD(AA296+0.5,10)&gt;=7,"+",IF(MOD(AA296+0.5,10)&lt;3,"-",""))),"")</f>
        <v/>
      </c>
      <c r="AE296" s="32">
        <f>IF(A296&lt;&gt;"",SUM(W296:X296,$W$8:$X$8)/SUM($W$2:$X$2)*100,"")</f>
        <v>101</v>
      </c>
      <c r="AF296" s="32" t="str">
        <f>IF(A296&lt;&gt;"",CHOOSE(10-MIN(9,TRUNC((AE296+0.5)/10)),"A","B","C","D","F","F","F","F","F","F"),"")</f>
        <v>A</v>
      </c>
      <c r="AG296" s="32" t="str">
        <f>IF(A296&lt;&gt;"",IF(OR(AE296+0.5&gt;=93,AE296+0.5&lt;60),"",IF(MOD(AE296+0.5,10)&gt;=7,"+",IF(MOD(AE296+0.5,10)&lt;3,"-",""))),"")</f>
        <v/>
      </c>
      <c r="AH296" s="36">
        <f>IF(A296&lt;&gt;"",MIN(MAX(AA296,AE296),AA296+$AH$8,AE296+$AH$8),"")</f>
        <v>101</v>
      </c>
      <c r="AI296" s="32" t="str">
        <f>IF(A296&lt;&gt;"",CHOOSE(10-MIN(9,TRUNC((AH296+0.5)/10)),"A","B","C","D","F","F","F","F","F","F"),"")</f>
        <v>A</v>
      </c>
      <c r="AJ296" s="32" t="str">
        <f>IF(A296&lt;&gt;"",IF(OR(AH296+0.5&gt;=93,AH296+0.5&lt;60),"",IF(MOD(AH296+0.5,10)&gt;=7,"+",IF(MOD(AH296+0.5,10)&lt;3,"-",""))),"")</f>
        <v/>
      </c>
      <c r="AK296" s="71" t="b">
        <f>IF(A296&lt;&gt;"",OR(AI296&lt;&gt;AC296,AJ296&lt;&gt;AD296),"")</f>
        <v>0</v>
      </c>
      <c r="AL296" s="86">
        <f>IF(AND(A296&lt;&gt;"",U296&lt;&gt;""),SUM(U296,$AL$8)/$AL$2*100,"")</f>
        <v>96</v>
      </c>
      <c r="AM296" s="71">
        <f>IF(AND(A296&lt;&gt;"",V296&lt;&gt;""),SUM(V296,$AM$8)/$AM$2*100,"")</f>
        <v>102.30769230769229</v>
      </c>
      <c r="AN296" s="71">
        <f>IF(AND(A296&lt;&gt;"",ISNUMBER(P296),P296&gt;=0),SUM(P296,$AN$8)/$AN$2*100,"")</f>
        <v>101</v>
      </c>
      <c r="AO296" s="71" t="str">
        <f>IF(AND(A296&lt;&gt;"",ISNUMBER(Q296),Q296&gt;=0),SUM(Q296,$AO$8)/$AO$2*100,"")</f>
        <v/>
      </c>
      <c r="AP296" s="24" t="str">
        <f>IF(AND(A296&lt;&gt;"",R296&lt;&gt;""),SUM(R296,$AP$8)/$AP$2*100,"")</f>
        <v/>
      </c>
      <c r="AQ296" s="24">
        <f>IF(AND(A296&lt;&gt;"",ISNUMBER(W296),W296&gt;=0),SUM(W296,$AQ$8)/$AQ$2*100,"")</f>
        <v>101</v>
      </c>
      <c r="AR296" s="24" t="str">
        <f>IF(AND(A296&lt;&gt;"",T296&gt;0,ISNUMBER(T296)),SUM(T296,$AR$8)/$AR$2*100,"")</f>
        <v/>
      </c>
      <c r="AS296" s="24" t="str">
        <f>IF(AND(A296&lt;&gt;"",X296&lt;&gt;""),SUM(X296,$AS$8)/$AS$2*100,"")</f>
        <v/>
      </c>
      <c r="AT296" s="89">
        <f>IF(AND(A296&lt;&gt;"",OR(ISNUMBER(W296),ISNUMBER(X296))),SUM(W296:X296,$AT$8)/$AT$2*100,"")</f>
        <v>101</v>
      </c>
      <c r="AU296" s="24">
        <f>AA296</f>
        <v>100.65573770491802</v>
      </c>
      <c r="AV296" s="71"/>
      <c r="AW296" s="27">
        <f>IF(A296&lt;&gt;"",AE296-AA296,"")</f>
        <v>0.34426229508197537</v>
      </c>
      <c r="AY296" s="27" t="b">
        <f>S296&gt;R296</f>
        <v>0</v>
      </c>
      <c r="BA296" s="27" t="e">
        <f>AND(AA296&gt;$BA$3,(W296+$W$8)/$W$2&lt;$BB$3,(X296+$X$8)/$X$2&lt;$BB$3)</f>
        <v>#VALUE!</v>
      </c>
      <c r="BB296" s="27" t="e">
        <f>AND(AA296&lt;$BA$3,AND(W296/$W$2&gt;$BB$3,X296/$X$2&gt;$BB$3))</f>
        <v>#VALUE!</v>
      </c>
      <c r="BC296" s="27" t="e">
        <f>AND(AA296&lt;$BA$3,OR(W296/$W$2&gt;$BB$3,X296/$X$2&gt;$BB$3))</f>
        <v>#VALUE!</v>
      </c>
      <c r="BE296" s="32" t="s">
        <v>84</v>
      </c>
    </row>
    <row r="297" spans="1:57" s="27" customFormat="1" ht="12.75" customHeight="1" x14ac:dyDescent="0.2">
      <c r="A297" s="10">
        <v>588682</v>
      </c>
      <c r="B297" s="2">
        <v>12</v>
      </c>
      <c r="C297" s="10">
        <v>20</v>
      </c>
      <c r="D297" s="10">
        <v>19</v>
      </c>
      <c r="E297" s="10"/>
      <c r="F297" s="10"/>
      <c r="G297" s="3"/>
      <c r="H297" s="10"/>
      <c r="I297" s="10"/>
      <c r="J297" s="2">
        <v>28</v>
      </c>
      <c r="K297" s="10">
        <v>52</v>
      </c>
      <c r="L297" s="10">
        <v>52</v>
      </c>
      <c r="M297" s="10"/>
      <c r="N297" s="10"/>
      <c r="O297" s="12"/>
      <c r="P297" s="41">
        <v>60</v>
      </c>
      <c r="Q297" s="41"/>
      <c r="R297" s="2"/>
      <c r="S297" s="10"/>
      <c r="T297" s="13"/>
      <c r="U297" s="7">
        <f t="array" ref="U297">IF(AND(A297&lt;&gt;"",OR(ISNUMBER(B297:I297))),SUM(B297:I297),"")</f>
        <v>51</v>
      </c>
      <c r="V297" s="10">
        <f t="array" ref="V297">IF(AND(A297&lt;&gt;"",OR(ISNUMBER(J297:O297))),SUM(J297:O297),"")</f>
        <v>132</v>
      </c>
      <c r="W297" s="10">
        <f t="array" ref="W297">IF(AND(A297&lt;&gt;"",OR(ISNUMBER(P297),ISNUMBER(Q297))),SUM(MAX(P297:Q297),Q297),"")</f>
        <v>60</v>
      </c>
      <c r="X297" s="10" t="str">
        <f t="array" ref="X297">IF(AND(A297&lt;&gt;"",OR(ISNUMBER(S297),ISNUMBER(T297))),SUM(S297,T297),"")</f>
        <v/>
      </c>
      <c r="Y297" s="13">
        <v>1</v>
      </c>
      <c r="Z297" s="13">
        <f>IF(A297&lt;&gt;"",SUM(U297:Y297),"")</f>
        <v>244</v>
      </c>
      <c r="AA297" s="27">
        <f>IF(A297&lt;&gt;"",(Z297+Normalize_To_Add)/(Point_Total_So_Far)*100,"")</f>
        <v>80</v>
      </c>
      <c r="AB297" s="10">
        <f>IF(A297&lt;&gt;"",RANK(AA297,All_Student_XC),"")</f>
        <v>412</v>
      </c>
      <c r="AC297" s="32" t="str">
        <f>IF(A297&lt;&gt;"",CHOOSE(10-MIN(9,TRUNC((AA297+0.5)/10)),"A","B","C","D","F","F","F","F","F","F"),"")</f>
        <v>B</v>
      </c>
      <c r="AD297" s="32" t="str">
        <f>IF(A297&lt;&gt;"",IF(OR(AA297+0.5&gt;=93,AA297+0.5&lt;60),"",IF(MOD(AA297+0.5,10)&gt;=7,"+",IF(MOD(AA297+0.5,10)&lt;3,"-",""))),"")</f>
        <v>-</v>
      </c>
      <c r="AE297" s="32">
        <f>IF(A297&lt;&gt;"",SUM(W297:X297,$W$8:$X$8)/SUM($W$2:$X$2)*100,"")</f>
        <v>60</v>
      </c>
      <c r="AF297" s="32" t="str">
        <f>IF(A297&lt;&gt;"",CHOOSE(10-MIN(9,TRUNC((AE297+0.5)/10)),"A","B","C","D","F","F","F","F","F","F"),"")</f>
        <v>D</v>
      </c>
      <c r="AG297" s="32" t="str">
        <f>IF(A297&lt;&gt;"",IF(OR(AE297+0.5&gt;=93,AE297+0.5&lt;60),"",IF(MOD(AE297+0.5,10)&gt;=7,"+",IF(MOD(AE297+0.5,10)&lt;3,"-",""))),"")</f>
        <v>-</v>
      </c>
      <c r="AH297" s="36">
        <f>IF(A297&lt;&gt;"",MIN(MAX(AA297,AE297),AA297+$AH$8,AE297+$AH$8),"")</f>
        <v>80</v>
      </c>
      <c r="AI297" s="32" t="str">
        <f>IF(A297&lt;&gt;"",CHOOSE(10-MIN(9,TRUNC((AH297+0.5)/10)),"A","B","C","D","F","F","F","F","F","F"),"")</f>
        <v>B</v>
      </c>
      <c r="AJ297" s="32" t="str">
        <f>IF(A297&lt;&gt;"",IF(OR(AH297+0.5&gt;=93,AH297+0.5&lt;60),"",IF(MOD(AH297+0.5,10)&gt;=7,"+",IF(MOD(AH297+0.5,10)&lt;3,"-",""))),"")</f>
        <v>-</v>
      </c>
      <c r="AK297" s="32" t="b">
        <f>IF(A297&lt;&gt;"",OR(AI297&lt;&gt;AC297,AJ297&lt;&gt;AD297),"")</f>
        <v>0</v>
      </c>
      <c r="AL297" s="84">
        <f>IF(AND(A297&lt;&gt;"",U297&lt;&gt;""),SUM(U297,$AL$8)/$AL$2*100,"")</f>
        <v>68</v>
      </c>
      <c r="AM297" s="24">
        <f>IF(AND(A297&lt;&gt;"",V297&lt;&gt;""),SUM(V297,$AM$8)/$AM$2*100,"")</f>
        <v>101.53846153846153</v>
      </c>
      <c r="AN297" s="24">
        <f>IF(AND(A297&lt;&gt;"",ISNUMBER(P297),P297&gt;=0),SUM(P297,$AN$8)/$AN$2*100,"")</f>
        <v>60</v>
      </c>
      <c r="AO297" s="24" t="str">
        <f>IF(AND(A297&lt;&gt;"",ISNUMBER(Q297),Q297&gt;=0),SUM(Q297,$AO$8)/$AO$2*100,"")</f>
        <v/>
      </c>
      <c r="AP297" s="24" t="str">
        <f>IF(AND(A297&lt;&gt;"",R297&lt;&gt;""),SUM(R297,$AP$8)/$AP$2*100,"")</f>
        <v/>
      </c>
      <c r="AQ297" s="24">
        <f>IF(AND(A297&lt;&gt;"",ISNUMBER(W297),W297&gt;=0),SUM(W297,$AQ$8)/$AQ$2*100,"")</f>
        <v>60</v>
      </c>
      <c r="AR297" s="24" t="str">
        <f>IF(AND(A297&lt;&gt;"",T297&gt;0,ISNUMBER(T297)),SUM(T297,$AR$8)/$AR$2*100,"")</f>
        <v/>
      </c>
      <c r="AS297" s="24" t="str">
        <f>IF(AND(A297&lt;&gt;"",X297&lt;&gt;""),SUM(X297,$AS$8)/$AS$2*100,"")</f>
        <v/>
      </c>
      <c r="AT297" s="89">
        <f>IF(AND(A297&lt;&gt;"",OR(ISNUMBER(W297),ISNUMBER(X297))),SUM(W297:X297,$AT$8)/$AT$2*100,"")</f>
        <v>60</v>
      </c>
      <c r="AU297" s="24">
        <f>AA297</f>
        <v>80</v>
      </c>
      <c r="AV297" s="24"/>
      <c r="AW297" s="27">
        <f>IF(A297&lt;&gt;"",AE297-AA297,"")</f>
        <v>-20</v>
      </c>
      <c r="AY297" s="27" t="b">
        <f>S297&gt;R297</f>
        <v>0</v>
      </c>
      <c r="BA297" s="27" t="e">
        <f>AND(AA297&gt;$BA$3,(W297+$W$8)/$W$2&lt;$BB$3,(X297+$X$8)/$X$2&lt;$BB$3)</f>
        <v>#VALUE!</v>
      </c>
      <c r="BB297" s="27" t="e">
        <f>AND(AA297&lt;$BA$3,AND(W297/$W$2&gt;$BB$3,X297/$X$2&gt;$BB$3))</f>
        <v>#VALUE!</v>
      </c>
      <c r="BC297" s="27" t="e">
        <f>AND(AA297&lt;$BA$3,OR(W297/$W$2&gt;$BB$3,X297/$X$2&gt;$BB$3))</f>
        <v>#VALUE!</v>
      </c>
      <c r="BE297" s="32" t="s">
        <v>84</v>
      </c>
    </row>
    <row r="298" spans="1:57" s="27" customFormat="1" ht="12.75" customHeight="1" x14ac:dyDescent="0.2">
      <c r="A298" s="10">
        <v>588850</v>
      </c>
      <c r="B298" s="2">
        <v>8</v>
      </c>
      <c r="C298" s="10">
        <v>20</v>
      </c>
      <c r="D298" s="10">
        <v>22</v>
      </c>
      <c r="E298" s="10"/>
      <c r="F298" s="10"/>
      <c r="G298" s="3"/>
      <c r="H298" s="10"/>
      <c r="I298" s="10"/>
      <c r="J298" s="2">
        <v>27</v>
      </c>
      <c r="K298" s="10">
        <v>11</v>
      </c>
      <c r="L298" s="10">
        <v>44</v>
      </c>
      <c r="M298" s="10"/>
      <c r="N298" s="93"/>
      <c r="O298" s="12"/>
      <c r="P298" s="10">
        <v>60</v>
      </c>
      <c r="Q298" s="41"/>
      <c r="R298" s="2"/>
      <c r="S298" s="10"/>
      <c r="T298" s="13"/>
      <c r="U298" s="7">
        <f t="array" ref="U298">IF(AND(A298&lt;&gt;"",OR(ISNUMBER(B298:I298))),SUM(B298:I298),"")</f>
        <v>50</v>
      </c>
      <c r="V298" s="10">
        <f t="array" ref="V298">IF(AND(A298&lt;&gt;"",OR(ISNUMBER(J298:O298))),SUM(J298:O298),"")</f>
        <v>82</v>
      </c>
      <c r="W298" s="10">
        <f t="array" ref="W298">IF(AND(A298&lt;&gt;"",OR(ISNUMBER(P298),ISNUMBER(Q298))),SUM(MAX(P298:Q298),Q298),"")</f>
        <v>60</v>
      </c>
      <c r="X298" s="10" t="str">
        <f t="array" ref="X298">IF(AND(A298&lt;&gt;"",OR(ISNUMBER(S298),ISNUMBER(T298))),SUM(S298,T298),"")</f>
        <v/>
      </c>
      <c r="Y298" s="13">
        <v>1</v>
      </c>
      <c r="Z298" s="13">
        <f>IF(A298&lt;&gt;"",SUM(U298:Y298),"")</f>
        <v>193</v>
      </c>
      <c r="AA298" s="27">
        <f>IF(A298&lt;&gt;"",(Z298+Normalize_To_Add)/(Point_Total_So_Far)*100,"")</f>
        <v>63.278688524590166</v>
      </c>
      <c r="AB298" s="10">
        <f>IF(A298&lt;&gt;"",RANK(AA298,All_Student_XC),"")</f>
        <v>469</v>
      </c>
      <c r="AC298" s="32" t="str">
        <f>IF(A298&lt;&gt;"",CHOOSE(10-MIN(9,TRUNC((AA298+0.5)/10)),"A","B","C","D","F","F","F","F","F","F"),"")</f>
        <v>D</v>
      </c>
      <c r="AD298" s="32" t="str">
        <f>IF(A298&lt;&gt;"",IF(OR(AA298+0.5&gt;=93,AA298+0.5&lt;60),"",IF(MOD(AA298+0.5,10)&gt;=7,"+",IF(MOD(AA298+0.5,10)&lt;3,"-",""))),"")</f>
        <v/>
      </c>
      <c r="AE298" s="32">
        <f>IF(A298&lt;&gt;"",SUM(W298:X298,$W$8:$X$8)/SUM($W$2:$X$2)*100,"")</f>
        <v>60</v>
      </c>
      <c r="AF298" s="44" t="str">
        <f>IF(A298&lt;&gt;"",CHOOSE(10-MIN(9,TRUNC((AE298+0.5)/10)),"A","B","C","D","F","F","F","F","F","F"),"")</f>
        <v>D</v>
      </c>
      <c r="AG298" s="44" t="str">
        <f>IF(A298&lt;&gt;"",IF(OR(AE298+0.5&gt;=93,AE298+0.5&lt;60),"",IF(MOD(AE298+0.5,10)&gt;=7,"+",IF(MOD(AE298+0.5,10)&lt;3,"-",""))),"")</f>
        <v>-</v>
      </c>
      <c r="AH298" s="36">
        <f>IF(A298&lt;&gt;"",MIN(MAX(AA298,AE298),AA298+$AH$8,AE298+$AH$8),"")</f>
        <v>63.278688524590166</v>
      </c>
      <c r="AI298" s="32" t="str">
        <f>IF(A298&lt;&gt;"",CHOOSE(10-MIN(9,TRUNC((AH298+0.5)/10)),"A","B","C","D","F","F","F","F","F","F"),"")</f>
        <v>D</v>
      </c>
      <c r="AJ298" s="32" t="str">
        <f>IF(A298&lt;&gt;"",IF(OR(AH298+0.5&gt;=93,AH298+0.5&lt;60),"",IF(MOD(AH298+0.5,10)&gt;=7,"+",IF(MOD(AH298+0.5,10)&lt;3,"-",""))),"")</f>
        <v/>
      </c>
      <c r="AK298" s="32" t="b">
        <f>IF(A298&lt;&gt;"",OR(AI298&lt;&gt;AC298,AJ298&lt;&gt;AD298),"")</f>
        <v>0</v>
      </c>
      <c r="AL298" s="84">
        <f>IF(AND(A298&lt;&gt;"",U298&lt;&gt;""),SUM(U298,$AL$8)/$AL$2*100,"")</f>
        <v>66.666666666666657</v>
      </c>
      <c r="AM298" s="24">
        <f>IF(AND(A298&lt;&gt;"",V298&lt;&gt;""),SUM(V298,$AM$8)/$AM$2*100,"")</f>
        <v>63.076923076923073</v>
      </c>
      <c r="AN298" s="24">
        <f>IF(AND(A298&lt;&gt;"",ISNUMBER(P298),P298&gt;=0),SUM(P298,$AN$8)/$AN$2*100,"")</f>
        <v>60</v>
      </c>
      <c r="AO298" s="24" t="str">
        <f>IF(AND(A298&lt;&gt;"",ISNUMBER(Q298),Q298&gt;=0),SUM(Q298,$AO$8)/$AO$2*100,"")</f>
        <v/>
      </c>
      <c r="AP298" s="24" t="str">
        <f>IF(AND(A298&lt;&gt;"",R298&lt;&gt;""),SUM(R298,$AP$8)/$AP$2*100,"")</f>
        <v/>
      </c>
      <c r="AQ298" s="24">
        <f>IF(AND(A298&lt;&gt;"",ISNUMBER(W298),W298&gt;=0),SUM(W298,$AQ$8)/$AQ$2*100,"")</f>
        <v>60</v>
      </c>
      <c r="AR298" s="24" t="str">
        <f>IF(AND(A298&lt;&gt;"",T298&gt;0,ISNUMBER(T298)),SUM(T298,$AR$8)/$AR$2*100,"")</f>
        <v/>
      </c>
      <c r="AS298" s="24" t="str">
        <f>IF(AND(A298&lt;&gt;"",X298&lt;&gt;""),SUM(X298,$AS$8)/$AS$2*100,"")</f>
        <v/>
      </c>
      <c r="AT298" s="89">
        <f>IF(AND(A298&lt;&gt;"",OR(ISNUMBER(W298),ISNUMBER(X298))),SUM(W298:X298,$AT$8)/$AT$2*100,"")</f>
        <v>60</v>
      </c>
      <c r="AU298" s="24">
        <f>AA298</f>
        <v>63.278688524590166</v>
      </c>
      <c r="AV298" s="24"/>
      <c r="AW298" s="27">
        <f>IF(A298&lt;&gt;"",AE298-AA298,"")</f>
        <v>-3.2786885245901658</v>
      </c>
      <c r="AY298" s="27" t="b">
        <f>S298&gt;R298</f>
        <v>0</v>
      </c>
      <c r="BA298" s="27" t="e">
        <f>AND(AA298&gt;$BA$3,(W298+$W$8)/$W$2&lt;$BB$3,(X298+$X$8)/$X$2&lt;$BB$3)</f>
        <v>#VALUE!</v>
      </c>
      <c r="BB298" s="27" t="e">
        <f>AND(AA298&lt;$BA$3,AND(W298/$W$2&gt;$BB$3,X298/$X$2&gt;$BB$3))</f>
        <v>#VALUE!</v>
      </c>
      <c r="BC298" s="27" t="e">
        <f>AND(AA298&lt;$BA$3,OR(W298/$W$2&gt;$BB$3,X298/$X$2&gt;$BB$3))</f>
        <v>#VALUE!</v>
      </c>
      <c r="BE298" s="32">
        <v>32</v>
      </c>
    </row>
    <row r="299" spans="1:57" s="27" customFormat="1" ht="12.75" customHeight="1" x14ac:dyDescent="0.2">
      <c r="A299" s="10">
        <v>589445</v>
      </c>
      <c r="B299" s="2">
        <v>14</v>
      </c>
      <c r="C299" s="10">
        <v>20</v>
      </c>
      <c r="D299" s="10">
        <v>25</v>
      </c>
      <c r="E299" s="10"/>
      <c r="F299" s="10"/>
      <c r="G299" s="3"/>
      <c r="H299" s="10"/>
      <c r="I299" s="10"/>
      <c r="J299" s="2">
        <v>31</v>
      </c>
      <c r="K299" s="10">
        <v>38</v>
      </c>
      <c r="L299" s="10">
        <v>50</v>
      </c>
      <c r="M299" s="10"/>
      <c r="N299" s="10"/>
      <c r="O299" s="12"/>
      <c r="P299" s="41">
        <v>60</v>
      </c>
      <c r="Q299" s="41"/>
      <c r="R299" s="2"/>
      <c r="S299" s="10"/>
      <c r="T299" s="13"/>
      <c r="U299" s="7">
        <f t="array" ref="U299">IF(AND(A299&lt;&gt;"",OR(ISNUMBER(B299:I299))),SUM(B299:I299),"")</f>
        <v>59</v>
      </c>
      <c r="V299" s="10">
        <f t="array" ref="V299">IF(AND(A299&lt;&gt;"",OR(ISNUMBER(J299:O299))),SUM(J299:O299),"")</f>
        <v>119</v>
      </c>
      <c r="W299" s="10">
        <f t="array" ref="W299">IF(AND(A299&lt;&gt;"",OR(ISNUMBER(P299),ISNUMBER(Q299))),SUM(MAX(P299:Q299),Q299),"")</f>
        <v>60</v>
      </c>
      <c r="X299" s="10" t="str">
        <f t="array" ref="X299">IF(AND(A299&lt;&gt;"",OR(ISNUMBER(S299),ISNUMBER(T299))),SUM(S299,T299),"")</f>
        <v/>
      </c>
      <c r="Y299" s="13">
        <v>1</v>
      </c>
      <c r="Z299" s="13">
        <f>IF(A299&lt;&gt;"",SUM(U299:Y299),"")</f>
        <v>239</v>
      </c>
      <c r="AA299" s="27">
        <f>IF(A299&lt;&gt;"",(Z299+Normalize_To_Add)/(Point_Total_So_Far)*100,"")</f>
        <v>78.360655737704917</v>
      </c>
      <c r="AB299" s="10">
        <f>IF(A299&lt;&gt;"",RANK(AA299,All_Student_XC),"")</f>
        <v>422</v>
      </c>
      <c r="AC299" s="32" t="str">
        <f>IF(A299&lt;&gt;"",CHOOSE(10-MIN(9,TRUNC((AA299+0.5)/10)),"A","B","C","D","F","F","F","F","F","F"),"")</f>
        <v>C</v>
      </c>
      <c r="AD299" s="32" t="str">
        <f>IF(A299&lt;&gt;"",IF(OR(AA299+0.5&gt;=93,AA299+0.5&lt;60),"",IF(MOD(AA299+0.5,10)&gt;=7,"+",IF(MOD(AA299+0.5,10)&lt;3,"-",""))),"")</f>
        <v>+</v>
      </c>
      <c r="AE299" s="32">
        <f>IF(A299&lt;&gt;"",SUM(W299:X299,$W$8:$X$8)/SUM($W$2:$X$2)*100,"")</f>
        <v>60</v>
      </c>
      <c r="AF299" s="32" t="str">
        <f>IF(A299&lt;&gt;"",CHOOSE(10-MIN(9,TRUNC((AE299+0.5)/10)),"A","B","C","D","F","F","F","F","F","F"),"")</f>
        <v>D</v>
      </c>
      <c r="AG299" s="32" t="str">
        <f>IF(A299&lt;&gt;"",IF(OR(AE299+0.5&gt;=93,AE299+0.5&lt;60),"",IF(MOD(AE299+0.5,10)&gt;=7,"+",IF(MOD(AE299+0.5,10)&lt;3,"-",""))),"")</f>
        <v>-</v>
      </c>
      <c r="AH299" s="36">
        <f>IF(A299&lt;&gt;"",MIN(MAX(AA299,AE299),AA299+$AH$8,AE299+$AH$8),"")</f>
        <v>78.360655737704917</v>
      </c>
      <c r="AI299" s="32" t="str">
        <f>IF(A299&lt;&gt;"",CHOOSE(10-MIN(9,TRUNC((AH299+0.5)/10)),"A","B","C","D","F","F","F","F","F","F"),"")</f>
        <v>C</v>
      </c>
      <c r="AJ299" s="32" t="str">
        <f>IF(A299&lt;&gt;"",IF(OR(AH299+0.5&gt;=93,AH299+0.5&lt;60),"",IF(MOD(AH299+0.5,10)&gt;=7,"+",IF(MOD(AH299+0.5,10)&lt;3,"-",""))),"")</f>
        <v>+</v>
      </c>
      <c r="AK299" s="32" t="b">
        <f>IF(A299&lt;&gt;"",OR(AI299&lt;&gt;AC299,AJ299&lt;&gt;AD299),"")</f>
        <v>0</v>
      </c>
      <c r="AL299" s="84">
        <f>IF(AND(A299&lt;&gt;"",U299&lt;&gt;""),SUM(U299,$AL$8)/$AL$2*100,"")</f>
        <v>78.666666666666657</v>
      </c>
      <c r="AM299" s="24">
        <f>IF(AND(A299&lt;&gt;"",V299&lt;&gt;""),SUM(V299,$AM$8)/$AM$2*100,"")</f>
        <v>91.538461538461533</v>
      </c>
      <c r="AN299" s="24">
        <f>IF(AND(A299&lt;&gt;"",ISNUMBER(P299),P299&gt;=0),SUM(P299,$AN$8)/$AN$2*100,"")</f>
        <v>60</v>
      </c>
      <c r="AO299" s="24" t="str">
        <f>IF(AND(A299&lt;&gt;"",ISNUMBER(Q299),Q299&gt;=0),SUM(Q299,$AO$8)/$AO$2*100,"")</f>
        <v/>
      </c>
      <c r="AP299" s="24" t="str">
        <f>IF(AND(A299&lt;&gt;"",R299&lt;&gt;""),SUM(R299,$AP$8)/$AP$2*100,"")</f>
        <v/>
      </c>
      <c r="AQ299" s="24">
        <f>IF(AND(A299&lt;&gt;"",ISNUMBER(W299),W299&gt;=0),SUM(W299,$AQ$8)/$AQ$2*100,"")</f>
        <v>60</v>
      </c>
      <c r="AR299" s="24" t="str">
        <f>IF(AND(A299&lt;&gt;"",T299&gt;0,ISNUMBER(T299)),SUM(T299,$AR$8)/$AR$2*100,"")</f>
        <v/>
      </c>
      <c r="AS299" s="24" t="str">
        <f>IF(AND(A299&lt;&gt;"",X299&lt;&gt;""),SUM(X299,$AS$8)/$AS$2*100,"")</f>
        <v/>
      </c>
      <c r="AT299" s="89">
        <f>IF(AND(A299&lt;&gt;"",OR(ISNUMBER(W299),ISNUMBER(X299))),SUM(W299:X299,$AT$8)/$AT$2*100,"")</f>
        <v>60</v>
      </c>
      <c r="AU299" s="24">
        <f>AA299</f>
        <v>78.360655737704917</v>
      </c>
      <c r="AV299" s="24"/>
      <c r="AW299" s="27">
        <f>IF(A299&lt;&gt;"",AE299-AA299,"")</f>
        <v>-18.360655737704917</v>
      </c>
      <c r="AY299" s="27" t="b">
        <f>S299&gt;R299</f>
        <v>0</v>
      </c>
      <c r="BA299" s="27" t="e">
        <f>AND(AA299&gt;$BA$3,(W299+$W$8)/$W$2&lt;$BB$3,(X299+$X$8)/$X$2&lt;$BB$3)</f>
        <v>#VALUE!</v>
      </c>
      <c r="BB299" s="27" t="e">
        <f>AND(AA299&lt;$BA$3,AND(W299/$W$2&gt;$BB$3,X299/$X$2&gt;$BB$3))</f>
        <v>#VALUE!</v>
      </c>
      <c r="BC299" s="27" t="e">
        <f>AND(AA299&lt;$BA$3,OR(W299/$W$2&gt;$BB$3,X299/$X$2&gt;$BB$3))</f>
        <v>#VALUE!</v>
      </c>
      <c r="BE299" s="32">
        <v>32</v>
      </c>
    </row>
    <row r="300" spans="1:57" s="27" customFormat="1" ht="12.75" customHeight="1" x14ac:dyDescent="0.2">
      <c r="A300" s="10">
        <v>591513</v>
      </c>
      <c r="B300" s="2">
        <v>17</v>
      </c>
      <c r="C300" s="10">
        <v>19</v>
      </c>
      <c r="D300" s="10">
        <v>16</v>
      </c>
      <c r="E300" s="10"/>
      <c r="F300" s="10"/>
      <c r="G300" s="10"/>
      <c r="H300" s="10"/>
      <c r="I300" s="10"/>
      <c r="J300" s="2">
        <v>22</v>
      </c>
      <c r="K300" s="10">
        <v>42</v>
      </c>
      <c r="L300" s="10">
        <v>49</v>
      </c>
      <c r="M300" s="10"/>
      <c r="N300" s="10"/>
      <c r="O300" s="12"/>
      <c r="P300" s="10">
        <v>101</v>
      </c>
      <c r="Q300" s="41"/>
      <c r="R300" s="2"/>
      <c r="S300" s="10"/>
      <c r="T300" s="13"/>
      <c r="U300" s="35">
        <f t="array" ref="U300">IF(AND(A300&lt;&gt;"",OR(ISNUMBER(B300:I300))),SUM(B300:I300),"")</f>
        <v>52</v>
      </c>
      <c r="V300" s="10">
        <f t="array" ref="V300">IF(AND(A300&lt;&gt;"",OR(ISNUMBER(J300:O300))),SUM(J300:O300),"")</f>
        <v>113</v>
      </c>
      <c r="W300" s="10">
        <f t="array" ref="W300">IF(AND(A300&lt;&gt;"",OR(ISNUMBER(P300),ISNUMBER(Q300))),SUM(MAX(P300:Q300),Q300),"")</f>
        <v>101</v>
      </c>
      <c r="X300" s="10" t="str">
        <f t="array" ref="X300">IF(AND(A300&lt;&gt;"",OR(ISNUMBER(S300),ISNUMBER(T300))),SUM(S300,T300),"")</f>
        <v/>
      </c>
      <c r="Y300" s="13">
        <v>1</v>
      </c>
      <c r="Z300" s="13">
        <f>IF(A300&lt;&gt;"",SUM(U300:Y300),"")</f>
        <v>267</v>
      </c>
      <c r="AA300" s="27">
        <f>IF(A300&lt;&gt;"",(Z300+Normalize_To_Add)/(Point_Total_So_Far)*100,"")</f>
        <v>87.540983606557376</v>
      </c>
      <c r="AB300" s="10">
        <f>IF(A300&lt;&gt;"",RANK(AA300,All_Student_XC),"")</f>
        <v>357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>+</v>
      </c>
      <c r="AE300" s="32">
        <f>IF(A300&lt;&gt;"",SUM(W300:X300,$W$8:$X$8)/SUM($W$2:$X$2)*100,"")</f>
        <v>101</v>
      </c>
      <c r="AF300" s="32" t="str">
        <f>IF(A300&lt;&gt;"",CHOOSE(10-MIN(9,TRUNC((AE300+0.5)/10)),"A","B","C","D","F","F","F","F","F","F"),"")</f>
        <v>A</v>
      </c>
      <c r="AG300" s="32" t="str">
        <f>IF(A300&lt;&gt;"",IF(OR(AE300+0.5&gt;=93,AE300+0.5&lt;60),"",IF(MOD(AE300+0.5,10)&gt;=7,"+",IF(MOD(AE300+0.5,10)&lt;3,"-",""))),"")</f>
        <v/>
      </c>
      <c r="AH300" s="36">
        <f>IF(A300&lt;&gt;"",MIN(MAX(AA300,AE300),AA300+$AH$8,AE300+$AH$8),"")</f>
        <v>101</v>
      </c>
      <c r="AI300" s="32" t="str">
        <f>IF(A300&lt;&gt;"",CHOOSE(10-MIN(9,TRUNC((AH300+0.5)/10)),"A","B","C","D","F","F","F","F","F","F"),"")</f>
        <v>A</v>
      </c>
      <c r="AJ300" s="32" t="str">
        <f>IF(A300&lt;&gt;"",IF(OR(AH300+0.5&gt;=93,AH300+0.5&lt;60),"",IF(MOD(AH300+0.5,10)&gt;=7,"+",IF(MOD(AH300+0.5,10)&lt;3,"-",""))),"")</f>
        <v/>
      </c>
      <c r="AK300" s="32" t="b">
        <f>IF(A300&lt;&gt;"",OR(AI300&lt;&gt;AC300,AJ300&lt;&gt;AD300),"")</f>
        <v>1</v>
      </c>
      <c r="AL300" s="84">
        <f>IF(AND(A300&lt;&gt;"",U300&lt;&gt;""),SUM(U300,$AL$8)/$AL$2*100,"")</f>
        <v>69.333333333333343</v>
      </c>
      <c r="AM300" s="24">
        <f>IF(AND(A300&lt;&gt;"",V300&lt;&gt;""),SUM(V300,$AM$8)/$AM$2*100,"")</f>
        <v>86.92307692307692</v>
      </c>
      <c r="AN300" s="24">
        <f>IF(AND(A300&lt;&gt;"",ISNUMBER(P300),P300&gt;=0),SUM(P300,$AN$8)/$AN$2*100,"")</f>
        <v>101</v>
      </c>
      <c r="AO300" s="24" t="str">
        <f>IF(AND(A300&lt;&gt;"",ISNUMBER(Q300),Q300&gt;=0),SUM(Q300,$AO$8)/$AO$2*100,"")</f>
        <v/>
      </c>
      <c r="AP300" s="24" t="str">
        <f>IF(AND(A300&lt;&gt;"",R300&lt;&gt;""),SUM(R300,$AP$8)/$AP$2*100,"")</f>
        <v/>
      </c>
      <c r="AQ300" s="24">
        <f>IF(AND(A300&lt;&gt;"",ISNUMBER(W300),W300&gt;=0),SUM(W300,$AQ$8)/$AQ$2*100,"")</f>
        <v>101</v>
      </c>
      <c r="AR300" s="24" t="str">
        <f>IF(AND(A300&lt;&gt;"",T300&gt;0,ISNUMBER(T300)),SUM(T300,$AR$8)/$AR$2*100,"")</f>
        <v/>
      </c>
      <c r="AS300" s="24" t="str">
        <f>IF(AND(A300&lt;&gt;"",X300&lt;&gt;""),SUM(X300,$AS$8)/$AS$2*100,"")</f>
        <v/>
      </c>
      <c r="AT300" s="89">
        <f>IF(AND(A300&lt;&gt;"",OR(ISNUMBER(W300),ISNUMBER(X300))),SUM(W300:X300,$AT$8)/$AT$2*100,"")</f>
        <v>101</v>
      </c>
      <c r="AU300" s="24">
        <f>AA300</f>
        <v>87.540983606557376</v>
      </c>
      <c r="AV300" s="24"/>
      <c r="AW300" s="27">
        <f>IF(A300&lt;&gt;"",AE300-AA300,"")</f>
        <v>13.459016393442624</v>
      </c>
      <c r="AY300" s="27" t="b">
        <f>S300&gt;R300</f>
        <v>0</v>
      </c>
      <c r="BA300" s="27" t="e">
        <f>AND(AA300&gt;$BA$3,(W300+$W$8)/$W$2&lt;$BB$3,(X300+$X$8)/$X$2&lt;$BB$3)</f>
        <v>#VALUE!</v>
      </c>
      <c r="BB300" s="27" t="e">
        <f>AND(AA300&lt;$BA$3,AND(W300/$W$2&gt;$BB$3,X300/$X$2&gt;$BB$3))</f>
        <v>#VALUE!</v>
      </c>
      <c r="BC300" s="27" t="e">
        <f>AND(AA300&lt;$BA$3,OR(W300/$W$2&gt;$BB$3,X300/$X$2&gt;$BB$3))</f>
        <v>#VALUE!</v>
      </c>
      <c r="BE300" s="32">
        <v>32</v>
      </c>
    </row>
    <row r="301" spans="1:57" s="27" customFormat="1" ht="12.75" customHeight="1" x14ac:dyDescent="0.2">
      <c r="A301" s="10">
        <v>592877</v>
      </c>
      <c r="B301" s="2">
        <v>11</v>
      </c>
      <c r="C301" s="10">
        <v>21</v>
      </c>
      <c r="D301" s="10">
        <v>21</v>
      </c>
      <c r="E301" s="10"/>
      <c r="F301" s="10"/>
      <c r="G301" s="10"/>
      <c r="H301" s="10"/>
      <c r="I301" s="10"/>
      <c r="J301" s="2">
        <v>30</v>
      </c>
      <c r="K301" s="10">
        <v>50</v>
      </c>
      <c r="L301" s="10" t="s">
        <v>67</v>
      </c>
      <c r="M301" s="10"/>
      <c r="N301" s="93"/>
      <c r="O301" s="13"/>
      <c r="P301" s="10">
        <v>60</v>
      </c>
      <c r="Q301" s="10"/>
      <c r="R301" s="2"/>
      <c r="S301" s="10"/>
      <c r="T301" s="13"/>
      <c r="U301" s="7">
        <f t="array" ref="U301">IF(AND(A301&lt;&gt;"",OR(ISNUMBER(B301:I301))),SUM(B301:I301),"")</f>
        <v>53</v>
      </c>
      <c r="V301" s="10">
        <f t="array" ref="V301">IF(AND(A301&lt;&gt;"",OR(ISNUMBER(J301:O301))),SUM(J301:O301),"")</f>
        <v>80</v>
      </c>
      <c r="W301" s="10">
        <f t="array" ref="W301">IF(AND(A301&lt;&gt;"",OR(ISNUMBER(P301),ISNUMBER(Q301))),SUM(MAX(P301:Q301),Q301),"")</f>
        <v>60</v>
      </c>
      <c r="X301" s="10" t="str">
        <f t="array" ref="X301">IF(AND(A301&lt;&gt;"",OR(ISNUMBER(S301),ISNUMBER(T301))),SUM(S301,T301),"")</f>
        <v/>
      </c>
      <c r="Y301" s="13">
        <v>1</v>
      </c>
      <c r="Z301" s="13">
        <f>IF(A301&lt;&gt;"",SUM(U301:Y301),"")</f>
        <v>194</v>
      </c>
      <c r="AA301" s="27">
        <f>IF(A301&lt;&gt;"",(Z301+Normalize_To_Add)/(Point_Total_So_Far)*100,"")</f>
        <v>63.606557377049178</v>
      </c>
      <c r="AB301" s="10">
        <f>IF(A301&lt;&gt;"",RANK(AA301,All_Student_XC),"")</f>
        <v>468</v>
      </c>
      <c r="AC301" s="32" t="str">
        <f>IF(A301&lt;&gt;"",CHOOSE(10-MIN(9,TRUNC((AA301+0.5)/10)),"A","B","C","D","F","F","F","F","F","F"),"")</f>
        <v>D</v>
      </c>
      <c r="AD301" s="31" t="str">
        <f>IF(A301&lt;&gt;"",IF(OR(AA301+0.5&gt;=93,AA301+0.5&lt;60),"",IF(MOD(AA301+0.5,10)&gt;=7,"+",IF(MOD(AA301+0.5,10)&lt;3,"-",""))),"")</f>
        <v/>
      </c>
      <c r="AE301" s="32">
        <f>IF(A301&lt;&gt;"",SUM(W301:X301,$W$8:$X$8)/SUM($W$2:$X$2)*100,"")</f>
        <v>60</v>
      </c>
      <c r="AF301" s="32" t="str">
        <f>IF(A301&lt;&gt;"",CHOOSE(10-MIN(9,TRUNC((AE301+0.5)/10)),"A","B","C","D","F","F","F","F","F","F"),"")</f>
        <v>D</v>
      </c>
      <c r="AG301" s="32" t="str">
        <f>IF(A301&lt;&gt;"",IF(OR(AE301+0.5&gt;=93,AE301+0.5&lt;60),"",IF(MOD(AE301+0.5,10)&gt;=7,"+",IF(MOD(AE301+0.5,10)&lt;3,"-",""))),"")</f>
        <v>-</v>
      </c>
      <c r="AH301" s="36">
        <f>IF(A301&lt;&gt;"",MIN(MAX(AA301,AE301),AA301+$AH$8,AE301+$AH$8),"")</f>
        <v>63.606557377049178</v>
      </c>
      <c r="AI301" s="32" t="str">
        <f>IF(A301&lt;&gt;"",CHOOSE(10-MIN(9,TRUNC((AH301+0.5)/10)),"A","B","C","D","F","F","F","F","F","F"),"")</f>
        <v>D</v>
      </c>
      <c r="AJ301" s="32" t="str">
        <f>IF(A301&lt;&gt;"",IF(OR(AH301+0.5&gt;=93,AH301+0.5&lt;60),"",IF(MOD(AH301+0.5,10)&gt;=7,"+",IF(MOD(AH301+0.5,10)&lt;3,"-",""))),"")</f>
        <v/>
      </c>
      <c r="AK301" s="71" t="b">
        <f>IF(A301&lt;&gt;"",OR(AI301&lt;&gt;AC301,AJ301&lt;&gt;AD301),"")</f>
        <v>0</v>
      </c>
      <c r="AL301" s="86">
        <f>IF(AND(A301&lt;&gt;"",U301&lt;&gt;""),SUM(U301,$AL$8)/$AL$2*100,"")</f>
        <v>70.666666666666671</v>
      </c>
      <c r="AM301" s="71">
        <f>IF(AND(A301&lt;&gt;"",V301&lt;&gt;""),SUM(V301,$AM$8)/$AM$2*100,"")</f>
        <v>61.53846153846154</v>
      </c>
      <c r="AN301" s="71">
        <f>IF(AND(A301&lt;&gt;"",ISNUMBER(P301),P301&gt;=0),SUM(P301,$AN$8)/$AN$2*100,"")</f>
        <v>60</v>
      </c>
      <c r="AO301" s="71" t="str">
        <f>IF(AND(A301&lt;&gt;"",ISNUMBER(Q301),Q301&gt;=0),SUM(Q301,$AO$8)/$AO$2*100,"")</f>
        <v/>
      </c>
      <c r="AP301" s="24" t="str">
        <f>IF(AND(A301&lt;&gt;"",R301&lt;&gt;""),SUM(R301,$AP$8)/$AP$2*100,"")</f>
        <v/>
      </c>
      <c r="AQ301" s="24">
        <f>IF(AND(A301&lt;&gt;"",ISNUMBER(W301),W301&gt;=0),SUM(W301,$AQ$8)/$AQ$2*100,"")</f>
        <v>60</v>
      </c>
      <c r="AR301" s="24" t="str">
        <f>IF(AND(A301&lt;&gt;"",T301&gt;0,ISNUMBER(T301)),SUM(T301,$AR$8)/$AR$2*100,"")</f>
        <v/>
      </c>
      <c r="AS301" s="24" t="str">
        <f>IF(AND(A301&lt;&gt;"",X301&lt;&gt;""),SUM(X301,$AS$8)/$AS$2*100,"")</f>
        <v/>
      </c>
      <c r="AT301" s="89">
        <f>IF(AND(A301&lt;&gt;"",OR(ISNUMBER(W301),ISNUMBER(X301))),SUM(W301:X301,$AT$8)/$AT$2*100,"")</f>
        <v>60</v>
      </c>
      <c r="AU301" s="24">
        <f>AA301</f>
        <v>63.606557377049178</v>
      </c>
      <c r="AV301" s="71"/>
      <c r="AW301" s="27">
        <f>IF(A301&lt;&gt;"",AE301-AA301,"")</f>
        <v>-3.6065573770491781</v>
      </c>
      <c r="AY301" s="27" t="b">
        <f>S301&gt;R301</f>
        <v>0</v>
      </c>
      <c r="BA301" s="27" t="e">
        <f>AND(AA301&gt;$BA$3,(W301+$W$8)/$W$2&lt;$BB$3,(X301+$X$8)/$X$2&lt;$BB$3)</f>
        <v>#VALUE!</v>
      </c>
      <c r="BB301" s="27" t="e">
        <f>AND(AA301&lt;$BA$3,AND(W301/$W$2&gt;$BB$3,X301/$X$2&gt;$BB$3))</f>
        <v>#VALUE!</v>
      </c>
      <c r="BC301" s="27" t="e">
        <f>AND(AA301&lt;$BA$3,OR(W301/$W$2&gt;$BB$3,X301/$X$2&gt;$BB$3))</f>
        <v>#VALUE!</v>
      </c>
      <c r="BE301" s="32">
        <v>32</v>
      </c>
    </row>
    <row r="302" spans="1:57" s="27" customFormat="1" ht="12.75" customHeight="1" x14ac:dyDescent="0.2">
      <c r="A302" s="10">
        <v>594771</v>
      </c>
      <c r="B302" s="2">
        <v>23</v>
      </c>
      <c r="C302" s="10">
        <v>24</v>
      </c>
      <c r="D302" s="10">
        <v>25</v>
      </c>
      <c r="E302" s="10"/>
      <c r="F302" s="10"/>
      <c r="G302" s="3"/>
      <c r="H302" s="10"/>
      <c r="I302" s="10"/>
      <c r="J302" s="2">
        <v>29</v>
      </c>
      <c r="K302" s="10">
        <v>52</v>
      </c>
      <c r="L302" s="10">
        <v>51</v>
      </c>
      <c r="M302" s="10"/>
      <c r="N302" s="10"/>
      <c r="O302" s="12"/>
      <c r="P302" s="41">
        <v>101</v>
      </c>
      <c r="Q302" s="41"/>
      <c r="R302" s="2"/>
      <c r="S302" s="10"/>
      <c r="T302" s="13"/>
      <c r="U302" s="7">
        <f t="array" ref="U302">IF(AND(A302&lt;&gt;"",OR(ISNUMBER(B302:I302))),SUM(B302:I302),"")</f>
        <v>72</v>
      </c>
      <c r="V302" s="10">
        <f t="array" ref="V302">IF(AND(A302&lt;&gt;"",OR(ISNUMBER(J302:O302))),SUM(J302:O302),"")</f>
        <v>132</v>
      </c>
      <c r="W302" s="10">
        <f t="array" ref="W302">IF(AND(A302&lt;&gt;"",OR(ISNUMBER(P302),ISNUMBER(Q302))),SUM(MAX(P302:Q302),Q302),"")</f>
        <v>101</v>
      </c>
      <c r="X302" s="10" t="str">
        <f t="array" ref="X302">IF(AND(A302&lt;&gt;"",OR(ISNUMBER(S302),ISNUMBER(T302))),SUM(S302,T302),"")</f>
        <v/>
      </c>
      <c r="Y302" s="13">
        <v>1</v>
      </c>
      <c r="Z302" s="13">
        <f>IF(A302&lt;&gt;"",SUM(U302:Y302),"")</f>
        <v>306</v>
      </c>
      <c r="AA302" s="27">
        <f>IF(A302&lt;&gt;"",(Z302+Normalize_To_Add)/(Point_Total_So_Far)*100,"")</f>
        <v>100.32786885245901</v>
      </c>
      <c r="AB302" s="10">
        <f>IF(A302&lt;&gt;"",RANK(AA302,All_Student_XC),"")</f>
        <v>99</v>
      </c>
      <c r="AC302" s="32" t="str">
        <f>IF(A302&lt;&gt;"",CHOOSE(10-MIN(9,TRUNC((AA302+0.5)/10)),"A","B","C","D","F","F","F","F","F","F"),"")</f>
        <v>A</v>
      </c>
      <c r="AD302" s="32" t="str">
        <f>IF(A302&lt;&gt;"",IF(OR(AA302+0.5&gt;=93,AA302+0.5&lt;60),"",IF(MOD(AA302+0.5,10)&gt;=7,"+",IF(MOD(AA302+0.5,10)&lt;3,"-",""))),"")</f>
        <v/>
      </c>
      <c r="AE302" s="32">
        <f>IF(A302&lt;&gt;"",SUM(W302:X302,$W$8:$X$8)/SUM($W$2:$X$2)*100,"")</f>
        <v>101</v>
      </c>
      <c r="AF302" s="32" t="str">
        <f>IF(A302&lt;&gt;"",CHOOSE(10-MIN(9,TRUNC((AE302+0.5)/10)),"A","B","C","D","F","F","F","F","F","F"),"")</f>
        <v>A</v>
      </c>
      <c r="AG302" s="32" t="str">
        <f>IF(A302&lt;&gt;"",IF(OR(AE302+0.5&gt;=93,AE302+0.5&lt;60),"",IF(MOD(AE302+0.5,10)&gt;=7,"+",IF(MOD(AE302+0.5,10)&lt;3,"-",""))),"")</f>
        <v/>
      </c>
      <c r="AH302" s="36">
        <f>IF(A302&lt;&gt;"",MIN(MAX(AA302,AE302),AA302+$AH$8,AE302+$AH$8),"")</f>
        <v>101</v>
      </c>
      <c r="AI302" s="32" t="str">
        <f>IF(A302&lt;&gt;"",CHOOSE(10-MIN(9,TRUNC((AH302+0.5)/10)),"A","B","C","D","F","F","F","F","F","F"),"")</f>
        <v>A</v>
      </c>
      <c r="AJ302" s="32" t="str">
        <f>IF(A302&lt;&gt;"",IF(OR(AH302+0.5&gt;=93,AH302+0.5&lt;60),"",IF(MOD(AH302+0.5,10)&gt;=7,"+",IF(MOD(AH302+0.5,10)&lt;3,"-",""))),"")</f>
        <v/>
      </c>
      <c r="AK302" s="32" t="b">
        <f>IF(A302&lt;&gt;"",OR(AI302&lt;&gt;AC302,AJ302&lt;&gt;AD302),"")</f>
        <v>0</v>
      </c>
      <c r="AL302" s="84">
        <f>IF(AND(A302&lt;&gt;"",U302&lt;&gt;""),SUM(U302,$AL$8)/$AL$2*100,"")</f>
        <v>96</v>
      </c>
      <c r="AM302" s="24">
        <f>IF(AND(A302&lt;&gt;"",V302&lt;&gt;""),SUM(V302,$AM$8)/$AM$2*100,"")</f>
        <v>101.53846153846153</v>
      </c>
      <c r="AN302" s="24">
        <f>IF(AND(A302&lt;&gt;"",ISNUMBER(P302),P302&gt;=0),SUM(P302,$AN$8)/$AN$2*100,"")</f>
        <v>101</v>
      </c>
      <c r="AO302" s="24" t="str">
        <f>IF(AND(A302&lt;&gt;"",ISNUMBER(Q302),Q302&gt;=0),SUM(Q302,$AO$8)/$AO$2*100,"")</f>
        <v/>
      </c>
      <c r="AP302" s="24" t="str">
        <f>IF(AND(A302&lt;&gt;"",R302&lt;&gt;""),SUM(R302,$AP$8)/$AP$2*100,"")</f>
        <v/>
      </c>
      <c r="AQ302" s="24">
        <f>IF(AND(A302&lt;&gt;"",ISNUMBER(W302),W302&gt;=0),SUM(W302,$AQ$8)/$AQ$2*100,"")</f>
        <v>101</v>
      </c>
      <c r="AR302" s="24" t="str">
        <f>IF(AND(A302&lt;&gt;"",T302&gt;0,ISNUMBER(T302)),SUM(T302,$AR$8)/$AR$2*100,"")</f>
        <v/>
      </c>
      <c r="AS302" s="24" t="str">
        <f>IF(AND(A302&lt;&gt;"",X302&lt;&gt;""),SUM(X302,$AS$8)/$AS$2*100,"")</f>
        <v/>
      </c>
      <c r="AT302" s="89">
        <f>IF(AND(A302&lt;&gt;"",OR(ISNUMBER(W302),ISNUMBER(X302))),SUM(W302:X302,$AT$8)/$AT$2*100,"")</f>
        <v>101</v>
      </c>
      <c r="AU302" s="24">
        <f>AA302</f>
        <v>100.32786885245901</v>
      </c>
      <c r="AV302" s="24"/>
      <c r="AW302" s="27">
        <f>IF(A302&lt;&gt;"",AE302-AA302,"")</f>
        <v>0.67213114754099479</v>
      </c>
      <c r="AY302" s="27" t="b">
        <f>S302&gt;R302</f>
        <v>0</v>
      </c>
      <c r="BA302" s="27" t="e">
        <f>AND(AA302&gt;$BA$3,(W302+$W$8)/$W$2&lt;$BB$3,(X302+$X$8)/$X$2&lt;$BB$3)</f>
        <v>#VALUE!</v>
      </c>
      <c r="BB302" s="27" t="e">
        <f>AND(AA302&lt;$BA$3,AND(W302/$W$2&gt;$BB$3,X302/$X$2&gt;$BB$3))</f>
        <v>#VALUE!</v>
      </c>
      <c r="BC302" s="27" t="e">
        <f>AND(AA302&lt;$BA$3,OR(W302/$W$2&gt;$BB$3,X302/$X$2&gt;$BB$3))</f>
        <v>#VALUE!</v>
      </c>
      <c r="BE302" s="32" t="s">
        <v>84</v>
      </c>
    </row>
    <row r="303" spans="1:57" s="27" customFormat="1" ht="12.75" customHeight="1" x14ac:dyDescent="0.2">
      <c r="A303" s="10">
        <v>595058</v>
      </c>
      <c r="B303" s="2">
        <v>24</v>
      </c>
      <c r="C303" s="10">
        <v>19</v>
      </c>
      <c r="D303" s="10">
        <v>22</v>
      </c>
      <c r="E303" s="10"/>
      <c r="F303" s="10"/>
      <c r="G303" s="3"/>
      <c r="H303" s="10"/>
      <c r="I303" s="10"/>
      <c r="J303" s="2">
        <v>30</v>
      </c>
      <c r="K303" s="10">
        <v>50</v>
      </c>
      <c r="L303" s="10">
        <v>46</v>
      </c>
      <c r="M303" s="10"/>
      <c r="N303" s="10"/>
      <c r="O303" s="12"/>
      <c r="P303" s="35">
        <v>101</v>
      </c>
      <c r="Q303" s="41"/>
      <c r="R303" s="2"/>
      <c r="S303" s="10"/>
      <c r="T303" s="13"/>
      <c r="U303" s="7">
        <f t="array" ref="U303">IF(AND(A303&lt;&gt;"",OR(ISNUMBER(B303:I303))),SUM(B303:I303),"")</f>
        <v>65</v>
      </c>
      <c r="V303" s="10">
        <f t="array" ref="V303">IF(AND(A303&lt;&gt;"",OR(ISNUMBER(J303:O303))),SUM(J303:O303),"")</f>
        <v>126</v>
      </c>
      <c r="W303" s="10">
        <f t="array" ref="W303">IF(AND(A303&lt;&gt;"",OR(ISNUMBER(P303),ISNUMBER(Q303))),SUM(MAX(P303:Q303),Q303),"")</f>
        <v>101</v>
      </c>
      <c r="X303" s="10" t="str">
        <f t="array" ref="X303">IF(AND(A303&lt;&gt;"",OR(ISNUMBER(S303),ISNUMBER(T303))),SUM(S303,T303),"")</f>
        <v/>
      </c>
      <c r="Y303" s="13">
        <v>1</v>
      </c>
      <c r="Z303" s="13">
        <f>IF(A303&lt;&gt;"",SUM(U303:Y303),"")</f>
        <v>293</v>
      </c>
      <c r="AA303" s="27">
        <f>IF(A303&lt;&gt;"",(Z303+Normalize_To_Add)/(Point_Total_So_Far)*100,"")</f>
        <v>96.06557377049181</v>
      </c>
      <c r="AB303" s="10">
        <f>IF(A303&lt;&gt;"",RANK(AA303,All_Student_XC),"")</f>
        <v>256</v>
      </c>
      <c r="AC303" s="32" t="str">
        <f>IF(A303&lt;&gt;"",CHOOSE(10-MIN(9,TRUNC((AA303+0.5)/10)),"A","B","C","D","F","F","F","F","F","F"),"")</f>
        <v>A</v>
      </c>
      <c r="AD303" s="32" t="str">
        <f>IF(A303&lt;&gt;"",IF(OR(AA303+0.5&gt;=93,AA303+0.5&lt;60),"",IF(MOD(AA303+0.5,10)&gt;=7,"+",IF(MOD(AA303+0.5,10)&lt;3,"-",""))),"")</f>
        <v/>
      </c>
      <c r="AE303" s="32">
        <f>IF(A303&lt;&gt;"",SUM(W303:X303,$W$8:$X$8)/SUM($W$2:$X$2)*100,"")</f>
        <v>101</v>
      </c>
      <c r="AF303" s="32" t="str">
        <f>IF(A303&lt;&gt;"",CHOOSE(10-MIN(9,TRUNC((AE303+0.5)/10)),"A","B","C","D","F","F","F","F","F","F"),"")</f>
        <v>A</v>
      </c>
      <c r="AG303" s="32" t="str">
        <f>IF(A303&lt;&gt;"",IF(OR(AE303+0.5&gt;=93,AE303+0.5&lt;60),"",IF(MOD(AE303+0.5,10)&gt;=7,"+",IF(MOD(AE303+0.5,10)&lt;3,"-",""))),"")</f>
        <v/>
      </c>
      <c r="AH303" s="36">
        <f>IF(A303&lt;&gt;"",MIN(MAX(AA303,AE303),AA303+$AH$8,AE303+$AH$8),"")</f>
        <v>101</v>
      </c>
      <c r="AI303" s="32" t="str">
        <f>IF(A303&lt;&gt;"",CHOOSE(10-MIN(9,TRUNC((AH303+0.5)/10)),"A","B","C","D","F","F","F","F","F","F"),"")</f>
        <v>A</v>
      </c>
      <c r="AJ303" s="32" t="str">
        <f>IF(A303&lt;&gt;"",IF(OR(AH303+0.5&gt;=93,AH303+0.5&lt;60),"",IF(MOD(AH303+0.5,10)&gt;=7,"+",IF(MOD(AH303+0.5,10)&lt;3,"-",""))),"")</f>
        <v/>
      </c>
      <c r="AK303" s="32" t="b">
        <f>IF(A303&lt;&gt;"",OR(AI303&lt;&gt;AC303,AJ303&lt;&gt;AD303),"")</f>
        <v>0</v>
      </c>
      <c r="AL303" s="84">
        <f>IF(AND(A303&lt;&gt;"",U303&lt;&gt;""),SUM(U303,$AL$8)/$AL$2*100,"")</f>
        <v>86.666666666666671</v>
      </c>
      <c r="AM303" s="24">
        <f>IF(AND(A303&lt;&gt;"",V303&lt;&gt;""),SUM(V303,$AM$8)/$AM$2*100,"")</f>
        <v>96.92307692307692</v>
      </c>
      <c r="AN303" s="24">
        <f>IF(AND(A303&lt;&gt;"",ISNUMBER(P303),P303&gt;=0),SUM(P303,$AN$8)/$AN$2*100,"")</f>
        <v>101</v>
      </c>
      <c r="AO303" s="24" t="str">
        <f>IF(AND(A303&lt;&gt;"",ISNUMBER(Q303),Q303&gt;=0),SUM(Q303,$AO$8)/$AO$2*100,"")</f>
        <v/>
      </c>
      <c r="AP303" s="24" t="str">
        <f>IF(AND(A303&lt;&gt;"",R303&lt;&gt;""),SUM(R303,$AP$8)/$AP$2*100,"")</f>
        <v/>
      </c>
      <c r="AQ303" s="24">
        <f>IF(AND(A303&lt;&gt;"",ISNUMBER(W303),W303&gt;=0),SUM(W303,$AQ$8)/$AQ$2*100,"")</f>
        <v>101</v>
      </c>
      <c r="AR303" s="24" t="str">
        <f>IF(AND(A303&lt;&gt;"",T303&gt;0,ISNUMBER(T303)),SUM(T303,$AR$8)/$AR$2*100,"")</f>
        <v/>
      </c>
      <c r="AS303" s="24" t="str">
        <f>IF(AND(A303&lt;&gt;"",X303&lt;&gt;""),SUM(X303,$AS$8)/$AS$2*100,"")</f>
        <v/>
      </c>
      <c r="AT303" s="89">
        <f>IF(AND(A303&lt;&gt;"",OR(ISNUMBER(W303),ISNUMBER(X303))),SUM(W303:X303,$AT$8)/$AT$2*100,"")</f>
        <v>101</v>
      </c>
      <c r="AU303" s="24">
        <f>AA303</f>
        <v>96.06557377049181</v>
      </c>
      <c r="AV303" s="24"/>
      <c r="AW303" s="27">
        <f>IF(A303&lt;&gt;"",AE303-AA303,"")</f>
        <v>4.9344262295081904</v>
      </c>
      <c r="AY303" s="27" t="b">
        <f>S303&gt;R303</f>
        <v>0</v>
      </c>
      <c r="BA303" s="27" t="e">
        <f>AND(AA303&gt;$BA$3,(W303+$W$8)/$W$2&lt;$BB$3,(X303+$X$8)/$X$2&lt;$BB$3)</f>
        <v>#VALUE!</v>
      </c>
      <c r="BB303" s="27" t="e">
        <f>AND(AA303&lt;$BA$3,AND(W303/$W$2&gt;$BB$3,X303/$X$2&gt;$BB$3))</f>
        <v>#VALUE!</v>
      </c>
      <c r="BC303" s="27" t="e">
        <f>AND(AA303&lt;$BA$3,OR(W303/$W$2&gt;$BB$3,X303/$X$2&gt;$BB$3))</f>
        <v>#VALUE!</v>
      </c>
      <c r="BE303" s="32" t="s">
        <v>85</v>
      </c>
    </row>
    <row r="304" spans="1:57" s="27" customFormat="1" ht="12.75" customHeight="1" x14ac:dyDescent="0.2">
      <c r="A304" s="10">
        <v>595540</v>
      </c>
      <c r="B304" s="2">
        <v>23</v>
      </c>
      <c r="C304" s="10">
        <v>23</v>
      </c>
      <c r="D304" s="10">
        <v>25</v>
      </c>
      <c r="E304" s="10"/>
      <c r="F304" s="10"/>
      <c r="G304" s="3"/>
      <c r="H304" s="10"/>
      <c r="I304" s="10"/>
      <c r="J304" s="2">
        <v>32</v>
      </c>
      <c r="K304" s="10">
        <v>52</v>
      </c>
      <c r="L304" s="10">
        <v>52</v>
      </c>
      <c r="M304" s="10"/>
      <c r="N304" s="93"/>
      <c r="O304" s="12"/>
      <c r="P304" s="10">
        <v>101</v>
      </c>
      <c r="Q304" s="41"/>
      <c r="R304" s="2"/>
      <c r="S304" s="10"/>
      <c r="T304" s="13"/>
      <c r="U304" s="7">
        <f t="array" ref="U304">IF(AND(A304&lt;&gt;"",OR(ISNUMBER(B304:I304))),SUM(B304:I304),"")</f>
        <v>71</v>
      </c>
      <c r="V304" s="10">
        <f t="array" ref="V304">IF(AND(A304&lt;&gt;"",OR(ISNUMBER(J304:O304))),SUM(J304:O304),"")</f>
        <v>136</v>
      </c>
      <c r="W304" s="10">
        <f t="array" ref="W304">IF(AND(A304&lt;&gt;"",OR(ISNUMBER(P304),ISNUMBER(Q304))),SUM(MAX(P304:Q304),Q304),"")</f>
        <v>101</v>
      </c>
      <c r="X304" s="10" t="str">
        <f t="array" ref="X304">IF(AND(A304&lt;&gt;"",OR(ISNUMBER(S304),ISNUMBER(T304))),SUM(S304,T304),"")</f>
        <v/>
      </c>
      <c r="Y304" s="13">
        <v>1</v>
      </c>
      <c r="Z304" s="13">
        <f>IF(A304&lt;&gt;"",SUM(U304:Y304),"")</f>
        <v>309</v>
      </c>
      <c r="AA304" s="27">
        <f>IF(A304&lt;&gt;"",(Z304+Normalize_To_Add)/(Point_Total_So_Far)*100,"")</f>
        <v>101.31147540983608</v>
      </c>
      <c r="AB304" s="10">
        <f>IF(A304&lt;&gt;"",RANK(AA304,All_Student_XC),"")</f>
        <v>35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>
        <f>IF(A304&lt;&gt;"",SUM(W304:X304,$W$8:$X$8)/SUM($W$2:$X$2)*100,"")</f>
        <v>101</v>
      </c>
      <c r="AF304" s="44" t="str">
        <f>IF(A304&lt;&gt;"",CHOOSE(10-MIN(9,TRUNC((AE304+0.5)/10)),"A","B","C","D","F","F","F","F","F","F"),"")</f>
        <v>A</v>
      </c>
      <c r="AG304" s="44" t="str">
        <f>IF(A304&lt;&gt;"",IF(OR(AE304+0.5&gt;=93,AE304+0.5&lt;60),"",IF(MOD(AE304+0.5,10)&gt;=7,"+",IF(MOD(AE304+0.5,10)&lt;3,"-",""))),"")</f>
        <v/>
      </c>
      <c r="AH304" s="36">
        <f>IF(A304&lt;&gt;"",MIN(MAX(AA304,AE304),AA304+$AH$8,AE304+$AH$8),"")</f>
        <v>101.31147540983608</v>
      </c>
      <c r="AI304" s="32" t="str">
        <f>IF(A304&lt;&gt;"",CHOOSE(10-MIN(9,TRUNC((AH304+0.5)/10)),"A","B","C","D","F","F","F","F","F","F"),"")</f>
        <v>A</v>
      </c>
      <c r="AJ304" s="32" t="str">
        <f>IF(A304&lt;&gt;"",IF(OR(AH304+0.5&gt;=93,AH304+0.5&lt;60),"",IF(MOD(AH304+0.5,10)&gt;=7,"+",IF(MOD(AH304+0.5,10)&lt;3,"-",""))),"")</f>
        <v/>
      </c>
      <c r="AK304" s="32" t="b">
        <f>IF(A304&lt;&gt;"",OR(AI304&lt;&gt;AC304,AJ304&lt;&gt;AD304),"")</f>
        <v>0</v>
      </c>
      <c r="AL304" s="84">
        <f>IF(AND(A304&lt;&gt;"",U304&lt;&gt;""),SUM(U304,$AL$8)/$AL$2*100,"")</f>
        <v>94.666666666666671</v>
      </c>
      <c r="AM304" s="24">
        <f>IF(AND(A304&lt;&gt;"",V304&lt;&gt;""),SUM(V304,$AM$8)/$AM$2*100,"")</f>
        <v>104.61538461538463</v>
      </c>
      <c r="AN304" s="24">
        <f>IF(AND(A304&lt;&gt;"",ISNUMBER(P304),P304&gt;=0),SUM(P304,$AN$8)/$AN$2*100,"")</f>
        <v>101</v>
      </c>
      <c r="AO304" s="24" t="str">
        <f>IF(AND(A304&lt;&gt;"",ISNUMBER(Q304),Q304&gt;=0),SUM(Q304,$AO$8)/$AO$2*100,"")</f>
        <v/>
      </c>
      <c r="AP304" s="24" t="str">
        <f>IF(AND(A304&lt;&gt;"",R304&lt;&gt;""),SUM(R304,$AP$8)/$AP$2*100,"")</f>
        <v/>
      </c>
      <c r="AQ304" s="24">
        <f>IF(AND(A304&lt;&gt;"",ISNUMBER(W304),W304&gt;=0),SUM(W304,$AQ$8)/$AQ$2*100,"")</f>
        <v>101</v>
      </c>
      <c r="AR304" s="24" t="str">
        <f>IF(AND(A304&lt;&gt;"",T304&gt;0,ISNUMBER(T304)),SUM(T304,$AR$8)/$AR$2*100,"")</f>
        <v/>
      </c>
      <c r="AS304" s="24" t="str">
        <f>IF(AND(A304&lt;&gt;"",X304&lt;&gt;""),SUM(X304,$AS$8)/$AS$2*100,"")</f>
        <v/>
      </c>
      <c r="AT304" s="89">
        <f>IF(AND(A304&lt;&gt;"",OR(ISNUMBER(W304),ISNUMBER(X304))),SUM(W304:X304,$AT$8)/$AT$2*100,"")</f>
        <v>101</v>
      </c>
      <c r="AU304" s="24">
        <f>AA304</f>
        <v>101.31147540983608</v>
      </c>
      <c r="AV304" s="24"/>
      <c r="AW304" s="27">
        <f>IF(A304&lt;&gt;"",AE304-AA304,"")</f>
        <v>-0.31147540983607769</v>
      </c>
      <c r="AY304" s="27" t="b">
        <f>S304&gt;R304</f>
        <v>0</v>
      </c>
      <c r="BA304" s="27" t="e">
        <f>AND(AA304&gt;$BA$3,(W304+$W$8)/$W$2&lt;$BB$3,(X304+$X$8)/$X$2&lt;$BB$3)</f>
        <v>#VALUE!</v>
      </c>
      <c r="BB304" s="27" t="e">
        <f>AND(AA304&lt;$BA$3,AND(W304/$W$2&gt;$BB$3,X304/$X$2&gt;$BB$3))</f>
        <v>#VALUE!</v>
      </c>
      <c r="BC304" s="27" t="e">
        <f>AND(AA304&lt;$BA$3,OR(W304/$W$2&gt;$BB$3,X304/$X$2&gt;$BB$3))</f>
        <v>#VALUE!</v>
      </c>
      <c r="BE304" s="32" t="s">
        <v>84</v>
      </c>
    </row>
    <row r="305" spans="1:57" s="27" customFormat="1" ht="12.75" customHeight="1" x14ac:dyDescent="0.2">
      <c r="A305" s="10">
        <v>595995</v>
      </c>
      <c r="B305" s="2">
        <v>17</v>
      </c>
      <c r="C305" s="10">
        <v>25</v>
      </c>
      <c r="D305" s="10">
        <v>20</v>
      </c>
      <c r="E305" s="10"/>
      <c r="F305" s="10"/>
      <c r="G305" s="10"/>
      <c r="H305" s="10"/>
      <c r="I305" s="10"/>
      <c r="J305" s="2">
        <v>29</v>
      </c>
      <c r="K305" s="10">
        <v>51</v>
      </c>
      <c r="L305" s="10">
        <v>50</v>
      </c>
      <c r="M305" s="10"/>
      <c r="N305" s="93"/>
      <c r="O305" s="13"/>
      <c r="P305" s="10">
        <v>101</v>
      </c>
      <c r="Q305" s="10"/>
      <c r="R305" s="2"/>
      <c r="S305" s="10"/>
      <c r="T305" s="13"/>
      <c r="U305" s="7">
        <f t="array" ref="U305">IF(AND(A305&lt;&gt;"",OR(ISNUMBER(B305:I305))),SUM(B305:I305),"")</f>
        <v>62</v>
      </c>
      <c r="V305" s="10">
        <f t="array" ref="V305">IF(AND(A305&lt;&gt;"",OR(ISNUMBER(J305:O305))),SUM(J305:O305),"")</f>
        <v>130</v>
      </c>
      <c r="W305" s="10">
        <f t="array" ref="W305">IF(AND(A305&lt;&gt;"",OR(ISNUMBER(P305),ISNUMBER(Q305))),SUM(MAX(P305:Q305),Q305),"")</f>
        <v>101</v>
      </c>
      <c r="X305" s="10" t="str">
        <f t="array" ref="X305">IF(AND(A305&lt;&gt;"",OR(ISNUMBER(S305),ISNUMBER(T305))),SUM(S305,T305),"")</f>
        <v/>
      </c>
      <c r="Y305" s="13">
        <v>1</v>
      </c>
      <c r="Z305" s="13">
        <f>IF(A305&lt;&gt;"",SUM(U305:Y305),"")</f>
        <v>294</v>
      </c>
      <c r="AA305" s="27">
        <f>IF(A305&lt;&gt;"",(Z305+Normalize_To_Add)/(Point_Total_So_Far)*100,"")</f>
        <v>96.393442622950815</v>
      </c>
      <c r="AB305" s="10">
        <f>IF(A305&lt;&gt;"",RANK(AA305,All_Student_XC),"")</f>
        <v>251</v>
      </c>
      <c r="AC305" s="32" t="str">
        <f>IF(A305&lt;&gt;"",CHOOSE(10-MIN(9,TRUNC((AA305+0.5)/10)),"A","B","C","D","F","F","F","F","F","F"),"")</f>
        <v>A</v>
      </c>
      <c r="AD305" s="31" t="str">
        <f>IF(A305&lt;&gt;"",IF(OR(AA305+0.5&gt;=93,AA305+0.5&lt;60),"",IF(MOD(AA305+0.5,10)&gt;=7,"+",IF(MOD(AA305+0.5,10)&lt;3,"-",""))),"")</f>
        <v/>
      </c>
      <c r="AE305" s="32">
        <f>IF(A305&lt;&gt;"",SUM(W305:X305,$W$8:$X$8)/SUM($W$2:$X$2)*100,"")</f>
        <v>101</v>
      </c>
      <c r="AF305" s="32" t="str">
        <f>IF(A305&lt;&gt;"",CHOOSE(10-MIN(9,TRUNC((AE305+0.5)/10)),"A","B","C","D","F","F","F","F","F","F"),"")</f>
        <v>A</v>
      </c>
      <c r="AG305" s="32" t="str">
        <f>IF(A305&lt;&gt;"",IF(OR(AE305+0.5&gt;=93,AE305+0.5&lt;60),"",IF(MOD(AE305+0.5,10)&gt;=7,"+",IF(MOD(AE305+0.5,10)&lt;3,"-",""))),"")</f>
        <v/>
      </c>
      <c r="AH305" s="36">
        <f>IF(A305&lt;&gt;"",MIN(MAX(AA305,AE305),AA305+$AH$8,AE305+$AH$8),"")</f>
        <v>101</v>
      </c>
      <c r="AI305" s="32" t="str">
        <f>IF(A305&lt;&gt;"",CHOOSE(10-MIN(9,TRUNC((AH305+0.5)/10)),"A","B","C","D","F","F","F","F","F","F"),"")</f>
        <v>A</v>
      </c>
      <c r="AJ305" s="32" t="str">
        <f>IF(A305&lt;&gt;"",IF(OR(AH305+0.5&gt;=93,AH305+0.5&lt;60),"",IF(MOD(AH305+0.5,10)&gt;=7,"+",IF(MOD(AH305+0.5,10)&lt;3,"-",""))),"")</f>
        <v/>
      </c>
      <c r="AK305" s="71" t="b">
        <f>IF(A305&lt;&gt;"",OR(AI305&lt;&gt;AC305,AJ305&lt;&gt;AD305),"")</f>
        <v>0</v>
      </c>
      <c r="AL305" s="86">
        <f>IF(AND(A305&lt;&gt;"",U305&lt;&gt;""),SUM(U305,$AL$8)/$AL$2*100,"")</f>
        <v>82.666666666666671</v>
      </c>
      <c r="AM305" s="71">
        <f>IF(AND(A305&lt;&gt;"",V305&lt;&gt;""),SUM(V305,$AM$8)/$AM$2*100,"")</f>
        <v>100</v>
      </c>
      <c r="AN305" s="71">
        <f>IF(AND(A305&lt;&gt;"",ISNUMBER(P305),P305&gt;=0),SUM(P305,$AN$8)/$AN$2*100,"")</f>
        <v>101</v>
      </c>
      <c r="AO305" s="71" t="str">
        <f>IF(AND(A305&lt;&gt;"",ISNUMBER(Q305),Q305&gt;=0),SUM(Q305,$AO$8)/$AO$2*100,"")</f>
        <v/>
      </c>
      <c r="AP305" s="24" t="str">
        <f>IF(AND(A305&lt;&gt;"",R305&lt;&gt;""),SUM(R305,$AP$8)/$AP$2*100,"")</f>
        <v/>
      </c>
      <c r="AQ305" s="24">
        <f>IF(AND(A305&lt;&gt;"",ISNUMBER(W305),W305&gt;=0),SUM(W305,$AQ$8)/$AQ$2*100,"")</f>
        <v>101</v>
      </c>
      <c r="AR305" s="24" t="str">
        <f>IF(AND(A305&lt;&gt;"",T305&gt;0,ISNUMBER(T305)),SUM(T305,$AR$8)/$AR$2*100,"")</f>
        <v/>
      </c>
      <c r="AS305" s="24" t="str">
        <f>IF(AND(A305&lt;&gt;"",X305&lt;&gt;""),SUM(X305,$AS$8)/$AS$2*100,"")</f>
        <v/>
      </c>
      <c r="AT305" s="89">
        <f>IF(AND(A305&lt;&gt;"",OR(ISNUMBER(W305),ISNUMBER(X305))),SUM(W305:X305,$AT$8)/$AT$2*100,"")</f>
        <v>101</v>
      </c>
      <c r="AU305" s="24">
        <f>AA305</f>
        <v>96.393442622950815</v>
      </c>
      <c r="AV305" s="71"/>
      <c r="AW305" s="27">
        <f>IF(A305&lt;&gt;"",AE305-AA305,"")</f>
        <v>4.6065573770491852</v>
      </c>
      <c r="AY305" s="27" t="b">
        <f>S305&gt;R305</f>
        <v>0</v>
      </c>
      <c r="BA305" s="27" t="e">
        <f>AND(AA305&gt;$BA$3,(W305+$W$8)/$W$2&lt;$BB$3,(X305+$X$8)/$X$2&lt;$BB$3)</f>
        <v>#VALUE!</v>
      </c>
      <c r="BB305" s="27" t="e">
        <f>AND(AA305&lt;$BA$3,AND(W305/$W$2&gt;$BB$3,X305/$X$2&gt;$BB$3))</f>
        <v>#VALUE!</v>
      </c>
      <c r="BC305" s="27" t="e">
        <f>AND(AA305&lt;$BA$3,OR(W305/$W$2&gt;$BB$3,X305/$X$2&gt;$BB$3))</f>
        <v>#VALUE!</v>
      </c>
      <c r="BE305" s="32" t="s">
        <v>84</v>
      </c>
    </row>
    <row r="306" spans="1:57" s="27" customFormat="1" ht="12.75" customHeight="1" x14ac:dyDescent="0.2">
      <c r="A306" s="10">
        <v>598160</v>
      </c>
      <c r="B306" s="2">
        <v>12</v>
      </c>
      <c r="C306" s="10">
        <v>0</v>
      </c>
      <c r="D306" s="10">
        <v>23</v>
      </c>
      <c r="E306" s="10"/>
      <c r="F306" s="10"/>
      <c r="G306" s="10"/>
      <c r="H306" s="10"/>
      <c r="I306" s="10"/>
      <c r="J306" s="2">
        <v>29</v>
      </c>
      <c r="K306" s="10">
        <v>18</v>
      </c>
      <c r="L306" s="10">
        <v>51</v>
      </c>
      <c r="M306" s="10"/>
      <c r="N306" s="93"/>
      <c r="O306" s="12"/>
      <c r="P306" s="10">
        <v>101</v>
      </c>
      <c r="Q306" s="41"/>
      <c r="R306" s="2"/>
      <c r="S306" s="10"/>
      <c r="T306" s="13"/>
      <c r="U306" s="7">
        <f t="array" ref="U306">IF(AND(A306&lt;&gt;"",OR(ISNUMBER(B306:I306))),SUM(B306:I306),"")</f>
        <v>35</v>
      </c>
      <c r="V306" s="10">
        <f t="array" ref="V306">IF(AND(A306&lt;&gt;"",OR(ISNUMBER(J306:O306))),SUM(J306:O306),"")</f>
        <v>98</v>
      </c>
      <c r="W306" s="10">
        <f t="array" ref="W306">IF(AND(A306&lt;&gt;"",OR(ISNUMBER(P306),ISNUMBER(Q306))),SUM(MAX(P306:Q306),Q306),"")</f>
        <v>101</v>
      </c>
      <c r="X306" s="10" t="str">
        <f t="array" ref="X306">IF(AND(A306&lt;&gt;"",OR(ISNUMBER(S306),ISNUMBER(T306))),SUM(S306,T306),"")</f>
        <v/>
      </c>
      <c r="Y306" s="13">
        <v>1</v>
      </c>
      <c r="Z306" s="13">
        <f>IF(A306&lt;&gt;"",SUM(U306:Y306),"")</f>
        <v>235</v>
      </c>
      <c r="AA306" s="27">
        <f>IF(A306&lt;&gt;"",(Z306+Normalize_To_Add)/(Point_Total_So_Far)*100,"")</f>
        <v>77.049180327868854</v>
      </c>
      <c r="AB306" s="10">
        <f>IF(A306&lt;&gt;"",RANK(AA306,All_Student_XC),"")</f>
        <v>429</v>
      </c>
      <c r="AC306" s="32" t="str">
        <f>IF(A306&lt;&gt;"",CHOOSE(10-MIN(9,TRUNC((AA306+0.5)/10)),"A","B","C","D","F","F","F","F","F","F"),"")</f>
        <v>C</v>
      </c>
      <c r="AD306" s="32" t="str">
        <f>IF(A306&lt;&gt;"",IF(OR(AA306+0.5&gt;=93,AA306+0.5&lt;60),"",IF(MOD(AA306+0.5,10)&gt;=7,"+",IF(MOD(AA306+0.5,10)&lt;3,"-",""))),"")</f>
        <v>+</v>
      </c>
      <c r="AE306" s="32">
        <f>IF(A306&lt;&gt;"",SUM(W306:X306,$W$8:$X$8)/SUM($W$2:$X$2)*100,"")</f>
        <v>101</v>
      </c>
      <c r="AF306" s="44" t="str">
        <f>IF(A306&lt;&gt;"",CHOOSE(10-MIN(9,TRUNC((AE306+0.5)/10)),"A","B","C","D","F","F","F","F","F","F"),"")</f>
        <v>A</v>
      </c>
      <c r="AG306" s="44" t="str">
        <f>IF(A306&lt;&gt;"",IF(OR(AE306+0.5&gt;=93,AE306+0.5&lt;60),"",IF(MOD(AE306+0.5,10)&gt;=7,"+",IF(MOD(AE306+0.5,10)&lt;3,"-",""))),"")</f>
        <v/>
      </c>
      <c r="AH306" s="36">
        <f>IF(A306&lt;&gt;"",MIN(MAX(AA306,AE306),AA306+$AH$8,AE306+$AH$8),"")</f>
        <v>101</v>
      </c>
      <c r="AI306" s="32" t="str">
        <f>IF(A306&lt;&gt;"",CHOOSE(10-MIN(9,TRUNC((AH306+0.5)/10)),"A","B","C","D","F","F","F","F","F","F"),"")</f>
        <v>A</v>
      </c>
      <c r="AJ306" s="32" t="str">
        <f>IF(A306&lt;&gt;"",IF(OR(AH306+0.5&gt;=93,AH306+0.5&lt;60),"",IF(MOD(AH306+0.5,10)&gt;=7,"+",IF(MOD(AH306+0.5,10)&lt;3,"-",""))),"")</f>
        <v/>
      </c>
      <c r="AK306" s="32" t="b">
        <f>IF(A306&lt;&gt;"",OR(AI306&lt;&gt;AC306,AJ306&lt;&gt;AD306),"")</f>
        <v>1</v>
      </c>
      <c r="AL306" s="84">
        <f>IF(AND(A306&lt;&gt;"",U306&lt;&gt;""),SUM(U306,$AL$8)/$AL$2*100,"")</f>
        <v>46.666666666666664</v>
      </c>
      <c r="AM306" s="24">
        <f>IF(AND(A306&lt;&gt;"",V306&lt;&gt;""),SUM(V306,$AM$8)/$AM$2*100,"")</f>
        <v>75.384615384615387</v>
      </c>
      <c r="AN306" s="24">
        <f>IF(AND(A306&lt;&gt;"",ISNUMBER(P306),P306&gt;=0),SUM(P306,$AN$8)/$AN$2*100,"")</f>
        <v>101</v>
      </c>
      <c r="AO306" s="24" t="str">
        <f>IF(AND(A306&lt;&gt;"",ISNUMBER(Q306),Q306&gt;=0),SUM(Q306,$AO$8)/$AO$2*100,"")</f>
        <v/>
      </c>
      <c r="AP306" s="24" t="str">
        <f>IF(AND(A306&lt;&gt;"",R306&lt;&gt;""),SUM(R306,$AP$8)/$AP$2*100,"")</f>
        <v/>
      </c>
      <c r="AQ306" s="24">
        <f>IF(AND(A306&lt;&gt;"",ISNUMBER(W306),W306&gt;=0),SUM(W306,$AQ$8)/$AQ$2*100,"")</f>
        <v>101</v>
      </c>
      <c r="AR306" s="24" t="str">
        <f>IF(AND(A306&lt;&gt;"",T306&gt;0,ISNUMBER(T306)),SUM(T306,$AR$8)/$AR$2*100,"")</f>
        <v/>
      </c>
      <c r="AS306" s="24" t="str">
        <f>IF(AND(A306&lt;&gt;"",X306&lt;&gt;""),SUM(X306,$AS$8)/$AS$2*100,"")</f>
        <v/>
      </c>
      <c r="AT306" s="89">
        <f>IF(AND(A306&lt;&gt;"",OR(ISNUMBER(W306),ISNUMBER(X306))),SUM(W306:X306,$AT$8)/$AT$2*100,"")</f>
        <v>101</v>
      </c>
      <c r="AU306" s="24">
        <f>AA306</f>
        <v>77.049180327868854</v>
      </c>
      <c r="AV306" s="24"/>
      <c r="AW306" s="27">
        <f>IF(A306&lt;&gt;"",AE306-AA306,"")</f>
        <v>23.950819672131146</v>
      </c>
      <c r="AY306" s="27" t="b">
        <f>S306&gt;R306</f>
        <v>0</v>
      </c>
      <c r="BA306" s="27" t="e">
        <f>AND(AA306&gt;$BA$3,(W306+$W$8)/$W$2&lt;$BB$3,(X306+$X$8)/$X$2&lt;$BB$3)</f>
        <v>#VALUE!</v>
      </c>
      <c r="BB306" s="27" t="e">
        <f>AND(AA306&lt;$BA$3,AND(W306/$W$2&gt;$BB$3,X306/$X$2&gt;$BB$3))</f>
        <v>#VALUE!</v>
      </c>
      <c r="BC306" s="27" t="e">
        <f>AND(AA306&lt;$BA$3,OR(W306/$W$2&gt;$BB$3,X306/$X$2&gt;$BB$3))</f>
        <v>#VALUE!</v>
      </c>
      <c r="BE306" s="32" t="s">
        <v>85</v>
      </c>
    </row>
    <row r="307" spans="1:57" s="27" customFormat="1" ht="12.75" customHeight="1" x14ac:dyDescent="0.2">
      <c r="A307" s="10">
        <v>600465</v>
      </c>
      <c r="B307" s="2">
        <v>23</v>
      </c>
      <c r="C307" s="10">
        <v>23</v>
      </c>
      <c r="D307" s="10">
        <v>25</v>
      </c>
      <c r="E307" s="10"/>
      <c r="F307" s="10"/>
      <c r="G307" s="3"/>
      <c r="H307" s="10"/>
      <c r="I307" s="10"/>
      <c r="J307" s="2">
        <v>30</v>
      </c>
      <c r="K307" s="10">
        <v>52</v>
      </c>
      <c r="L307" s="10">
        <v>52</v>
      </c>
      <c r="M307" s="10"/>
      <c r="N307" s="10"/>
      <c r="O307" s="12"/>
      <c r="P307" s="41">
        <v>101</v>
      </c>
      <c r="Q307" s="41"/>
      <c r="R307" s="2"/>
      <c r="S307" s="10"/>
      <c r="T307" s="13"/>
      <c r="U307" s="7">
        <f t="array" ref="U307">IF(AND(A307&lt;&gt;"",OR(ISNUMBER(B307:I307))),SUM(B307:I307),"")</f>
        <v>71</v>
      </c>
      <c r="V307" s="10">
        <f t="array" ref="V307">IF(AND(A307&lt;&gt;"",OR(ISNUMBER(J307:O307))),SUM(J307:O307),"")</f>
        <v>134</v>
      </c>
      <c r="W307" s="10">
        <f t="array" ref="W307">IF(AND(A307&lt;&gt;"",OR(ISNUMBER(P307),ISNUMBER(Q307))),SUM(MAX(P307:Q307),Q307),"")</f>
        <v>101</v>
      </c>
      <c r="X307" s="10" t="str">
        <f t="array" ref="X307">IF(AND(A307&lt;&gt;"",OR(ISNUMBER(S307),ISNUMBER(T307))),SUM(S307,T307),"")</f>
        <v/>
      </c>
      <c r="Y307" s="13">
        <v>1</v>
      </c>
      <c r="Z307" s="13">
        <f>IF(A307&lt;&gt;"",SUM(U307:Y307),"")</f>
        <v>307</v>
      </c>
      <c r="AA307" s="27">
        <f>IF(A307&lt;&gt;"",(Z307+Normalize_To_Add)/(Point_Total_So_Far)*100,"")</f>
        <v>100.65573770491802</v>
      </c>
      <c r="AB307" s="10">
        <f>IF(A307&lt;&gt;"",RANK(AA307,All_Student_XC),"")</f>
        <v>72</v>
      </c>
      <c r="AC307" s="32" t="str">
        <f>IF(A307&lt;&gt;"",CHOOSE(10-MIN(9,TRUNC((AA307+0.5)/10)),"A","B","C","D","F","F","F","F","F","F"),"")</f>
        <v>A</v>
      </c>
      <c r="AD307" s="32" t="str">
        <f>IF(A307&lt;&gt;"",IF(OR(AA307+0.5&gt;=93,AA307+0.5&lt;60),"",IF(MOD(AA307+0.5,10)&gt;=7,"+",IF(MOD(AA307+0.5,10)&lt;3,"-",""))),"")</f>
        <v/>
      </c>
      <c r="AE307" s="32">
        <f>IF(A307&lt;&gt;"",SUM(W307:X307,$W$8:$X$8)/SUM($W$2:$X$2)*100,"")</f>
        <v>101</v>
      </c>
      <c r="AF307" s="32" t="str">
        <f>IF(A307&lt;&gt;"",CHOOSE(10-MIN(9,TRUNC((AE307+0.5)/10)),"A","B","C","D","F","F","F","F","F","F"),"")</f>
        <v>A</v>
      </c>
      <c r="AG307" s="32" t="str">
        <f>IF(A307&lt;&gt;"",IF(OR(AE307+0.5&gt;=93,AE307+0.5&lt;60),"",IF(MOD(AE307+0.5,10)&gt;=7,"+",IF(MOD(AE307+0.5,10)&lt;3,"-",""))),"")</f>
        <v/>
      </c>
      <c r="AH307" s="36">
        <f>IF(A307&lt;&gt;"",MIN(MAX(AA307,AE307),AA307+$AH$8,AE307+$AH$8),"")</f>
        <v>101</v>
      </c>
      <c r="AI307" s="32" t="str">
        <f>IF(A307&lt;&gt;"",CHOOSE(10-MIN(9,TRUNC((AH307+0.5)/10)),"A","B","C","D","F","F","F","F","F","F"),"")</f>
        <v>A</v>
      </c>
      <c r="AJ307" s="32" t="str">
        <f>IF(A307&lt;&gt;"",IF(OR(AH307+0.5&gt;=93,AH307+0.5&lt;60),"",IF(MOD(AH307+0.5,10)&gt;=7,"+",IF(MOD(AH307+0.5,10)&lt;3,"-",""))),"")</f>
        <v/>
      </c>
      <c r="AK307" s="32" t="b">
        <f>IF(A307&lt;&gt;"",OR(AI307&lt;&gt;AC307,AJ307&lt;&gt;AD307),"")</f>
        <v>0</v>
      </c>
      <c r="AL307" s="84">
        <f>IF(AND(A307&lt;&gt;"",U307&lt;&gt;""),SUM(U307,$AL$8)/$AL$2*100,"")</f>
        <v>94.666666666666671</v>
      </c>
      <c r="AM307" s="24">
        <f>IF(AND(A307&lt;&gt;"",V307&lt;&gt;""),SUM(V307,$AM$8)/$AM$2*100,"")</f>
        <v>103.07692307692307</v>
      </c>
      <c r="AN307" s="24">
        <f>IF(AND(A307&lt;&gt;"",ISNUMBER(P307),P307&gt;=0),SUM(P307,$AN$8)/$AN$2*100,"")</f>
        <v>101</v>
      </c>
      <c r="AO307" s="24" t="str">
        <f>IF(AND(A307&lt;&gt;"",ISNUMBER(Q307),Q307&gt;=0),SUM(Q307,$AO$8)/$AO$2*100,"")</f>
        <v/>
      </c>
      <c r="AP307" s="24" t="str">
        <f>IF(AND(A307&lt;&gt;"",R307&lt;&gt;""),SUM(R307,$AP$8)/$AP$2*100,"")</f>
        <v/>
      </c>
      <c r="AQ307" s="24">
        <f>IF(AND(A307&lt;&gt;"",ISNUMBER(W307),W307&gt;=0),SUM(W307,$AQ$8)/$AQ$2*100,"")</f>
        <v>101</v>
      </c>
      <c r="AR307" s="24" t="str">
        <f>IF(AND(A307&lt;&gt;"",T307&gt;0,ISNUMBER(T307)),SUM(T307,$AR$8)/$AR$2*100,"")</f>
        <v/>
      </c>
      <c r="AS307" s="24" t="str">
        <f>IF(AND(A307&lt;&gt;"",X307&lt;&gt;""),SUM(X307,$AS$8)/$AS$2*100,"")</f>
        <v/>
      </c>
      <c r="AT307" s="89">
        <f>IF(AND(A307&lt;&gt;"",OR(ISNUMBER(W307),ISNUMBER(X307))),SUM(W307:X307,$AT$8)/$AT$2*100,"")</f>
        <v>101</v>
      </c>
      <c r="AU307" s="24">
        <f>AA307</f>
        <v>100.65573770491802</v>
      </c>
      <c r="AV307" s="24"/>
      <c r="AW307" s="27">
        <f>IF(A307&lt;&gt;"",AE307-AA307,"")</f>
        <v>0.34426229508197537</v>
      </c>
      <c r="AY307" s="27" t="b">
        <f>S307&gt;R307</f>
        <v>0</v>
      </c>
      <c r="BA307" s="27" t="e">
        <f>AND(AA307&gt;$BA$3,(W307+$W$8)/$W$2&lt;$BB$3,(X307+$X$8)/$X$2&lt;$BB$3)</f>
        <v>#VALUE!</v>
      </c>
      <c r="BB307" s="27" t="e">
        <f>AND(AA307&lt;$BA$3,AND(W307/$W$2&gt;$BB$3,X307/$X$2&gt;$BB$3))</f>
        <v>#VALUE!</v>
      </c>
      <c r="BC307" s="27" t="e">
        <f>AND(AA307&lt;$BA$3,OR(W307/$W$2&gt;$BB$3,X307/$X$2&gt;$BB$3))</f>
        <v>#VALUE!</v>
      </c>
      <c r="BE307" s="32" t="s">
        <v>84</v>
      </c>
    </row>
    <row r="308" spans="1:57" s="27" customFormat="1" ht="12.75" customHeight="1" x14ac:dyDescent="0.2">
      <c r="A308" s="10">
        <v>603695</v>
      </c>
      <c r="B308" s="2">
        <v>25</v>
      </c>
      <c r="C308" s="10">
        <v>24</v>
      </c>
      <c r="D308" s="10">
        <v>25</v>
      </c>
      <c r="E308" s="10"/>
      <c r="F308" s="10"/>
      <c r="G308" s="10"/>
      <c r="H308" s="10"/>
      <c r="I308" s="10"/>
      <c r="J308" s="2">
        <v>30</v>
      </c>
      <c r="K308" s="10">
        <v>52</v>
      </c>
      <c r="L308" s="10">
        <v>51</v>
      </c>
      <c r="M308" s="10"/>
      <c r="N308" s="93"/>
      <c r="O308" s="13"/>
      <c r="P308" s="10">
        <v>101</v>
      </c>
      <c r="Q308" s="10"/>
      <c r="R308" s="2"/>
      <c r="S308" s="10"/>
      <c r="T308" s="13"/>
      <c r="U308" s="7">
        <f t="array" ref="U308">IF(AND(A308&lt;&gt;"",OR(ISNUMBER(B308:I308))),SUM(B308:I308),"")</f>
        <v>74</v>
      </c>
      <c r="V308" s="10">
        <f t="array" ref="V308">IF(AND(A308&lt;&gt;"",OR(ISNUMBER(J308:O308))),SUM(J308:O308),"")</f>
        <v>133</v>
      </c>
      <c r="W308" s="10">
        <f t="array" ref="W308">IF(AND(A308&lt;&gt;"",OR(ISNUMBER(P308),ISNUMBER(Q308))),SUM(MAX(P308:Q308),Q308),"")</f>
        <v>101</v>
      </c>
      <c r="X308" s="10" t="str">
        <f t="array" ref="X308">IF(AND(A308&lt;&gt;"",OR(ISNUMBER(S308),ISNUMBER(T308))),SUM(S308,T308),"")</f>
        <v/>
      </c>
      <c r="Y308" s="13">
        <v>1</v>
      </c>
      <c r="Z308" s="13">
        <f>IF(A308&lt;&gt;"",SUM(U308:Y308),"")</f>
        <v>309</v>
      </c>
      <c r="AA308" s="27">
        <f>IF(A308&lt;&gt;"",(Z308+Normalize_To_Add)/(Point_Total_So_Far)*100,"")</f>
        <v>101.31147540983608</v>
      </c>
      <c r="AB308" s="10">
        <f>IF(A308&lt;&gt;"",RANK(AA308,All_Student_XC),"")</f>
        <v>35</v>
      </c>
      <c r="AC308" s="32" t="str">
        <f>IF(A308&lt;&gt;"",CHOOSE(10-MIN(9,TRUNC((AA308+0.5)/10)),"A","B","C","D","F","F","F","F","F","F"),"")</f>
        <v>A</v>
      </c>
      <c r="AD308" s="31" t="str">
        <f>IF(A308&lt;&gt;"",IF(OR(AA308+0.5&gt;=93,AA308+0.5&lt;60),"",IF(MOD(AA308+0.5,10)&gt;=7,"+",IF(MOD(AA308+0.5,10)&lt;3,"-",""))),"")</f>
        <v/>
      </c>
      <c r="AE308" s="32">
        <f>IF(A308&lt;&gt;"",SUM(W308:X308,$W$8:$X$8)/SUM($W$2:$X$2)*100,"")</f>
        <v>101</v>
      </c>
      <c r="AF308" s="32" t="str">
        <f>IF(A308&lt;&gt;"",CHOOSE(10-MIN(9,TRUNC((AE308+0.5)/10)),"A","B","C","D","F","F","F","F","F","F"),"")</f>
        <v>A</v>
      </c>
      <c r="AG308" s="32" t="str">
        <f>IF(A308&lt;&gt;"",IF(OR(AE308+0.5&gt;=93,AE308+0.5&lt;60),"",IF(MOD(AE308+0.5,10)&gt;=7,"+",IF(MOD(AE308+0.5,10)&lt;3,"-",""))),"")</f>
        <v/>
      </c>
      <c r="AH308" s="36">
        <f>IF(A308&lt;&gt;"",MIN(MAX(AA308,AE308),AA308+$AH$8,AE308+$AH$8),"")</f>
        <v>101.31147540983608</v>
      </c>
      <c r="AI308" s="32" t="str">
        <f>IF(A308&lt;&gt;"",CHOOSE(10-MIN(9,TRUNC((AH308+0.5)/10)),"A","B","C","D","F","F","F","F","F","F"),"")</f>
        <v>A</v>
      </c>
      <c r="AJ308" s="32" t="str">
        <f>IF(A308&lt;&gt;"",IF(OR(AH308+0.5&gt;=93,AH308+0.5&lt;60),"",IF(MOD(AH308+0.5,10)&gt;=7,"+",IF(MOD(AH308+0.5,10)&lt;3,"-",""))),"")</f>
        <v/>
      </c>
      <c r="AK308" s="71" t="b">
        <f>IF(A308&lt;&gt;"",OR(AI308&lt;&gt;AC308,AJ308&lt;&gt;AD308),"")</f>
        <v>0</v>
      </c>
      <c r="AL308" s="86">
        <f>IF(AND(A308&lt;&gt;"",U308&lt;&gt;""),SUM(U308,$AL$8)/$AL$2*100,"")</f>
        <v>98.666666666666671</v>
      </c>
      <c r="AM308" s="71">
        <f>IF(AND(A308&lt;&gt;"",V308&lt;&gt;""),SUM(V308,$AM$8)/$AM$2*100,"")</f>
        <v>102.30769230769229</v>
      </c>
      <c r="AN308" s="71">
        <f>IF(AND(A308&lt;&gt;"",ISNUMBER(P308),P308&gt;=0),SUM(P308,$AN$8)/$AN$2*100,"")</f>
        <v>101</v>
      </c>
      <c r="AO308" s="71" t="str">
        <f>IF(AND(A308&lt;&gt;"",ISNUMBER(Q308),Q308&gt;=0),SUM(Q308,$AO$8)/$AO$2*100,"")</f>
        <v/>
      </c>
      <c r="AP308" s="24" t="str">
        <f>IF(AND(A308&lt;&gt;"",R308&lt;&gt;""),SUM(R308,$AP$8)/$AP$2*100,"")</f>
        <v/>
      </c>
      <c r="AQ308" s="24">
        <f>IF(AND(A308&lt;&gt;"",ISNUMBER(W308),W308&gt;=0),SUM(W308,$AQ$8)/$AQ$2*100,"")</f>
        <v>101</v>
      </c>
      <c r="AR308" s="24" t="str">
        <f>IF(AND(A308&lt;&gt;"",T308&gt;0,ISNUMBER(T308)),SUM(T308,$AR$8)/$AR$2*100,"")</f>
        <v/>
      </c>
      <c r="AS308" s="24" t="str">
        <f>IF(AND(A308&lt;&gt;"",X308&lt;&gt;""),SUM(X308,$AS$8)/$AS$2*100,"")</f>
        <v/>
      </c>
      <c r="AT308" s="89">
        <f>IF(AND(A308&lt;&gt;"",OR(ISNUMBER(W308),ISNUMBER(X308))),SUM(W308:X308,$AT$8)/$AT$2*100,"")</f>
        <v>101</v>
      </c>
      <c r="AU308" s="24">
        <f>AA308</f>
        <v>101.31147540983608</v>
      </c>
      <c r="AV308" s="71"/>
      <c r="AW308" s="27">
        <f>IF(A308&lt;&gt;"",AE308-AA308,"")</f>
        <v>-0.31147540983607769</v>
      </c>
      <c r="AY308" s="27" t="b">
        <f>S308&gt;R308</f>
        <v>0</v>
      </c>
      <c r="BA308" s="27" t="e">
        <f>AND(AA308&gt;$BA$3,(W308+$W$8)/$W$2&lt;$BB$3,(X308+$X$8)/$X$2&lt;$BB$3)</f>
        <v>#VALUE!</v>
      </c>
      <c r="BB308" s="27" t="e">
        <f>AND(AA308&lt;$BA$3,AND(W308/$W$2&gt;$BB$3,X308/$X$2&gt;$BB$3))</f>
        <v>#VALUE!</v>
      </c>
      <c r="BC308" s="27" t="e">
        <f>AND(AA308&lt;$BA$3,OR(W308/$W$2&gt;$BB$3,X308/$X$2&gt;$BB$3))</f>
        <v>#VALUE!</v>
      </c>
      <c r="BE308" s="32" t="s">
        <v>84</v>
      </c>
    </row>
    <row r="309" spans="1:57" s="27" customFormat="1" ht="12.75" customHeight="1" x14ac:dyDescent="0.2">
      <c r="A309" s="10">
        <v>608802</v>
      </c>
      <c r="B309" s="2">
        <v>24</v>
      </c>
      <c r="C309" s="10">
        <v>24</v>
      </c>
      <c r="D309" s="10">
        <v>25</v>
      </c>
      <c r="E309" s="10"/>
      <c r="F309" s="10"/>
      <c r="G309" s="10"/>
      <c r="H309" s="10"/>
      <c r="I309" s="10"/>
      <c r="J309" s="2">
        <v>32</v>
      </c>
      <c r="K309" s="10">
        <v>52</v>
      </c>
      <c r="L309" s="10">
        <v>52</v>
      </c>
      <c r="M309" s="10"/>
      <c r="N309" s="93"/>
      <c r="O309" s="13"/>
      <c r="P309" s="10">
        <v>101</v>
      </c>
      <c r="Q309" s="10"/>
      <c r="R309" s="2"/>
      <c r="S309" s="10"/>
      <c r="T309" s="13"/>
      <c r="U309" s="7">
        <f t="array" ref="U309">IF(AND(A309&lt;&gt;"",OR(ISNUMBER(B309:I309))),SUM(B309:I309),"")</f>
        <v>73</v>
      </c>
      <c r="V309" s="10">
        <f t="array" ref="V309">IF(AND(A309&lt;&gt;"",OR(ISNUMBER(J309:O309))),SUM(J309:O309),"")</f>
        <v>136</v>
      </c>
      <c r="W309" s="10">
        <f t="array" ref="W309">IF(AND(A309&lt;&gt;"",OR(ISNUMBER(P309),ISNUMBER(Q309))),SUM(MAX(P309:Q309),Q309),"")</f>
        <v>101</v>
      </c>
      <c r="X309" s="10" t="str">
        <f t="array" ref="X309">IF(AND(A309&lt;&gt;"",OR(ISNUMBER(S309),ISNUMBER(T309))),SUM(S309,T309),"")</f>
        <v/>
      </c>
      <c r="Y309" s="13">
        <v>1</v>
      </c>
      <c r="Z309" s="13">
        <f>IF(A309&lt;&gt;"",SUM(U309:Y309),"")</f>
        <v>311</v>
      </c>
      <c r="AA309" s="27">
        <f>IF(A309&lt;&gt;"",(Z309+Normalize_To_Add)/(Point_Total_So_Far)*100,"")</f>
        <v>101.9672131147541</v>
      </c>
      <c r="AB309" s="10">
        <f>IF(A309&lt;&gt;"",RANK(AA309,All_Student_XC),"")</f>
        <v>7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>
        <f>IF(A309&lt;&gt;"",SUM(W309:X309,$W$8:$X$8)/SUM($W$2:$X$2)*100,"")</f>
        <v>101</v>
      </c>
      <c r="AF309" s="32" t="str">
        <f>IF(A309&lt;&gt;"",CHOOSE(10-MIN(9,TRUNC((AE309+0.5)/10)),"A","B","C","D","F","F","F","F","F","F"),"")</f>
        <v>A</v>
      </c>
      <c r="AG309" s="32" t="str">
        <f>IF(A309&lt;&gt;"",IF(OR(AE309+0.5&gt;=93,AE309+0.5&lt;60),"",IF(MOD(AE309+0.5,10)&gt;=7,"+",IF(MOD(AE309+0.5,10)&lt;3,"-",""))),"")</f>
        <v/>
      </c>
      <c r="AH309" s="36">
        <f>IF(A309&lt;&gt;"",MIN(MAX(AA309,AE309),AA309+$AH$8,AE309+$AH$8),"")</f>
        <v>101.9672131147541</v>
      </c>
      <c r="AI309" s="32" t="str">
        <f>IF(A309&lt;&gt;"",CHOOSE(10-MIN(9,TRUNC((AH309+0.5)/10)),"A","B","C","D","F","F","F","F","F","F"),"")</f>
        <v>A</v>
      </c>
      <c r="AJ309" s="32" t="str">
        <f>IF(A309&lt;&gt;"",IF(OR(AH309+0.5&gt;=93,AH309+0.5&lt;60),"",IF(MOD(AH309+0.5,10)&gt;=7,"+",IF(MOD(AH309+0.5,10)&lt;3,"-",""))),"")</f>
        <v/>
      </c>
      <c r="AK309" s="71" t="b">
        <f>IF(A309&lt;&gt;"",OR(AI309&lt;&gt;AC309,AJ309&lt;&gt;AD309),"")</f>
        <v>0</v>
      </c>
      <c r="AL309" s="86">
        <f>IF(AND(A309&lt;&gt;"",U309&lt;&gt;""),SUM(U309,$AL$8)/$AL$2*100,"")</f>
        <v>97.333333333333343</v>
      </c>
      <c r="AM309" s="71">
        <f>IF(AND(A309&lt;&gt;"",V309&lt;&gt;""),SUM(V309,$AM$8)/$AM$2*100,"")</f>
        <v>104.61538461538463</v>
      </c>
      <c r="AN309" s="71">
        <f>IF(AND(A309&lt;&gt;"",ISNUMBER(P309),P309&gt;=0),SUM(P309,$AN$8)/$AN$2*100,"")</f>
        <v>101</v>
      </c>
      <c r="AO309" s="71" t="str">
        <f>IF(AND(A309&lt;&gt;"",ISNUMBER(Q309),Q309&gt;=0),SUM(Q309,$AO$8)/$AO$2*100,"")</f>
        <v/>
      </c>
      <c r="AP309" s="24" t="str">
        <f>IF(AND(A309&lt;&gt;"",R309&lt;&gt;""),SUM(R309,$AP$8)/$AP$2*100,"")</f>
        <v/>
      </c>
      <c r="AQ309" s="24">
        <f>IF(AND(A309&lt;&gt;"",ISNUMBER(W309),W309&gt;=0),SUM(W309,$AQ$8)/$AQ$2*100,"")</f>
        <v>101</v>
      </c>
      <c r="AR309" s="24" t="str">
        <f>IF(AND(A309&lt;&gt;"",T309&gt;0,ISNUMBER(T309)),SUM(T309,$AR$8)/$AR$2*100,"")</f>
        <v/>
      </c>
      <c r="AS309" s="24" t="str">
        <f>IF(AND(A309&lt;&gt;"",X309&lt;&gt;""),SUM(X309,$AS$8)/$AS$2*100,"")</f>
        <v/>
      </c>
      <c r="AT309" s="89">
        <f>IF(AND(A309&lt;&gt;"",OR(ISNUMBER(W309),ISNUMBER(X309))),SUM(W309:X309,$AT$8)/$AT$2*100,"")</f>
        <v>101</v>
      </c>
      <c r="AU309" s="24">
        <f>AA309</f>
        <v>101.9672131147541</v>
      </c>
      <c r="AV309" s="71"/>
      <c r="AW309" s="27">
        <f>IF(A309&lt;&gt;"",AE309-AA309,"")</f>
        <v>-0.96721311475410232</v>
      </c>
      <c r="AY309" s="27" t="b">
        <f>S309&gt;R309</f>
        <v>0</v>
      </c>
      <c r="BA309" s="27" t="e">
        <f>AND(AA309&gt;$BA$3,(W309+$W$8)/$W$2&lt;$BB$3,(X309+$X$8)/$X$2&lt;$BB$3)</f>
        <v>#VALUE!</v>
      </c>
      <c r="BB309" s="27" t="e">
        <f>AND(AA309&lt;$BA$3,AND(W309/$W$2&gt;$BB$3,X309/$X$2&gt;$BB$3))</f>
        <v>#VALUE!</v>
      </c>
      <c r="BC309" s="27" t="e">
        <f>AND(AA309&lt;$BA$3,OR(W309/$W$2&gt;$BB$3,X309/$X$2&gt;$BB$3))</f>
        <v>#VALUE!</v>
      </c>
      <c r="BE309" s="32">
        <v>32</v>
      </c>
    </row>
    <row r="310" spans="1:57" s="27" customFormat="1" ht="12.75" customHeight="1" x14ac:dyDescent="0.2">
      <c r="A310" s="10">
        <v>609526</v>
      </c>
      <c r="B310" s="2">
        <v>24</v>
      </c>
      <c r="C310" s="10">
        <v>24</v>
      </c>
      <c r="D310" s="10">
        <v>25</v>
      </c>
      <c r="E310" s="10"/>
      <c r="F310" s="10"/>
      <c r="G310" s="3"/>
      <c r="H310" s="10"/>
      <c r="I310" s="10"/>
      <c r="J310" s="2">
        <v>30</v>
      </c>
      <c r="K310" s="10">
        <v>52</v>
      </c>
      <c r="L310" s="10">
        <v>52</v>
      </c>
      <c r="M310" s="10"/>
      <c r="N310" s="10"/>
      <c r="O310" s="12"/>
      <c r="P310" s="35">
        <v>101</v>
      </c>
      <c r="Q310" s="7"/>
      <c r="R310" s="2"/>
      <c r="S310" s="10"/>
      <c r="T310" s="13"/>
      <c r="U310" s="35">
        <f t="array" ref="U310">IF(AND(A310&lt;&gt;"",OR(ISNUMBER(B310:I310))),SUM(B310:I310),"")</f>
        <v>73</v>
      </c>
      <c r="V310" s="10">
        <f t="array" ref="V310">IF(AND(A310&lt;&gt;"",OR(ISNUMBER(J310:O310))),SUM(J310:O310),"")</f>
        <v>134</v>
      </c>
      <c r="W310" s="10">
        <f t="array" ref="W310">IF(AND(A310&lt;&gt;"",OR(ISNUMBER(P310),ISNUMBER(Q310))),SUM(MAX(P310:Q310),Q310),"")</f>
        <v>101</v>
      </c>
      <c r="X310" s="10" t="str">
        <f t="array" ref="X310">IF(AND(A310&lt;&gt;"",OR(ISNUMBER(S310),ISNUMBER(T310))),SUM(S310,T310),"")</f>
        <v/>
      </c>
      <c r="Y310" s="13">
        <v>1</v>
      </c>
      <c r="Z310" s="13">
        <f>IF(A310&lt;&gt;"",SUM(U310:Y310),"")</f>
        <v>309</v>
      </c>
      <c r="AA310" s="27">
        <f>IF(A310&lt;&gt;"",(Z310+Normalize_To_Add)/(Point_Total_So_Far)*100,"")</f>
        <v>101.31147540983608</v>
      </c>
      <c r="AB310" s="10">
        <f>IF(A310&lt;&gt;"",RANK(AA310,All_Student_XC),"")</f>
        <v>35</v>
      </c>
      <c r="AC310" s="32" t="str">
        <f>IF(A310&lt;&gt;"",CHOOSE(10-MIN(9,TRUNC((AA310+0.5)/10)),"A","B","C","D","F","F","F","F","F","F"),"")</f>
        <v>A</v>
      </c>
      <c r="AD310" s="32" t="str">
        <f>IF(A310&lt;&gt;"",IF(OR(AA310+0.5&gt;=93,AA310+0.5&lt;60),"",IF(MOD(AA310+0.5,10)&gt;=7,"+",IF(MOD(AA310+0.5,10)&lt;3,"-",""))),"")</f>
        <v/>
      </c>
      <c r="AE310" s="32">
        <f>IF(A310&lt;&gt;"",SUM(W310:X310,$W$8:$X$8)/SUM($W$2:$X$2)*100,"")</f>
        <v>101</v>
      </c>
      <c r="AF310" s="32" t="str">
        <f>IF(A310&lt;&gt;"",CHOOSE(10-MIN(9,TRUNC((AE310+0.5)/10)),"A","B","C","D","F","F","F","F","F","F"),"")</f>
        <v>A</v>
      </c>
      <c r="AG310" s="32" t="str">
        <f>IF(A310&lt;&gt;"",IF(OR(AE310+0.5&gt;=93,AE310+0.5&lt;60),"",IF(MOD(AE310+0.5,10)&gt;=7,"+",IF(MOD(AE310+0.5,10)&lt;3,"-",""))),"")</f>
        <v/>
      </c>
      <c r="AH310" s="36">
        <f>IF(A310&lt;&gt;"",MIN(MAX(AA310,AE310),AA310+$AH$8,AE310+$AH$8),"")</f>
        <v>101.31147540983608</v>
      </c>
      <c r="AI310" s="32" t="str">
        <f>IF(A310&lt;&gt;"",CHOOSE(10-MIN(9,TRUNC((AH310+0.5)/10)),"A","B","C","D","F","F","F","F","F","F"),"")</f>
        <v>A</v>
      </c>
      <c r="AJ310" s="32" t="str">
        <f>IF(A310&lt;&gt;"",IF(OR(AH310+0.5&gt;=93,AH310+0.5&lt;60),"",IF(MOD(AH310+0.5,10)&gt;=7,"+",IF(MOD(AH310+0.5,10)&lt;3,"-",""))),"")</f>
        <v/>
      </c>
      <c r="AK310" s="32" t="b">
        <f>IF(A310&lt;&gt;"",OR(AI310&lt;&gt;AC310,AJ310&lt;&gt;AD310),"")</f>
        <v>0</v>
      </c>
      <c r="AL310" s="84">
        <f>IF(AND(A310&lt;&gt;"",U310&lt;&gt;""),SUM(U310,$AL$8)/$AL$2*100,"")</f>
        <v>97.333333333333343</v>
      </c>
      <c r="AM310" s="24">
        <f>IF(AND(A310&lt;&gt;"",V310&lt;&gt;""),SUM(V310,$AM$8)/$AM$2*100,"")</f>
        <v>103.07692307692307</v>
      </c>
      <c r="AN310" s="24">
        <f>IF(AND(A310&lt;&gt;"",ISNUMBER(P310),P310&gt;=0),SUM(P310,$AN$8)/$AN$2*100,"")</f>
        <v>101</v>
      </c>
      <c r="AO310" s="24" t="str">
        <f>IF(AND(A310&lt;&gt;"",ISNUMBER(Q310),Q310&gt;=0),SUM(Q310,$AO$8)/$AO$2*100,"")</f>
        <v/>
      </c>
      <c r="AP310" s="24" t="str">
        <f>IF(AND(A310&lt;&gt;"",R310&lt;&gt;""),SUM(R310,$AP$8)/$AP$2*100,"")</f>
        <v/>
      </c>
      <c r="AQ310" s="24">
        <f>IF(AND(A310&lt;&gt;"",ISNUMBER(W310),W310&gt;=0),SUM(W310,$AQ$8)/$AQ$2*100,"")</f>
        <v>101</v>
      </c>
      <c r="AR310" s="24" t="str">
        <f>IF(AND(A310&lt;&gt;"",T310&gt;0,ISNUMBER(T310)),SUM(T310,$AR$8)/$AR$2*100,"")</f>
        <v/>
      </c>
      <c r="AS310" s="24" t="str">
        <f>IF(AND(A310&lt;&gt;"",X310&lt;&gt;""),SUM(X310,$AS$8)/$AS$2*100,"")</f>
        <v/>
      </c>
      <c r="AT310" s="89">
        <f>IF(AND(A310&lt;&gt;"",OR(ISNUMBER(W310),ISNUMBER(X310))),SUM(W310:X310,$AT$8)/$AT$2*100,"")</f>
        <v>101</v>
      </c>
      <c r="AU310" s="24">
        <f>AA310</f>
        <v>101.31147540983608</v>
      </c>
      <c r="AV310" s="24"/>
      <c r="AW310" s="27">
        <f>IF(A310&lt;&gt;"",AE310-AA310,"")</f>
        <v>-0.31147540983607769</v>
      </c>
      <c r="AY310" s="27" t="b">
        <f>S310&gt;R310</f>
        <v>0</v>
      </c>
      <c r="BA310" s="27" t="e">
        <f>AND(AA310&gt;$BA$3,(W310+$W$8)/$W$2&lt;$BB$3,(X310+$X$8)/$X$2&lt;$BB$3)</f>
        <v>#VALUE!</v>
      </c>
      <c r="BB310" s="27" t="e">
        <f>AND(AA310&lt;$BA$3,AND(W310/$W$2&gt;$BB$3,X310/$X$2&gt;$BB$3))</f>
        <v>#VALUE!</v>
      </c>
      <c r="BC310" s="27" t="e">
        <f>AND(AA310&lt;$BA$3,OR(W310/$W$2&gt;$BB$3,X310/$X$2&gt;$BB$3))</f>
        <v>#VALUE!</v>
      </c>
      <c r="BE310" s="32" t="s">
        <v>84</v>
      </c>
    </row>
    <row r="311" spans="1:57" s="27" customFormat="1" ht="12.75" customHeight="1" x14ac:dyDescent="0.2">
      <c r="A311" s="10">
        <v>609616</v>
      </c>
      <c r="B311" s="2">
        <v>25</v>
      </c>
      <c r="C311" s="10">
        <v>14</v>
      </c>
      <c r="D311" s="10">
        <v>15</v>
      </c>
      <c r="E311" s="10"/>
      <c r="F311" s="10"/>
      <c r="G311" s="3"/>
      <c r="H311" s="10"/>
      <c r="I311" s="10"/>
      <c r="J311" s="2">
        <v>30</v>
      </c>
      <c r="K311" s="10">
        <v>48</v>
      </c>
      <c r="L311" s="10">
        <v>36</v>
      </c>
      <c r="M311" s="10"/>
      <c r="N311" s="10"/>
      <c r="O311" s="12"/>
      <c r="P311" s="41">
        <v>101</v>
      </c>
      <c r="Q311" s="41"/>
      <c r="R311" s="2"/>
      <c r="S311" s="10"/>
      <c r="T311" s="13"/>
      <c r="U311" s="7">
        <f t="array" ref="U311">IF(AND(A311&lt;&gt;"",OR(ISNUMBER(B311:I311))),SUM(B311:I311),"")</f>
        <v>54</v>
      </c>
      <c r="V311" s="10">
        <f t="array" ref="V311">IF(AND(A311&lt;&gt;"",OR(ISNUMBER(J311:O311))),SUM(J311:O311),"")</f>
        <v>114</v>
      </c>
      <c r="W311" s="10">
        <f t="array" ref="W311">IF(AND(A311&lt;&gt;"",OR(ISNUMBER(P311),ISNUMBER(Q311))),SUM(MAX(P311:Q311),Q311),"")</f>
        <v>101</v>
      </c>
      <c r="X311" s="10" t="str">
        <f t="array" ref="X311">IF(AND(A311&lt;&gt;"",OR(ISNUMBER(S311),ISNUMBER(T311))),SUM(S311,T311),"")</f>
        <v/>
      </c>
      <c r="Y311" s="13">
        <v>1</v>
      </c>
      <c r="Z311" s="13">
        <f>IF(A311&lt;&gt;"",SUM(U311:Y311),"")</f>
        <v>270</v>
      </c>
      <c r="AA311" s="27">
        <f>IF(A311&lt;&gt;"",(Z311+Normalize_To_Add)/(Point_Total_So_Far)*100,"")</f>
        <v>88.52459016393442</v>
      </c>
      <c r="AB311" s="10">
        <f>IF(A311&lt;&gt;"",RANK(AA311,All_Student_XC),"")</f>
        <v>350</v>
      </c>
      <c r="AC311" s="32" t="str">
        <f>IF(A311&lt;&gt;"",CHOOSE(10-MIN(9,TRUNC((AA311+0.5)/10)),"A","B","C","D","F","F","F","F","F","F"),"")</f>
        <v>B</v>
      </c>
      <c r="AD311" s="32" t="str">
        <f>IF(A311&lt;&gt;"",IF(OR(AA311+0.5&gt;=93,AA311+0.5&lt;60),"",IF(MOD(AA311+0.5,10)&gt;=7,"+",IF(MOD(AA311+0.5,10)&lt;3,"-",""))),"")</f>
        <v>+</v>
      </c>
      <c r="AE311" s="32">
        <f>IF(A311&lt;&gt;"",SUM(W311:X311,$W$8:$X$8)/SUM($W$2:$X$2)*100,"")</f>
        <v>101</v>
      </c>
      <c r="AF311" s="32" t="str">
        <f>IF(A311&lt;&gt;"",CHOOSE(10-MIN(9,TRUNC((AE311+0.5)/10)),"A","B","C","D","F","F","F","F","F","F"),"")</f>
        <v>A</v>
      </c>
      <c r="AG311" s="32" t="str">
        <f>IF(A311&lt;&gt;"",IF(OR(AE311+0.5&gt;=93,AE311+0.5&lt;60),"",IF(MOD(AE311+0.5,10)&gt;=7,"+",IF(MOD(AE311+0.5,10)&lt;3,"-",""))),"")</f>
        <v/>
      </c>
      <c r="AH311" s="36">
        <f>IF(A311&lt;&gt;"",MIN(MAX(AA311,AE311),AA311+$AH$8,AE311+$AH$8),"")</f>
        <v>101</v>
      </c>
      <c r="AI311" s="32" t="str">
        <f>IF(A311&lt;&gt;"",CHOOSE(10-MIN(9,TRUNC((AH311+0.5)/10)),"A","B","C","D","F","F","F","F","F","F"),"")</f>
        <v>A</v>
      </c>
      <c r="AJ311" s="32" t="str">
        <f>IF(A311&lt;&gt;"",IF(OR(AH311+0.5&gt;=93,AH311+0.5&lt;60),"",IF(MOD(AH311+0.5,10)&gt;=7,"+",IF(MOD(AH311+0.5,10)&lt;3,"-",""))),"")</f>
        <v/>
      </c>
      <c r="AK311" s="32" t="b">
        <f>IF(A311&lt;&gt;"",OR(AI311&lt;&gt;AC311,AJ311&lt;&gt;AD311),"")</f>
        <v>1</v>
      </c>
      <c r="AL311" s="84">
        <f>IF(AND(A311&lt;&gt;"",U311&lt;&gt;""),SUM(U311,$AL$8)/$AL$2*100,"")</f>
        <v>72</v>
      </c>
      <c r="AM311" s="24">
        <f>IF(AND(A311&lt;&gt;"",V311&lt;&gt;""),SUM(V311,$AM$8)/$AM$2*100,"")</f>
        <v>87.692307692307693</v>
      </c>
      <c r="AN311" s="24">
        <f>IF(AND(A311&lt;&gt;"",ISNUMBER(P311),P311&gt;=0),SUM(P311,$AN$8)/$AN$2*100,"")</f>
        <v>101</v>
      </c>
      <c r="AO311" s="24" t="str">
        <f>IF(AND(A311&lt;&gt;"",ISNUMBER(Q311),Q311&gt;=0),SUM(Q311,$AO$8)/$AO$2*100,"")</f>
        <v/>
      </c>
      <c r="AP311" s="24" t="str">
        <f>IF(AND(A311&lt;&gt;"",R311&lt;&gt;""),SUM(R311,$AP$8)/$AP$2*100,"")</f>
        <v/>
      </c>
      <c r="AQ311" s="24">
        <f>IF(AND(A311&lt;&gt;"",ISNUMBER(W311),W311&gt;=0),SUM(W311,$AQ$8)/$AQ$2*100,"")</f>
        <v>101</v>
      </c>
      <c r="AR311" s="24" t="str">
        <f>IF(AND(A311&lt;&gt;"",T311&gt;0,ISNUMBER(T311)),SUM(T311,$AR$8)/$AR$2*100,"")</f>
        <v/>
      </c>
      <c r="AS311" s="24" t="str">
        <f>IF(AND(A311&lt;&gt;"",X311&lt;&gt;""),SUM(X311,$AS$8)/$AS$2*100,"")</f>
        <v/>
      </c>
      <c r="AT311" s="89">
        <f>IF(AND(A311&lt;&gt;"",OR(ISNUMBER(W311),ISNUMBER(X311))),SUM(W311:X311,$AT$8)/$AT$2*100,"")</f>
        <v>101</v>
      </c>
      <c r="AU311" s="24">
        <f>AA311</f>
        <v>88.52459016393442</v>
      </c>
      <c r="AV311" s="24"/>
      <c r="AW311" s="27">
        <f>IF(A311&lt;&gt;"",AE311-AA311,"")</f>
        <v>12.47540983606558</v>
      </c>
      <c r="AY311" s="27" t="b">
        <f>S311&gt;R311</f>
        <v>0</v>
      </c>
      <c r="BA311" s="27" t="e">
        <f>AND(AA311&gt;$BA$3,(W311+$W$8)/$W$2&lt;$BB$3,(X311+$X$8)/$X$2&lt;$BB$3)</f>
        <v>#VALUE!</v>
      </c>
      <c r="BB311" s="27" t="e">
        <f>AND(AA311&lt;$BA$3,AND(W311/$W$2&gt;$BB$3,X311/$X$2&gt;$BB$3))</f>
        <v>#VALUE!</v>
      </c>
      <c r="BC311" s="27" t="e">
        <f>AND(AA311&lt;$BA$3,OR(W311/$W$2&gt;$BB$3,X311/$X$2&gt;$BB$3))</f>
        <v>#VALUE!</v>
      </c>
      <c r="BE311" s="32">
        <v>32</v>
      </c>
    </row>
    <row r="312" spans="1:57" s="27" customFormat="1" ht="12.75" customHeight="1" x14ac:dyDescent="0.2">
      <c r="A312" s="10">
        <v>610987</v>
      </c>
      <c r="B312" s="2">
        <v>23</v>
      </c>
      <c r="C312" s="10">
        <v>21</v>
      </c>
      <c r="D312" s="10">
        <v>25</v>
      </c>
      <c r="E312" s="10"/>
      <c r="F312" s="10"/>
      <c r="G312" s="3"/>
      <c r="H312" s="10"/>
      <c r="I312" s="10"/>
      <c r="J312" s="2">
        <v>30</v>
      </c>
      <c r="K312" s="10">
        <v>50</v>
      </c>
      <c r="L312" s="10">
        <v>49</v>
      </c>
      <c r="M312" s="10"/>
      <c r="N312" s="10"/>
      <c r="O312" s="12"/>
      <c r="P312" s="41">
        <v>90</v>
      </c>
      <c r="Q312" s="41"/>
      <c r="R312" s="2"/>
      <c r="S312" s="10"/>
      <c r="T312" s="13"/>
      <c r="U312" s="7">
        <f t="array" ref="U312">IF(AND(A312&lt;&gt;"",OR(ISNUMBER(B312:I312))),SUM(B312:I312),"")</f>
        <v>69</v>
      </c>
      <c r="V312" s="10">
        <f t="array" ref="V312">IF(AND(A312&lt;&gt;"",OR(ISNUMBER(J312:O312))),SUM(J312:O312),"")</f>
        <v>129</v>
      </c>
      <c r="W312" s="10">
        <f t="array" ref="W312">IF(AND(A312&lt;&gt;"",OR(ISNUMBER(P312),ISNUMBER(Q312))),SUM(MAX(P312:Q312),Q312),"")</f>
        <v>90</v>
      </c>
      <c r="X312" s="10" t="str">
        <f t="array" ref="X312">IF(AND(A312&lt;&gt;"",OR(ISNUMBER(S312),ISNUMBER(T312))),SUM(S312,T312),"")</f>
        <v/>
      </c>
      <c r="Y312" s="13">
        <v>1</v>
      </c>
      <c r="Z312" s="13">
        <f>IF(A312&lt;&gt;"",SUM(U312:Y312),"")</f>
        <v>289</v>
      </c>
      <c r="AA312" s="27">
        <f>IF(A312&lt;&gt;"",(Z312+Normalize_To_Add)/(Point_Total_So_Far)*100,"")</f>
        <v>94.754098360655732</v>
      </c>
      <c r="AB312" s="10">
        <f>IF(A312&lt;&gt;"",RANK(AA312,All_Student_XC),"")</f>
        <v>273</v>
      </c>
      <c r="AC312" s="32" t="str">
        <f>IF(A312&lt;&gt;"",CHOOSE(10-MIN(9,TRUNC((AA312+0.5)/10)),"A","B","C","D","F","F","F","F","F","F"),"")</f>
        <v>A</v>
      </c>
      <c r="AD312" s="32" t="str">
        <f>IF(A312&lt;&gt;"",IF(OR(AA312+0.5&gt;=93,AA312+0.5&lt;60),"",IF(MOD(AA312+0.5,10)&gt;=7,"+",IF(MOD(AA312+0.5,10)&lt;3,"-",""))),"")</f>
        <v/>
      </c>
      <c r="AE312" s="32">
        <f>IF(A312&lt;&gt;"",SUM(W312:X312,$W$8:$X$8)/SUM($W$2:$X$2)*100,"")</f>
        <v>90</v>
      </c>
      <c r="AF312" s="32" t="str">
        <f>IF(A312&lt;&gt;"",CHOOSE(10-MIN(9,TRUNC((AE312+0.5)/10)),"A","B","C","D","F","F","F","F","F","F"),"")</f>
        <v>A</v>
      </c>
      <c r="AG312" s="32" t="str">
        <f>IF(A312&lt;&gt;"",IF(OR(AE312+0.5&gt;=93,AE312+0.5&lt;60),"",IF(MOD(AE312+0.5,10)&gt;=7,"+",IF(MOD(AE312+0.5,10)&lt;3,"-",""))),"")</f>
        <v>-</v>
      </c>
      <c r="AH312" s="36">
        <f>IF(A312&lt;&gt;"",MIN(MAX(AA312,AE312),AA312+$AH$8,AE312+$AH$8),"")</f>
        <v>94.754098360655732</v>
      </c>
      <c r="AI312" s="32" t="str">
        <f>IF(A312&lt;&gt;"",CHOOSE(10-MIN(9,TRUNC((AH312+0.5)/10)),"A","B","C","D","F","F","F","F","F","F"),"")</f>
        <v>A</v>
      </c>
      <c r="AJ312" s="32" t="str">
        <f>IF(A312&lt;&gt;"",IF(OR(AH312+0.5&gt;=93,AH312+0.5&lt;60),"",IF(MOD(AH312+0.5,10)&gt;=7,"+",IF(MOD(AH312+0.5,10)&lt;3,"-",""))),"")</f>
        <v/>
      </c>
      <c r="AK312" s="32" t="b">
        <f>IF(A312&lt;&gt;"",OR(AI312&lt;&gt;AC312,AJ312&lt;&gt;AD312),"")</f>
        <v>0</v>
      </c>
      <c r="AL312" s="84">
        <f>IF(AND(A312&lt;&gt;"",U312&lt;&gt;""),SUM(U312,$AL$8)/$AL$2*100,"")</f>
        <v>92</v>
      </c>
      <c r="AM312" s="24">
        <f>IF(AND(A312&lt;&gt;"",V312&lt;&gt;""),SUM(V312,$AM$8)/$AM$2*100,"")</f>
        <v>99.230769230769226</v>
      </c>
      <c r="AN312" s="24">
        <f>IF(AND(A312&lt;&gt;"",ISNUMBER(P312),P312&gt;=0),SUM(P312,$AN$8)/$AN$2*100,"")</f>
        <v>90</v>
      </c>
      <c r="AO312" s="24" t="str">
        <f>IF(AND(A312&lt;&gt;"",ISNUMBER(Q312),Q312&gt;=0),SUM(Q312,$AO$8)/$AO$2*100,"")</f>
        <v/>
      </c>
      <c r="AP312" s="24" t="str">
        <f>IF(AND(A312&lt;&gt;"",R312&lt;&gt;""),SUM(R312,$AP$8)/$AP$2*100,"")</f>
        <v/>
      </c>
      <c r="AQ312" s="24">
        <f>IF(AND(A312&lt;&gt;"",ISNUMBER(W312),W312&gt;=0),SUM(W312,$AQ$8)/$AQ$2*100,"")</f>
        <v>90</v>
      </c>
      <c r="AR312" s="24" t="str">
        <f>IF(AND(A312&lt;&gt;"",T312&gt;0,ISNUMBER(T312)),SUM(T312,$AR$8)/$AR$2*100,"")</f>
        <v/>
      </c>
      <c r="AS312" s="24" t="str">
        <f>IF(AND(A312&lt;&gt;"",X312&lt;&gt;""),SUM(X312,$AS$8)/$AS$2*100,"")</f>
        <v/>
      </c>
      <c r="AT312" s="89">
        <f>IF(AND(A312&lt;&gt;"",OR(ISNUMBER(W312),ISNUMBER(X312))),SUM(W312:X312,$AT$8)/$AT$2*100,"")</f>
        <v>90</v>
      </c>
      <c r="AU312" s="24">
        <f>AA312</f>
        <v>94.754098360655732</v>
      </c>
      <c r="AV312" s="24"/>
      <c r="AW312" s="27">
        <f>IF(A312&lt;&gt;"",AE312-AA312,"")</f>
        <v>-4.7540983606557319</v>
      </c>
      <c r="AY312" s="27" t="b">
        <f>S312&gt;R312</f>
        <v>0</v>
      </c>
      <c r="BA312" s="27" t="e">
        <f>AND(AA312&gt;$BA$3,(W312+$W$8)/$W$2&lt;$BB$3,(X312+$X$8)/$X$2&lt;$BB$3)</f>
        <v>#VALUE!</v>
      </c>
      <c r="BB312" s="27" t="e">
        <f>AND(AA312&lt;$BA$3,AND(W312/$W$2&gt;$BB$3,X312/$X$2&gt;$BB$3))</f>
        <v>#VALUE!</v>
      </c>
      <c r="BC312" s="27" t="e">
        <f>AND(AA312&lt;$BA$3,OR(W312/$W$2&gt;$BB$3,X312/$X$2&gt;$BB$3))</f>
        <v>#VALUE!</v>
      </c>
      <c r="BE312" s="32" t="s">
        <v>85</v>
      </c>
    </row>
    <row r="313" spans="1:57" s="27" customFormat="1" ht="12.75" customHeight="1" x14ac:dyDescent="0.2">
      <c r="A313" s="10">
        <v>612299</v>
      </c>
      <c r="B313" s="2">
        <v>16</v>
      </c>
      <c r="C313" s="10">
        <v>20</v>
      </c>
      <c r="D313" s="10">
        <v>16</v>
      </c>
      <c r="E313" s="10"/>
      <c r="F313" s="10"/>
      <c r="G313" s="3"/>
      <c r="H313" s="10"/>
      <c r="I313" s="10"/>
      <c r="J313" s="2">
        <v>29</v>
      </c>
      <c r="K313" s="10">
        <v>45</v>
      </c>
      <c r="L313" s="10">
        <v>39</v>
      </c>
      <c r="M313" s="10"/>
      <c r="N313" s="93"/>
      <c r="O313" s="13"/>
      <c r="P313" s="10">
        <v>70</v>
      </c>
      <c r="Q313" s="10"/>
      <c r="R313" s="2"/>
      <c r="S313" s="10"/>
      <c r="T313" s="13"/>
      <c r="U313" s="7">
        <f t="array" ref="U313">IF(AND(A313&lt;&gt;"",OR(ISNUMBER(B313:I313))),SUM(B313:I313),"")</f>
        <v>52</v>
      </c>
      <c r="V313" s="10">
        <f t="array" ref="V313">IF(AND(A313&lt;&gt;"",OR(ISNUMBER(J313:O313))),SUM(J313:O313),"")</f>
        <v>113</v>
      </c>
      <c r="W313" s="10">
        <f t="array" ref="W313">IF(AND(A313&lt;&gt;"",OR(ISNUMBER(P313),ISNUMBER(Q313))),SUM(MAX(P313:Q313),Q313),"")</f>
        <v>70</v>
      </c>
      <c r="X313" s="10" t="str">
        <f t="array" ref="X313">IF(AND(A313&lt;&gt;"",OR(ISNUMBER(S313),ISNUMBER(T313))),SUM(S313,T313),"")</f>
        <v/>
      </c>
      <c r="Y313" s="13">
        <v>1</v>
      </c>
      <c r="Z313" s="13">
        <f>IF(A313&lt;&gt;"",SUM(U313:Y313),"")</f>
        <v>236</v>
      </c>
      <c r="AA313" s="27">
        <f>IF(A313&lt;&gt;"",(Z313+Normalize_To_Add)/(Point_Total_So_Far)*100,"")</f>
        <v>77.377049180327873</v>
      </c>
      <c r="AB313" s="10">
        <f>IF(A313&lt;&gt;"",RANK(AA313,All_Student_XC),"")</f>
        <v>426</v>
      </c>
      <c r="AC313" s="32" t="str">
        <f>IF(A313&lt;&gt;"",CHOOSE(10-MIN(9,TRUNC((AA313+0.5)/10)),"A","B","C","D","F","F","F","F","F","F"),"")</f>
        <v>C</v>
      </c>
      <c r="AD313" s="31" t="str">
        <f>IF(A313&lt;&gt;"",IF(OR(AA313+0.5&gt;=93,AA313+0.5&lt;60),"",IF(MOD(AA313+0.5,10)&gt;=7,"+",IF(MOD(AA313+0.5,10)&lt;3,"-",""))),"")</f>
        <v>+</v>
      </c>
      <c r="AE313" s="32">
        <f>IF(A313&lt;&gt;"",SUM(W313:X313,$W$8:$X$8)/SUM($W$2:$X$2)*100,"")</f>
        <v>70</v>
      </c>
      <c r="AF313" s="32" t="str">
        <f>IF(A313&lt;&gt;"",CHOOSE(10-MIN(9,TRUNC((AE313+0.5)/10)),"A","B","C","D","F","F","F","F","F","F"),"")</f>
        <v>C</v>
      </c>
      <c r="AG313" s="32" t="str">
        <f>IF(A313&lt;&gt;"",IF(OR(AE313+0.5&gt;=93,AE313+0.5&lt;60),"",IF(MOD(AE313+0.5,10)&gt;=7,"+",IF(MOD(AE313+0.5,10)&lt;3,"-",""))),"")</f>
        <v>-</v>
      </c>
      <c r="AH313" s="36">
        <f>IF(A313&lt;&gt;"",MIN(MAX(AA313,AE313),AA313+$AH$8,AE313+$AH$8),"")</f>
        <v>77.377049180327873</v>
      </c>
      <c r="AI313" s="32" t="str">
        <f>IF(A313&lt;&gt;"",CHOOSE(10-MIN(9,TRUNC((AH313+0.5)/10)),"A","B","C","D","F","F","F","F","F","F"),"")</f>
        <v>C</v>
      </c>
      <c r="AJ313" s="32" t="str">
        <f>IF(A313&lt;&gt;"",IF(OR(AH313+0.5&gt;=93,AH313+0.5&lt;60),"",IF(MOD(AH313+0.5,10)&gt;=7,"+",IF(MOD(AH313+0.5,10)&lt;3,"-",""))),"")</f>
        <v>+</v>
      </c>
      <c r="AK313" s="71" t="b">
        <f>IF(A313&lt;&gt;"",OR(AI313&lt;&gt;AC313,AJ313&lt;&gt;AD313),"")</f>
        <v>0</v>
      </c>
      <c r="AL313" s="86">
        <f>IF(AND(A313&lt;&gt;"",U313&lt;&gt;""),SUM(U313,$AL$8)/$AL$2*100,"")</f>
        <v>69.333333333333343</v>
      </c>
      <c r="AM313" s="71">
        <f>IF(AND(A313&lt;&gt;"",V313&lt;&gt;""),SUM(V313,$AM$8)/$AM$2*100,"")</f>
        <v>86.92307692307692</v>
      </c>
      <c r="AN313" s="71">
        <f>IF(AND(A313&lt;&gt;"",ISNUMBER(P313),P313&gt;=0),SUM(P313,$AN$8)/$AN$2*100,"")</f>
        <v>70</v>
      </c>
      <c r="AO313" s="71" t="str">
        <f>IF(AND(A313&lt;&gt;"",ISNUMBER(Q313),Q313&gt;=0),SUM(Q313,$AO$8)/$AO$2*100,"")</f>
        <v/>
      </c>
      <c r="AP313" s="24" t="str">
        <f>IF(AND(A313&lt;&gt;"",R313&lt;&gt;""),SUM(R313,$AP$8)/$AP$2*100,"")</f>
        <v/>
      </c>
      <c r="AQ313" s="24">
        <f>IF(AND(A313&lt;&gt;"",ISNUMBER(W313),W313&gt;=0),SUM(W313,$AQ$8)/$AQ$2*100,"")</f>
        <v>70</v>
      </c>
      <c r="AR313" s="24" t="str">
        <f>IF(AND(A313&lt;&gt;"",T313&gt;0,ISNUMBER(T313)),SUM(T313,$AR$8)/$AR$2*100,"")</f>
        <v/>
      </c>
      <c r="AS313" s="24" t="str">
        <f>IF(AND(A313&lt;&gt;"",X313&lt;&gt;""),SUM(X313,$AS$8)/$AS$2*100,"")</f>
        <v/>
      </c>
      <c r="AT313" s="89">
        <f>IF(AND(A313&lt;&gt;"",OR(ISNUMBER(W313),ISNUMBER(X313))),SUM(W313:X313,$AT$8)/$AT$2*100,"")</f>
        <v>70</v>
      </c>
      <c r="AU313" s="24">
        <f>AA313</f>
        <v>77.377049180327873</v>
      </c>
      <c r="AV313" s="71"/>
      <c r="AW313" s="27">
        <f>IF(A313&lt;&gt;"",AE313-AA313,"")</f>
        <v>-7.377049180327873</v>
      </c>
      <c r="AY313" s="27" t="b">
        <f>S313&gt;R313</f>
        <v>0</v>
      </c>
      <c r="BA313" s="27" t="e">
        <f>AND(AA313&gt;$BA$3,(W313+$W$8)/$W$2&lt;$BB$3,(X313+$X$8)/$X$2&lt;$BB$3)</f>
        <v>#VALUE!</v>
      </c>
      <c r="BB313" s="27" t="e">
        <f>AND(AA313&lt;$BA$3,AND(W313/$W$2&gt;$BB$3,X313/$X$2&gt;$BB$3))</f>
        <v>#VALUE!</v>
      </c>
      <c r="BC313" s="27" t="e">
        <f>AND(AA313&lt;$BA$3,OR(W313/$W$2&gt;$BB$3,X313/$X$2&gt;$BB$3))</f>
        <v>#VALUE!</v>
      </c>
      <c r="BE313" s="32">
        <v>32</v>
      </c>
    </row>
    <row r="314" spans="1:57" s="27" customFormat="1" ht="12.75" customHeight="1" x14ac:dyDescent="0.2">
      <c r="A314" s="10">
        <v>613427</v>
      </c>
      <c r="B314" s="2">
        <v>22</v>
      </c>
      <c r="C314" s="10">
        <v>23</v>
      </c>
      <c r="D314" s="10">
        <v>22</v>
      </c>
      <c r="E314" s="10"/>
      <c r="F314" s="10"/>
      <c r="G314" s="3"/>
      <c r="H314" s="10"/>
      <c r="I314" s="10"/>
      <c r="J314" s="2">
        <v>30</v>
      </c>
      <c r="K314" s="10">
        <v>52</v>
      </c>
      <c r="L314" s="10">
        <v>51</v>
      </c>
      <c r="M314" s="10"/>
      <c r="N314" s="93"/>
      <c r="O314" s="13"/>
      <c r="P314" s="10">
        <v>101</v>
      </c>
      <c r="Q314" s="10"/>
      <c r="R314" s="2"/>
      <c r="S314" s="10"/>
      <c r="T314" s="13"/>
      <c r="U314" s="7">
        <f t="array" ref="U314">IF(AND(A314&lt;&gt;"",OR(ISNUMBER(B314:I314))),SUM(B314:I314),"")</f>
        <v>67</v>
      </c>
      <c r="V314" s="10">
        <f t="array" ref="V314">IF(AND(A314&lt;&gt;"",OR(ISNUMBER(J314:O314))),SUM(J314:O314),"")</f>
        <v>133</v>
      </c>
      <c r="W314" s="10">
        <f t="array" ref="W314">IF(AND(A314&lt;&gt;"",OR(ISNUMBER(P314),ISNUMBER(Q314))),SUM(MAX(P314:Q314),Q314),"")</f>
        <v>101</v>
      </c>
      <c r="X314" s="10" t="str">
        <f t="array" ref="X314">IF(AND(A314&lt;&gt;"",OR(ISNUMBER(S314),ISNUMBER(T314))),SUM(S314,T314),"")</f>
        <v/>
      </c>
      <c r="Y314" s="13">
        <v>1</v>
      </c>
      <c r="Z314" s="13">
        <f>IF(A314&lt;&gt;"",SUM(U314:Y314),"")</f>
        <v>302</v>
      </c>
      <c r="AA314" s="27">
        <f>IF(A314&lt;&gt;"",(Z314+Normalize_To_Add)/(Point_Total_So_Far)*100,"")</f>
        <v>99.016393442622956</v>
      </c>
      <c r="AB314" s="10">
        <f>IF(A314&lt;&gt;"",RANK(AA314,All_Student_XC),"")</f>
        <v>164</v>
      </c>
      <c r="AC314" s="32" t="str">
        <f>IF(A314&lt;&gt;"",CHOOSE(10-MIN(9,TRUNC((AA314+0.5)/10)),"A","B","C","D","F","F","F","F","F","F"),"")</f>
        <v>A</v>
      </c>
      <c r="AD314" s="31" t="str">
        <f>IF(A314&lt;&gt;"",IF(OR(AA314+0.5&gt;=93,AA314+0.5&lt;60),"",IF(MOD(AA314+0.5,10)&gt;=7,"+",IF(MOD(AA314+0.5,10)&lt;3,"-",""))),"")</f>
        <v/>
      </c>
      <c r="AE314" s="32">
        <f>IF(A314&lt;&gt;"",SUM(W314:X314,$W$8:$X$8)/SUM($W$2:$X$2)*100,"")</f>
        <v>101</v>
      </c>
      <c r="AF314" s="32" t="str">
        <f>IF(A314&lt;&gt;"",CHOOSE(10-MIN(9,TRUNC((AE314+0.5)/10)),"A","B","C","D","F","F","F","F","F","F"),"")</f>
        <v>A</v>
      </c>
      <c r="AG314" s="32" t="str">
        <f>IF(A314&lt;&gt;"",IF(OR(AE314+0.5&gt;=93,AE314+0.5&lt;60),"",IF(MOD(AE314+0.5,10)&gt;=7,"+",IF(MOD(AE314+0.5,10)&lt;3,"-",""))),"")</f>
        <v/>
      </c>
      <c r="AH314" s="36">
        <f>IF(A314&lt;&gt;"",MIN(MAX(AA314,AE314),AA314+$AH$8,AE314+$AH$8),"")</f>
        <v>101</v>
      </c>
      <c r="AI314" s="32" t="str">
        <f>IF(A314&lt;&gt;"",CHOOSE(10-MIN(9,TRUNC((AH314+0.5)/10)),"A","B","C","D","F","F","F","F","F","F"),"")</f>
        <v>A</v>
      </c>
      <c r="AJ314" s="32" t="str">
        <f>IF(A314&lt;&gt;"",IF(OR(AH314+0.5&gt;=93,AH314+0.5&lt;60),"",IF(MOD(AH314+0.5,10)&gt;=7,"+",IF(MOD(AH314+0.5,10)&lt;3,"-",""))),"")</f>
        <v/>
      </c>
      <c r="AK314" s="71" t="b">
        <f>IF(A314&lt;&gt;"",OR(AI314&lt;&gt;AC314,AJ314&lt;&gt;AD314),"")</f>
        <v>0</v>
      </c>
      <c r="AL314" s="86">
        <f>IF(AND(A314&lt;&gt;"",U314&lt;&gt;""),SUM(U314,$AL$8)/$AL$2*100,"")</f>
        <v>89.333333333333329</v>
      </c>
      <c r="AM314" s="71">
        <f>IF(AND(A314&lt;&gt;"",V314&lt;&gt;""),SUM(V314,$AM$8)/$AM$2*100,"")</f>
        <v>102.30769230769229</v>
      </c>
      <c r="AN314" s="71">
        <f>IF(AND(A314&lt;&gt;"",ISNUMBER(P314),P314&gt;=0),SUM(P314,$AN$8)/$AN$2*100,"")</f>
        <v>101</v>
      </c>
      <c r="AO314" s="71" t="str">
        <f>IF(AND(A314&lt;&gt;"",ISNUMBER(Q314),Q314&gt;=0),SUM(Q314,$AO$8)/$AO$2*100,"")</f>
        <v/>
      </c>
      <c r="AP314" s="24" t="str">
        <f>IF(AND(A314&lt;&gt;"",R314&lt;&gt;""),SUM(R314,$AP$8)/$AP$2*100,"")</f>
        <v/>
      </c>
      <c r="AQ314" s="24">
        <f>IF(AND(A314&lt;&gt;"",ISNUMBER(W314),W314&gt;=0),SUM(W314,$AQ$8)/$AQ$2*100,"")</f>
        <v>101</v>
      </c>
      <c r="AR314" s="24" t="str">
        <f>IF(AND(A314&lt;&gt;"",T314&gt;0,ISNUMBER(T314)),SUM(T314,$AR$8)/$AR$2*100,"")</f>
        <v/>
      </c>
      <c r="AS314" s="24" t="str">
        <f>IF(AND(A314&lt;&gt;"",X314&lt;&gt;""),SUM(X314,$AS$8)/$AS$2*100,"")</f>
        <v/>
      </c>
      <c r="AT314" s="89">
        <f>IF(AND(A314&lt;&gt;"",OR(ISNUMBER(W314),ISNUMBER(X314))),SUM(W314:X314,$AT$8)/$AT$2*100,"")</f>
        <v>101</v>
      </c>
      <c r="AU314" s="24">
        <f>AA314</f>
        <v>99.016393442622956</v>
      </c>
      <c r="AV314" s="71"/>
      <c r="AW314" s="27">
        <f>IF(A314&lt;&gt;"",AE314-AA314,"")</f>
        <v>1.9836065573770441</v>
      </c>
      <c r="AY314" s="27" t="b">
        <f>S314&gt;R314</f>
        <v>0</v>
      </c>
      <c r="BA314" s="27" t="e">
        <f>AND(AA314&gt;$BA$3,(W314+$W$8)/$W$2&lt;$BB$3,(X314+$X$8)/$X$2&lt;$BB$3)</f>
        <v>#VALUE!</v>
      </c>
      <c r="BB314" s="27" t="e">
        <f>AND(AA314&lt;$BA$3,AND(W314/$W$2&gt;$BB$3,X314/$X$2&gt;$BB$3))</f>
        <v>#VALUE!</v>
      </c>
      <c r="BC314" s="27" t="e">
        <f>AND(AA314&lt;$BA$3,OR(W314/$W$2&gt;$BB$3,X314/$X$2&gt;$BB$3))</f>
        <v>#VALUE!</v>
      </c>
      <c r="BE314" s="32" t="s">
        <v>84</v>
      </c>
    </row>
    <row r="315" spans="1:57" s="27" customFormat="1" ht="12.75" customHeight="1" x14ac:dyDescent="0.2">
      <c r="A315" s="10">
        <v>613641</v>
      </c>
      <c r="B315" s="2">
        <v>22</v>
      </c>
      <c r="C315" s="10">
        <v>18</v>
      </c>
      <c r="D315" s="10">
        <v>25</v>
      </c>
      <c r="E315" s="10"/>
      <c r="F315" s="10"/>
      <c r="G315" s="3"/>
      <c r="H315" s="10"/>
      <c r="I315" s="10"/>
      <c r="J315" s="2">
        <v>25</v>
      </c>
      <c r="K315" s="10">
        <v>38</v>
      </c>
      <c r="L315" s="10">
        <v>34</v>
      </c>
      <c r="M315" s="10"/>
      <c r="N315" s="10"/>
      <c r="O315" s="12"/>
      <c r="P315" s="41">
        <v>30</v>
      </c>
      <c r="Q315" s="41"/>
      <c r="R315" s="2"/>
      <c r="S315" s="10"/>
      <c r="T315" s="13"/>
      <c r="U315" s="7">
        <f t="array" ref="U315">IF(AND(A315&lt;&gt;"",OR(ISNUMBER(B315:I315))),SUM(B315:I315),"")</f>
        <v>65</v>
      </c>
      <c r="V315" s="10">
        <f t="array" ref="V315">IF(AND(A315&lt;&gt;"",OR(ISNUMBER(J315:O315))),SUM(J315:O315),"")</f>
        <v>97</v>
      </c>
      <c r="W315" s="10">
        <f t="array" ref="W315">IF(AND(A315&lt;&gt;"",OR(ISNUMBER(P315),ISNUMBER(Q315))),SUM(MAX(P315:Q315),Q315),"")</f>
        <v>30</v>
      </c>
      <c r="X315" s="10" t="str">
        <f t="array" ref="X315">IF(AND(A315&lt;&gt;"",OR(ISNUMBER(S315),ISNUMBER(T315))),SUM(S315,T315),"")</f>
        <v/>
      </c>
      <c r="Y315" s="13">
        <v>1</v>
      </c>
      <c r="Z315" s="13">
        <f>IF(A315&lt;&gt;"",SUM(U315:Y315),"")</f>
        <v>193</v>
      </c>
      <c r="AA315" s="27">
        <f>IF(A315&lt;&gt;"",(Z315+Normalize_To_Add)/(Point_Total_So_Far)*100,"")</f>
        <v>63.278688524590166</v>
      </c>
      <c r="AB315" s="10">
        <f>IF(A315&lt;&gt;"",RANK(AA315,All_Student_XC),"")</f>
        <v>469</v>
      </c>
      <c r="AC315" s="32" t="str">
        <f>IF(A315&lt;&gt;"",CHOOSE(10-MIN(9,TRUNC((AA315+0.5)/10)),"A","B","C","D","F","F","F","F","F","F"),"")</f>
        <v>D</v>
      </c>
      <c r="AD315" s="32" t="str">
        <f>IF(A315&lt;&gt;"",IF(OR(AA315+0.5&gt;=93,AA315+0.5&lt;60),"",IF(MOD(AA315+0.5,10)&gt;=7,"+",IF(MOD(AA315+0.5,10)&lt;3,"-",""))),"")</f>
        <v/>
      </c>
      <c r="AE315" s="32">
        <f>IF(A315&lt;&gt;"",SUM(W315:X315,$W$8:$X$8)/SUM($W$2:$X$2)*100,"")</f>
        <v>30</v>
      </c>
      <c r="AF315" s="32" t="str">
        <f>IF(A315&lt;&gt;"",CHOOSE(10-MIN(9,TRUNC((AE315+0.5)/10)),"A","B","C","D","F","F","F","F","F","F"),"")</f>
        <v>F</v>
      </c>
      <c r="AG315" s="32" t="str">
        <f>IF(A315&lt;&gt;"",IF(OR(AE315+0.5&gt;=93,AE315+0.5&lt;60),"",IF(MOD(AE315+0.5,10)&gt;=7,"+",IF(MOD(AE315+0.5,10)&lt;3,"-",""))),"")</f>
        <v/>
      </c>
      <c r="AH315" s="36">
        <f>IF(A315&lt;&gt;"",MIN(MAX(AA315,AE315),AA315+$AH$8,AE315+$AH$8),"")</f>
        <v>63.278688524590166</v>
      </c>
      <c r="AI315" s="32" t="str">
        <f>IF(A315&lt;&gt;"",CHOOSE(10-MIN(9,TRUNC((AH315+0.5)/10)),"A","B","C","D","F","F","F","F","F","F"),"")</f>
        <v>D</v>
      </c>
      <c r="AJ315" s="32" t="str">
        <f>IF(A315&lt;&gt;"",IF(OR(AH315+0.5&gt;=93,AH315+0.5&lt;60),"",IF(MOD(AH315+0.5,10)&gt;=7,"+",IF(MOD(AH315+0.5,10)&lt;3,"-",""))),"")</f>
        <v/>
      </c>
      <c r="AK315" s="32" t="b">
        <f>IF(A315&lt;&gt;"",OR(AI315&lt;&gt;AC315,AJ315&lt;&gt;AD315),"")</f>
        <v>0</v>
      </c>
      <c r="AL315" s="84">
        <f>IF(AND(A315&lt;&gt;"",U315&lt;&gt;""),SUM(U315,$AL$8)/$AL$2*100,"")</f>
        <v>86.666666666666671</v>
      </c>
      <c r="AM315" s="24">
        <f>IF(AND(A315&lt;&gt;"",V315&lt;&gt;""),SUM(V315,$AM$8)/$AM$2*100,"")</f>
        <v>74.615384615384613</v>
      </c>
      <c r="AN315" s="24">
        <f>IF(AND(A315&lt;&gt;"",ISNUMBER(P315),P315&gt;=0),SUM(P315,$AN$8)/$AN$2*100,"")</f>
        <v>30</v>
      </c>
      <c r="AO315" s="24" t="str">
        <f>IF(AND(A315&lt;&gt;"",ISNUMBER(Q315),Q315&gt;=0),SUM(Q315,$AO$8)/$AO$2*100,"")</f>
        <v/>
      </c>
      <c r="AP315" s="24" t="str">
        <f>IF(AND(A315&lt;&gt;"",R315&lt;&gt;""),SUM(R315,$AP$8)/$AP$2*100,"")</f>
        <v/>
      </c>
      <c r="AQ315" s="24">
        <f>IF(AND(A315&lt;&gt;"",ISNUMBER(W315),W315&gt;=0),SUM(W315,$AQ$8)/$AQ$2*100,"")</f>
        <v>30</v>
      </c>
      <c r="AR315" s="24" t="str">
        <f>IF(AND(A315&lt;&gt;"",T315&gt;0,ISNUMBER(T315)),SUM(T315,$AR$8)/$AR$2*100,"")</f>
        <v/>
      </c>
      <c r="AS315" s="24" t="str">
        <f>IF(AND(A315&lt;&gt;"",X315&lt;&gt;""),SUM(X315,$AS$8)/$AS$2*100,"")</f>
        <v/>
      </c>
      <c r="AT315" s="89">
        <f>IF(AND(A315&lt;&gt;"",OR(ISNUMBER(W315),ISNUMBER(X315))),SUM(W315:X315,$AT$8)/$AT$2*100,"")</f>
        <v>30</v>
      </c>
      <c r="AU315" s="24">
        <f>AA315</f>
        <v>63.278688524590166</v>
      </c>
      <c r="AV315" s="24"/>
      <c r="AW315" s="27">
        <f>IF(A315&lt;&gt;"",AE315-AA315,"")</f>
        <v>-33.278688524590166</v>
      </c>
      <c r="AY315" s="27" t="b">
        <f>S315&gt;R315</f>
        <v>0</v>
      </c>
      <c r="BA315" s="27" t="e">
        <f>AND(AA315&gt;$BA$3,(W315+$W$8)/$W$2&lt;$BB$3,(X315+$X$8)/$X$2&lt;$BB$3)</f>
        <v>#VALUE!</v>
      </c>
      <c r="BB315" s="27" t="e">
        <f>AND(AA315&lt;$BA$3,AND(W315/$W$2&gt;$BB$3,X315/$X$2&gt;$BB$3))</f>
        <v>#VALUE!</v>
      </c>
      <c r="BC315" s="27" t="e">
        <f>AND(AA315&lt;$BA$3,OR(W315/$W$2&gt;$BB$3,X315/$X$2&gt;$BB$3))</f>
        <v>#VALUE!</v>
      </c>
      <c r="BE315" s="32">
        <v>32</v>
      </c>
    </row>
    <row r="316" spans="1:57" s="27" customFormat="1" ht="12.75" customHeight="1" x14ac:dyDescent="0.2">
      <c r="A316" s="10">
        <v>614190</v>
      </c>
      <c r="B316" s="2">
        <v>9</v>
      </c>
      <c r="C316" s="10">
        <v>14</v>
      </c>
      <c r="D316" s="10">
        <v>22</v>
      </c>
      <c r="E316" s="10"/>
      <c r="F316" s="10"/>
      <c r="G316" s="10"/>
      <c r="H316" s="10"/>
      <c r="I316" s="10"/>
      <c r="J316" s="2">
        <v>10</v>
      </c>
      <c r="K316" s="10">
        <v>27</v>
      </c>
      <c r="L316" s="10">
        <v>49</v>
      </c>
      <c r="M316" s="10"/>
      <c r="N316" s="93"/>
      <c r="O316" s="13"/>
      <c r="P316" s="41">
        <v>101</v>
      </c>
      <c r="Q316" s="10"/>
      <c r="R316" s="2"/>
      <c r="S316" s="10"/>
      <c r="T316" s="13"/>
      <c r="U316" s="7">
        <f t="array" ref="U316">IF(AND(A316&lt;&gt;"",OR(ISNUMBER(B316:I316))),SUM(B316:I316),"")</f>
        <v>45</v>
      </c>
      <c r="V316" s="10">
        <f t="array" ref="V316">IF(AND(A316&lt;&gt;"",OR(ISNUMBER(J316:O316))),SUM(J316:O316),"")</f>
        <v>86</v>
      </c>
      <c r="W316" s="10">
        <f t="array" ref="W316">IF(AND(A316&lt;&gt;"",OR(ISNUMBER(P316),ISNUMBER(Q316))),SUM(MAX(P316:Q316),Q316),"")</f>
        <v>101</v>
      </c>
      <c r="X316" s="10" t="str">
        <f t="array" ref="X316">IF(AND(A316&lt;&gt;"",OR(ISNUMBER(S316),ISNUMBER(T316))),SUM(S316,T316),"")</f>
        <v/>
      </c>
      <c r="Y316" s="13">
        <v>1</v>
      </c>
      <c r="Z316" s="13">
        <f>IF(A316&lt;&gt;"",SUM(U316:Y316),"")</f>
        <v>233</v>
      </c>
      <c r="AA316" s="27">
        <f>IF(A316&lt;&gt;"",(Z316+Normalize_To_Add)/(Point_Total_So_Far)*100,"")</f>
        <v>76.393442622950829</v>
      </c>
      <c r="AB316" s="10">
        <f>IF(A316&lt;&gt;"",RANK(AA316,All_Student_XC),"")</f>
        <v>431</v>
      </c>
      <c r="AC316" s="32" t="str">
        <f>IF(A316&lt;&gt;"",CHOOSE(10-MIN(9,TRUNC((AA316+0.5)/10)),"A","B","C","D","F","F","F","F","F","F"),"")</f>
        <v>C</v>
      </c>
      <c r="AD316" s="31" t="str">
        <f>IF(A316&lt;&gt;"",IF(OR(AA316+0.5&gt;=93,AA316+0.5&lt;60),"",IF(MOD(AA316+0.5,10)&gt;=7,"+",IF(MOD(AA316+0.5,10)&lt;3,"-",""))),"")</f>
        <v/>
      </c>
      <c r="AE316" s="32">
        <f>IF(A316&lt;&gt;"",SUM(W316:X316,$W$8:$X$8)/SUM($W$2:$X$2)*100,"")</f>
        <v>101</v>
      </c>
      <c r="AF316" s="32" t="str">
        <f>IF(A316&lt;&gt;"",CHOOSE(10-MIN(9,TRUNC((AE316+0.5)/10)),"A","B","C","D","F","F","F","F","F","F"),"")</f>
        <v>A</v>
      </c>
      <c r="AG316" s="32" t="str">
        <f>IF(A316&lt;&gt;"",IF(OR(AE316+0.5&gt;=93,AE316+0.5&lt;60),"",IF(MOD(AE316+0.5,10)&gt;=7,"+",IF(MOD(AE316+0.5,10)&lt;3,"-",""))),"")</f>
        <v/>
      </c>
      <c r="AH316" s="36">
        <f>IF(A316&lt;&gt;"",MIN(MAX(AA316,AE316),AA316+$AH$8,AE316+$AH$8),"")</f>
        <v>101</v>
      </c>
      <c r="AI316" s="32" t="str">
        <f>IF(A316&lt;&gt;"",CHOOSE(10-MIN(9,TRUNC((AH316+0.5)/10)),"A","B","C","D","F","F","F","F","F","F"),"")</f>
        <v>A</v>
      </c>
      <c r="AJ316" s="32" t="str">
        <f>IF(A316&lt;&gt;"",IF(OR(AH316+0.5&gt;=93,AH316+0.5&lt;60),"",IF(MOD(AH316+0.5,10)&gt;=7,"+",IF(MOD(AH316+0.5,10)&lt;3,"-",""))),"")</f>
        <v/>
      </c>
      <c r="AK316" s="71" t="b">
        <f>IF(A316&lt;&gt;"",OR(AI316&lt;&gt;AC316,AJ316&lt;&gt;AD316),"")</f>
        <v>1</v>
      </c>
      <c r="AL316" s="86">
        <f>IF(AND(A316&lt;&gt;"",U316&lt;&gt;""),SUM(U316,$AL$8)/$AL$2*100,"")</f>
        <v>60</v>
      </c>
      <c r="AM316" s="71">
        <f>IF(AND(A316&lt;&gt;"",V316&lt;&gt;""),SUM(V316,$AM$8)/$AM$2*100,"")</f>
        <v>66.153846153846146</v>
      </c>
      <c r="AN316" s="71">
        <f>IF(AND(A316&lt;&gt;"",ISNUMBER(P316),P316&gt;=0),SUM(P316,$AN$8)/$AN$2*100,"")</f>
        <v>101</v>
      </c>
      <c r="AO316" s="71" t="str">
        <f>IF(AND(A316&lt;&gt;"",ISNUMBER(Q316),Q316&gt;=0),SUM(Q316,$AO$8)/$AO$2*100,"")</f>
        <v/>
      </c>
      <c r="AP316" s="24" t="str">
        <f>IF(AND(A316&lt;&gt;"",R316&lt;&gt;""),SUM(R316,$AP$8)/$AP$2*100,"")</f>
        <v/>
      </c>
      <c r="AQ316" s="24">
        <f>IF(AND(A316&lt;&gt;"",ISNUMBER(W316),W316&gt;=0),SUM(W316,$AQ$8)/$AQ$2*100,"")</f>
        <v>101</v>
      </c>
      <c r="AR316" s="24" t="str">
        <f>IF(AND(A316&lt;&gt;"",T316&gt;0,ISNUMBER(T316)),SUM(T316,$AR$8)/$AR$2*100,"")</f>
        <v/>
      </c>
      <c r="AS316" s="24" t="str">
        <f>IF(AND(A316&lt;&gt;"",X316&lt;&gt;""),SUM(X316,$AS$8)/$AS$2*100,"")</f>
        <v/>
      </c>
      <c r="AT316" s="89">
        <f>IF(AND(A316&lt;&gt;"",OR(ISNUMBER(W316),ISNUMBER(X316))),SUM(W316:X316,$AT$8)/$AT$2*100,"")</f>
        <v>101</v>
      </c>
      <c r="AU316" s="24">
        <f>AA316</f>
        <v>76.393442622950829</v>
      </c>
      <c r="AV316" s="71"/>
      <c r="AW316" s="27">
        <f>IF(A316&lt;&gt;"",AE316-AA316,"")</f>
        <v>24.606557377049171</v>
      </c>
      <c r="AY316" s="27" t="b">
        <f>S316&gt;R316</f>
        <v>0</v>
      </c>
      <c r="BA316" s="27" t="e">
        <f>AND(AA316&gt;$BA$3,(W316+$W$8)/$W$2&lt;$BB$3,(X316+$X$8)/$X$2&lt;$BB$3)</f>
        <v>#VALUE!</v>
      </c>
      <c r="BB316" s="27" t="e">
        <f>AND(AA316&lt;$BA$3,AND(W316/$W$2&gt;$BB$3,X316/$X$2&gt;$BB$3))</f>
        <v>#VALUE!</v>
      </c>
      <c r="BC316" s="27" t="e">
        <f>AND(AA316&lt;$BA$3,OR(W316/$W$2&gt;$BB$3,X316/$X$2&gt;$BB$3))</f>
        <v>#VALUE!</v>
      </c>
      <c r="BE316" s="32" t="s">
        <v>84</v>
      </c>
    </row>
    <row r="317" spans="1:57" s="27" customFormat="1" ht="12.75" customHeight="1" x14ac:dyDescent="0.2">
      <c r="A317" s="10">
        <v>616086</v>
      </c>
      <c r="B317" s="2">
        <v>23</v>
      </c>
      <c r="C317" s="10">
        <v>23</v>
      </c>
      <c r="D317" s="10">
        <v>25</v>
      </c>
      <c r="E317" s="10"/>
      <c r="F317" s="10"/>
      <c r="G317" s="10"/>
      <c r="H317" s="10"/>
      <c r="I317" s="10"/>
      <c r="J317" s="2">
        <v>31</v>
      </c>
      <c r="K317" s="10">
        <v>51</v>
      </c>
      <c r="L317" s="10">
        <v>52</v>
      </c>
      <c r="M317" s="10"/>
      <c r="N317" s="93"/>
      <c r="O317" s="13"/>
      <c r="P317" s="10">
        <v>101</v>
      </c>
      <c r="Q317" s="10"/>
      <c r="R317" s="2"/>
      <c r="S317" s="10"/>
      <c r="T317" s="13"/>
      <c r="U317" s="7">
        <f t="array" ref="U317">IF(AND(A317&lt;&gt;"",OR(ISNUMBER(B317:I317))),SUM(B317:I317),"")</f>
        <v>71</v>
      </c>
      <c r="V317" s="10">
        <f t="array" ref="V317">IF(AND(A317&lt;&gt;"",OR(ISNUMBER(J317:O317))),SUM(J317:O317),"")</f>
        <v>134</v>
      </c>
      <c r="W317" s="10">
        <f t="array" ref="W317">IF(AND(A317&lt;&gt;"",OR(ISNUMBER(P317),ISNUMBER(Q317))),SUM(MAX(P317:Q317),Q317),"")</f>
        <v>101</v>
      </c>
      <c r="X317" s="10" t="str">
        <f t="array" ref="X317">IF(AND(A317&lt;&gt;"",OR(ISNUMBER(S317),ISNUMBER(T317))),SUM(S317,T317),"")</f>
        <v/>
      </c>
      <c r="Y317" s="13">
        <v>1</v>
      </c>
      <c r="Z317" s="13">
        <f>IF(A317&lt;&gt;"",SUM(U317:Y317),"")</f>
        <v>307</v>
      </c>
      <c r="AA317" s="27">
        <f>IF(A317&lt;&gt;"",(Z317+Normalize_To_Add)/(Point_Total_So_Far)*100,"")</f>
        <v>100.65573770491802</v>
      </c>
      <c r="AB317" s="10">
        <f>IF(A317&lt;&gt;"",RANK(AA317,All_Student_XC),"")</f>
        <v>72</v>
      </c>
      <c r="AC317" s="32" t="str">
        <f>IF(A317&lt;&gt;"",CHOOSE(10-MIN(9,TRUNC((AA317+0.5)/10)),"A","B","C","D","F","F","F","F","F","F"),"")</f>
        <v>A</v>
      </c>
      <c r="AD317" s="31" t="str">
        <f>IF(A317&lt;&gt;"",IF(OR(AA317+0.5&gt;=93,AA317+0.5&lt;60),"",IF(MOD(AA317+0.5,10)&gt;=7,"+",IF(MOD(AA317+0.5,10)&lt;3,"-",""))),"")</f>
        <v/>
      </c>
      <c r="AE317" s="32">
        <f>IF(A317&lt;&gt;"",SUM(W317:X317,$W$8:$X$8)/SUM($W$2:$X$2)*100,"")</f>
        <v>101</v>
      </c>
      <c r="AF317" s="32" t="str">
        <f>IF(A317&lt;&gt;"",CHOOSE(10-MIN(9,TRUNC((AE317+0.5)/10)),"A","B","C","D","F","F","F","F","F","F"),"")</f>
        <v>A</v>
      </c>
      <c r="AG317" s="32" t="str">
        <f>IF(A317&lt;&gt;"",IF(OR(AE317+0.5&gt;=93,AE317+0.5&lt;60),"",IF(MOD(AE317+0.5,10)&gt;=7,"+",IF(MOD(AE317+0.5,10)&lt;3,"-",""))),"")</f>
        <v/>
      </c>
      <c r="AH317" s="36">
        <f>IF(A317&lt;&gt;"",MIN(MAX(AA317,AE317),AA317+$AH$8,AE317+$AH$8),"")</f>
        <v>101</v>
      </c>
      <c r="AI317" s="32" t="str">
        <f>IF(A317&lt;&gt;"",CHOOSE(10-MIN(9,TRUNC((AH317+0.5)/10)),"A","B","C","D","F","F","F","F","F","F"),"")</f>
        <v>A</v>
      </c>
      <c r="AJ317" s="32" t="str">
        <f>IF(A317&lt;&gt;"",IF(OR(AH317+0.5&gt;=93,AH317+0.5&lt;60),"",IF(MOD(AH317+0.5,10)&gt;=7,"+",IF(MOD(AH317+0.5,10)&lt;3,"-",""))),"")</f>
        <v/>
      </c>
      <c r="AK317" s="71" t="b">
        <f>IF(A317&lt;&gt;"",OR(AI317&lt;&gt;AC317,AJ317&lt;&gt;AD317),"")</f>
        <v>0</v>
      </c>
      <c r="AL317" s="86">
        <f>IF(AND(A317&lt;&gt;"",U317&lt;&gt;""),SUM(U317,$AL$8)/$AL$2*100,"")</f>
        <v>94.666666666666671</v>
      </c>
      <c r="AM317" s="71">
        <f>IF(AND(A317&lt;&gt;"",V317&lt;&gt;""),SUM(V317,$AM$8)/$AM$2*100,"")</f>
        <v>103.07692307692307</v>
      </c>
      <c r="AN317" s="71">
        <f>IF(AND(A317&lt;&gt;"",ISNUMBER(P317),P317&gt;=0),SUM(P317,$AN$8)/$AN$2*100,"")</f>
        <v>101</v>
      </c>
      <c r="AO317" s="71" t="str">
        <f>IF(AND(A317&lt;&gt;"",ISNUMBER(Q317),Q317&gt;=0),SUM(Q317,$AO$8)/$AO$2*100,"")</f>
        <v/>
      </c>
      <c r="AP317" s="24" t="str">
        <f>IF(AND(A317&lt;&gt;"",R317&lt;&gt;""),SUM(R317,$AP$8)/$AP$2*100,"")</f>
        <v/>
      </c>
      <c r="AQ317" s="24">
        <f>IF(AND(A317&lt;&gt;"",ISNUMBER(W317),W317&gt;=0),SUM(W317,$AQ$8)/$AQ$2*100,"")</f>
        <v>101</v>
      </c>
      <c r="AR317" s="24" t="str">
        <f>IF(AND(A317&lt;&gt;"",T317&gt;0,ISNUMBER(T317)),SUM(T317,$AR$8)/$AR$2*100,"")</f>
        <v/>
      </c>
      <c r="AS317" s="24" t="str">
        <f>IF(AND(A317&lt;&gt;"",X317&lt;&gt;""),SUM(X317,$AS$8)/$AS$2*100,"")</f>
        <v/>
      </c>
      <c r="AT317" s="89">
        <f>IF(AND(A317&lt;&gt;"",OR(ISNUMBER(W317),ISNUMBER(X317))),SUM(W317:X317,$AT$8)/$AT$2*100,"")</f>
        <v>101</v>
      </c>
      <c r="AU317" s="24">
        <f>AA317</f>
        <v>100.65573770491802</v>
      </c>
      <c r="AV317" s="71"/>
      <c r="AW317" s="27">
        <f>IF(A317&lt;&gt;"",AE317-AA317,"")</f>
        <v>0.34426229508197537</v>
      </c>
      <c r="AY317" s="27" t="b">
        <f>S317&gt;R317</f>
        <v>0</v>
      </c>
      <c r="BA317" s="27" t="e">
        <f>AND(AA317&gt;$BA$3,(W317+$W$8)/$W$2&lt;$BB$3,(X317+$X$8)/$X$2&lt;$BB$3)</f>
        <v>#VALUE!</v>
      </c>
      <c r="BB317" s="27" t="e">
        <f>AND(AA317&lt;$BA$3,AND(W317/$W$2&gt;$BB$3,X317/$X$2&gt;$BB$3))</f>
        <v>#VALUE!</v>
      </c>
      <c r="BC317" s="27" t="e">
        <f>AND(AA317&lt;$BA$3,OR(W317/$W$2&gt;$BB$3,X317/$X$2&gt;$BB$3))</f>
        <v>#VALUE!</v>
      </c>
      <c r="BE317" s="32" t="s">
        <v>84</v>
      </c>
    </row>
    <row r="318" spans="1:57" s="27" customFormat="1" ht="12.75" customHeight="1" x14ac:dyDescent="0.2">
      <c r="A318" s="10">
        <v>619070</v>
      </c>
      <c r="B318" s="55">
        <v>11</v>
      </c>
      <c r="C318" s="10">
        <v>7</v>
      </c>
      <c r="D318" s="10">
        <v>12</v>
      </c>
      <c r="E318" s="10"/>
      <c r="F318" s="10"/>
      <c r="G318" s="3"/>
      <c r="H318" s="10"/>
      <c r="I318" s="10"/>
      <c r="J318" s="2">
        <v>13</v>
      </c>
      <c r="K318" s="10">
        <v>-1</v>
      </c>
      <c r="L318" s="10">
        <v>26</v>
      </c>
      <c r="M318" s="10"/>
      <c r="N318" s="93"/>
      <c r="O318" s="12"/>
      <c r="P318" s="10">
        <v>101</v>
      </c>
      <c r="Q318" s="41"/>
      <c r="R318" s="2"/>
      <c r="S318" s="10"/>
      <c r="T318" s="13"/>
      <c r="U318" s="7">
        <f t="array" ref="U318">IF(AND(A318&lt;&gt;"",OR(ISNUMBER(B318:I318))),SUM(B318:I318),"")</f>
        <v>30</v>
      </c>
      <c r="V318" s="10">
        <f t="array" ref="V318">IF(AND(A318&lt;&gt;"",OR(ISNUMBER(J318:O318))),SUM(J318:O318),"")</f>
        <v>38</v>
      </c>
      <c r="W318" s="10">
        <f t="array" ref="W318">IF(AND(A318&lt;&gt;"",OR(ISNUMBER(P318),ISNUMBER(Q318))),SUM(MAX(P318:Q318),Q318),"")</f>
        <v>101</v>
      </c>
      <c r="X318" s="10" t="str">
        <f t="array" ref="X318">IF(AND(A318&lt;&gt;"",OR(ISNUMBER(S318),ISNUMBER(T318))),SUM(S318,T318),"")</f>
        <v/>
      </c>
      <c r="Y318" s="13">
        <v>1</v>
      </c>
      <c r="Z318" s="13">
        <f>IF(A318&lt;&gt;"",SUM(U318:Y318),"")</f>
        <v>170</v>
      </c>
      <c r="AA318" s="27">
        <f>IF(A318&lt;&gt;"",(Z318+Normalize_To_Add)/(Point_Total_So_Far)*100,"")</f>
        <v>55.737704918032783</v>
      </c>
      <c r="AB318" s="10">
        <f>IF(A318&lt;&gt;"",RANK(AA318,All_Student_XC),"")</f>
        <v>487</v>
      </c>
      <c r="AC318" s="32" t="str">
        <f>IF(A318&lt;&gt;"",CHOOSE(10-MIN(9,TRUNC((AA318+0.5)/10)),"A","B","C","D","F","F","F","F","F","F"),"")</f>
        <v>F</v>
      </c>
      <c r="AD318" s="32" t="str">
        <f>IF(A318&lt;&gt;"",IF(OR(AA318+0.5&gt;=93,AA318+0.5&lt;60),"",IF(MOD(AA318+0.5,10)&gt;=7,"+",IF(MOD(AA318+0.5,10)&lt;3,"-",""))),"")</f>
        <v/>
      </c>
      <c r="AE318" s="32">
        <f>IF(A318&lt;&gt;"",SUM(W318:X318,$W$8:$X$8)/SUM($W$2:$X$2)*100,"")</f>
        <v>101</v>
      </c>
      <c r="AF318" s="32" t="str">
        <f>IF(A318&lt;&gt;"",CHOOSE(10-MIN(9,TRUNC((AE318+0.5)/10)),"A","B","C","D","F","F","F","F","F","F"),"")</f>
        <v>A</v>
      </c>
      <c r="AG318" s="32" t="str">
        <f>IF(A318&lt;&gt;"",IF(OR(AE318+0.5&gt;=93,AE318+0.5&lt;60),"",IF(MOD(AE318+0.5,10)&gt;=7,"+",IF(MOD(AE318+0.5,10)&lt;3,"-",""))),"")</f>
        <v/>
      </c>
      <c r="AH318" s="36">
        <f>IF(A318&lt;&gt;"",MIN(MAX(AA318,AE318),AA318+$AH$8,AE318+$AH$8),"")</f>
        <v>101</v>
      </c>
      <c r="AI318" s="32" t="str">
        <f>IF(A318&lt;&gt;"",CHOOSE(10-MIN(9,TRUNC((AH318+0.5)/10)),"A","B","C","D","F","F","F","F","F","F"),"")</f>
        <v>A</v>
      </c>
      <c r="AJ318" s="32" t="str">
        <f>IF(A318&lt;&gt;"",IF(OR(AH318+0.5&gt;=93,AH318+0.5&lt;60),"",IF(MOD(AH318+0.5,10)&gt;=7,"+",IF(MOD(AH318+0.5,10)&lt;3,"-",""))),"")</f>
        <v/>
      </c>
      <c r="AK318" s="32" t="b">
        <f>IF(A318&lt;&gt;"",OR(AI318&lt;&gt;AC318,AJ318&lt;&gt;AD318),"")</f>
        <v>1</v>
      </c>
      <c r="AL318" s="84">
        <f>IF(AND(A318&lt;&gt;"",U318&lt;&gt;""),SUM(U318,$AL$8)/$AL$2*100,"")</f>
        <v>40</v>
      </c>
      <c r="AM318" s="24">
        <f>IF(AND(A318&lt;&gt;"",V318&lt;&gt;""),SUM(V318,$AM$8)/$AM$2*100,"")</f>
        <v>29.230769230769234</v>
      </c>
      <c r="AN318" s="24">
        <f>IF(AND(A318&lt;&gt;"",ISNUMBER(P318),P318&gt;=0),SUM(P318,$AN$8)/$AN$2*100,"")</f>
        <v>101</v>
      </c>
      <c r="AO318" s="24" t="str">
        <f>IF(AND(A318&lt;&gt;"",ISNUMBER(Q318),Q318&gt;=0),SUM(Q318,$AO$8)/$AO$2*100,"")</f>
        <v/>
      </c>
      <c r="AP318" s="24" t="str">
        <f>IF(AND(A318&lt;&gt;"",R318&lt;&gt;""),SUM(R318,$AP$8)/$AP$2*100,"")</f>
        <v/>
      </c>
      <c r="AQ318" s="24">
        <f>IF(AND(A318&lt;&gt;"",ISNUMBER(W318),W318&gt;=0),SUM(W318,$AQ$8)/$AQ$2*100,"")</f>
        <v>101</v>
      </c>
      <c r="AR318" s="24" t="str">
        <f>IF(AND(A318&lt;&gt;"",T318&gt;0,ISNUMBER(T318)),SUM(T318,$AR$8)/$AR$2*100,"")</f>
        <v/>
      </c>
      <c r="AS318" s="24" t="str">
        <f>IF(AND(A318&lt;&gt;"",X318&lt;&gt;""),SUM(X318,$AS$8)/$AS$2*100,"")</f>
        <v/>
      </c>
      <c r="AT318" s="89">
        <f>IF(AND(A318&lt;&gt;"",OR(ISNUMBER(W318),ISNUMBER(X318))),SUM(W318:X318,$AT$8)/$AT$2*100,"")</f>
        <v>101</v>
      </c>
      <c r="AU318" s="24">
        <f>AA318</f>
        <v>55.737704918032783</v>
      </c>
      <c r="AV318" s="24"/>
      <c r="AW318" s="27">
        <f>IF(A318&lt;&gt;"",AE318-AA318,"")</f>
        <v>45.262295081967217</v>
      </c>
      <c r="AY318" s="27" t="b">
        <f>S318&gt;R318</f>
        <v>0</v>
      </c>
      <c r="BA318" s="27" t="e">
        <f>AND(AA318&gt;$BA$3,(W318+$W$8)/$W$2&lt;$BB$3,(X318+$X$8)/$X$2&lt;$BB$3)</f>
        <v>#VALUE!</v>
      </c>
      <c r="BB318" s="27" t="e">
        <f>AND(AA318&lt;$BA$3,AND(W318/$W$2&gt;$BB$3,X318/$X$2&gt;$BB$3))</f>
        <v>#VALUE!</v>
      </c>
      <c r="BC318" s="27" t="e">
        <f>AND(AA318&lt;$BA$3,OR(W318/$W$2&gt;$BB$3,X318/$X$2&gt;$BB$3))</f>
        <v>#VALUE!</v>
      </c>
      <c r="BE318" s="32" t="s">
        <v>85</v>
      </c>
    </row>
    <row r="319" spans="1:57" s="27" customFormat="1" ht="12.75" customHeight="1" x14ac:dyDescent="0.2">
      <c r="A319" s="10">
        <v>619203</v>
      </c>
      <c r="B319" s="2">
        <v>24</v>
      </c>
      <c r="C319" s="10">
        <v>23</v>
      </c>
      <c r="D319" s="10">
        <v>25</v>
      </c>
      <c r="E319" s="10"/>
      <c r="F319" s="10"/>
      <c r="G319" s="10"/>
      <c r="H319" s="10"/>
      <c r="I319" s="10"/>
      <c r="J319" s="2">
        <v>31</v>
      </c>
      <c r="K319" s="10">
        <v>52</v>
      </c>
      <c r="L319" s="10">
        <v>52</v>
      </c>
      <c r="M319" s="56"/>
      <c r="N319" s="93"/>
      <c r="O319" s="13"/>
      <c r="P319" s="10">
        <v>101</v>
      </c>
      <c r="Q319" s="10"/>
      <c r="R319" s="2"/>
      <c r="S319" s="10"/>
      <c r="T319" s="13"/>
      <c r="U319" s="7">
        <f t="array" ref="U319">IF(AND(A319&lt;&gt;"",OR(ISNUMBER(B319:I319))),SUM(B319:I319),"")</f>
        <v>72</v>
      </c>
      <c r="V319" s="10">
        <f t="array" ref="V319">IF(AND(A319&lt;&gt;"",OR(ISNUMBER(J319:O319))),SUM(J319:O319),"")</f>
        <v>135</v>
      </c>
      <c r="W319" s="10">
        <f t="array" ref="W319">IF(AND(A319&lt;&gt;"",OR(ISNUMBER(P319),ISNUMBER(Q319))),SUM(MAX(P319:Q319),Q319),"")</f>
        <v>101</v>
      </c>
      <c r="X319" s="10" t="str">
        <f t="array" ref="X319">IF(AND(A319&lt;&gt;"",OR(ISNUMBER(S319),ISNUMBER(T319))),SUM(S319,T319),"")</f>
        <v/>
      </c>
      <c r="Y319" s="13">
        <v>1</v>
      </c>
      <c r="Z319" s="13">
        <f>IF(A319&lt;&gt;"",SUM(U319:Y319),"")</f>
        <v>309</v>
      </c>
      <c r="AA319" s="27">
        <f>IF(A319&lt;&gt;"",(Z319+Normalize_To_Add)/(Point_Total_So_Far)*100,"")</f>
        <v>101.31147540983608</v>
      </c>
      <c r="AB319" s="10">
        <f>IF(A319&lt;&gt;"",RANK(AA319,All_Student_XC),"")</f>
        <v>35</v>
      </c>
      <c r="AC319" s="32" t="str">
        <f>IF(A319&lt;&gt;"",CHOOSE(10-MIN(9,TRUNC((AA319+0.5)/10)),"A","B","C","D","F","F","F","F","F","F"),"")</f>
        <v>A</v>
      </c>
      <c r="AD319" s="31" t="str">
        <f>IF(A319&lt;&gt;"",IF(OR(AA319+0.5&gt;=93,AA319+0.5&lt;60),"",IF(MOD(AA319+0.5,10)&gt;=7,"+",IF(MOD(AA319+0.5,10)&lt;3,"-",""))),"")</f>
        <v/>
      </c>
      <c r="AE319" s="32">
        <f>IF(A319&lt;&gt;"",SUM(W319:X319,$W$8:$X$8)/SUM($W$2:$X$2)*100,"")</f>
        <v>101</v>
      </c>
      <c r="AF319" s="32" t="str">
        <f>IF(A319&lt;&gt;"",CHOOSE(10-MIN(9,TRUNC((AE319+0.5)/10)),"A","B","C","D","F","F","F","F","F","F"),"")</f>
        <v>A</v>
      </c>
      <c r="AG319" s="32" t="str">
        <f>IF(A319&lt;&gt;"",IF(OR(AE319+0.5&gt;=93,AE319+0.5&lt;60),"",IF(MOD(AE319+0.5,10)&gt;=7,"+",IF(MOD(AE319+0.5,10)&lt;3,"-",""))),"")</f>
        <v/>
      </c>
      <c r="AH319" s="36">
        <f>IF(A319&lt;&gt;"",MIN(MAX(AA319,AE319),AA319+$AH$8,AE319+$AH$8),"")</f>
        <v>101.31147540983608</v>
      </c>
      <c r="AI319" s="32" t="str">
        <f>IF(A319&lt;&gt;"",CHOOSE(10-MIN(9,TRUNC((AH319+0.5)/10)),"A","B","C","D","F","F","F","F","F","F"),"")</f>
        <v>A</v>
      </c>
      <c r="AJ319" s="32" t="str">
        <f>IF(A319&lt;&gt;"",IF(OR(AH319+0.5&gt;=93,AH319+0.5&lt;60),"",IF(MOD(AH319+0.5,10)&gt;=7,"+",IF(MOD(AH319+0.5,10)&lt;3,"-",""))),"")</f>
        <v/>
      </c>
      <c r="AK319" s="71" t="b">
        <f>IF(A319&lt;&gt;"",OR(AI319&lt;&gt;AC319,AJ319&lt;&gt;AD319),"")</f>
        <v>0</v>
      </c>
      <c r="AL319" s="86">
        <f>IF(AND(A319&lt;&gt;"",U319&lt;&gt;""),SUM(U319,$AL$8)/$AL$2*100,"")</f>
        <v>96</v>
      </c>
      <c r="AM319" s="71">
        <f>IF(AND(A319&lt;&gt;"",V319&lt;&gt;""),SUM(V319,$AM$8)/$AM$2*100,"")</f>
        <v>103.84615384615385</v>
      </c>
      <c r="AN319" s="71">
        <f>IF(AND(A319&lt;&gt;"",ISNUMBER(P319),P319&gt;=0),SUM(P319,$AN$8)/$AN$2*100,"")</f>
        <v>101</v>
      </c>
      <c r="AO319" s="71" t="str">
        <f>IF(AND(A319&lt;&gt;"",ISNUMBER(Q319),Q319&gt;=0),SUM(Q319,$AO$8)/$AO$2*100,"")</f>
        <v/>
      </c>
      <c r="AP319" s="24" t="str">
        <f>IF(AND(A319&lt;&gt;"",R319&lt;&gt;""),SUM(R319,$AP$8)/$AP$2*100,"")</f>
        <v/>
      </c>
      <c r="AQ319" s="24">
        <f>IF(AND(A319&lt;&gt;"",ISNUMBER(W319),W319&gt;=0),SUM(W319,$AQ$8)/$AQ$2*100,"")</f>
        <v>101</v>
      </c>
      <c r="AR319" s="24" t="str">
        <f>IF(AND(A319&lt;&gt;"",T319&gt;0,ISNUMBER(T319)),SUM(T319,$AR$8)/$AR$2*100,"")</f>
        <v/>
      </c>
      <c r="AS319" s="24" t="str">
        <f>IF(AND(A319&lt;&gt;"",X319&lt;&gt;""),SUM(X319,$AS$8)/$AS$2*100,"")</f>
        <v/>
      </c>
      <c r="AT319" s="89">
        <f>IF(AND(A319&lt;&gt;"",OR(ISNUMBER(W319),ISNUMBER(X319))),SUM(W319:X319,$AT$8)/$AT$2*100,"")</f>
        <v>101</v>
      </c>
      <c r="AU319" s="24">
        <f>AA319</f>
        <v>101.31147540983608</v>
      </c>
      <c r="AV319" s="71"/>
      <c r="AW319" s="27">
        <f>IF(A319&lt;&gt;"",AE319-AA319,"")</f>
        <v>-0.31147540983607769</v>
      </c>
      <c r="AY319" s="27" t="b">
        <f>S319&gt;R319</f>
        <v>0</v>
      </c>
      <c r="BA319" s="27" t="e">
        <f>AND(AA319&gt;$BA$3,(W319+$W$8)/$W$2&lt;$BB$3,(X319+$X$8)/$X$2&lt;$BB$3)</f>
        <v>#VALUE!</v>
      </c>
      <c r="BB319" s="27" t="e">
        <f>AND(AA319&lt;$BA$3,AND(W319/$W$2&gt;$BB$3,X319/$X$2&gt;$BB$3))</f>
        <v>#VALUE!</v>
      </c>
      <c r="BC319" s="27" t="e">
        <f>AND(AA319&lt;$BA$3,OR(W319/$W$2&gt;$BB$3,X319/$X$2&gt;$BB$3))</f>
        <v>#VALUE!</v>
      </c>
      <c r="BE319" s="32" t="s">
        <v>84</v>
      </c>
    </row>
    <row r="320" spans="1:57" s="27" customFormat="1" ht="12.75" customHeight="1" x14ac:dyDescent="0.2">
      <c r="A320" s="10">
        <v>620332</v>
      </c>
      <c r="B320" s="2">
        <v>20</v>
      </c>
      <c r="C320" s="10">
        <v>20</v>
      </c>
      <c r="D320" s="10">
        <v>20</v>
      </c>
      <c r="E320" s="10"/>
      <c r="F320" s="10"/>
      <c r="G320" s="3"/>
      <c r="H320" s="10"/>
      <c r="I320" s="10"/>
      <c r="J320" s="2">
        <v>29</v>
      </c>
      <c r="K320" s="10">
        <v>51</v>
      </c>
      <c r="L320" s="10">
        <v>50</v>
      </c>
      <c r="M320" s="10"/>
      <c r="N320" s="10"/>
      <c r="O320" s="12"/>
      <c r="P320" s="10">
        <v>78</v>
      </c>
      <c r="Q320" s="41"/>
      <c r="R320" s="2"/>
      <c r="S320" s="10"/>
      <c r="T320" s="13"/>
      <c r="U320" s="35">
        <f t="array" ref="U320">IF(AND(A320&lt;&gt;"",OR(ISNUMBER(B320:I320))),SUM(B320:I320),"")</f>
        <v>60</v>
      </c>
      <c r="V320" s="10">
        <f t="array" ref="V320">IF(AND(A320&lt;&gt;"",OR(ISNUMBER(J320:O320))),SUM(J320:O320),"")</f>
        <v>130</v>
      </c>
      <c r="W320" s="10">
        <f t="array" ref="W320">IF(AND(A320&lt;&gt;"",OR(ISNUMBER(P320),ISNUMBER(Q320))),SUM(MAX(P320:Q320),Q320),"")</f>
        <v>78</v>
      </c>
      <c r="X320" s="10" t="str">
        <f t="array" ref="X320">IF(AND(A320&lt;&gt;"",OR(ISNUMBER(S320),ISNUMBER(T320))),SUM(S320,T320),"")</f>
        <v/>
      </c>
      <c r="Y320" s="13">
        <v>1</v>
      </c>
      <c r="Z320" s="13">
        <f>IF(A320&lt;&gt;"",SUM(U320:Y320),"")</f>
        <v>269</v>
      </c>
      <c r="AA320" s="27">
        <f>IF(A320&lt;&gt;"",(Z320+Normalize_To_Add)/(Point_Total_So_Far)*100,"")</f>
        <v>88.196721311475414</v>
      </c>
      <c r="AB320" s="10">
        <f>IF(A320&lt;&gt;"",RANK(AA320,All_Student_XC),"")</f>
        <v>355</v>
      </c>
      <c r="AC320" s="32" t="str">
        <f>IF(A320&lt;&gt;"",CHOOSE(10-MIN(9,TRUNC((AA320+0.5)/10)),"A","B","C","D","F","F","F","F","F","F"),"")</f>
        <v>B</v>
      </c>
      <c r="AD320" s="32" t="str">
        <f>IF(A320&lt;&gt;"",IF(OR(AA320+0.5&gt;=93,AA320+0.5&lt;60),"",IF(MOD(AA320+0.5,10)&gt;=7,"+",IF(MOD(AA320+0.5,10)&lt;3,"-",""))),"")</f>
        <v>+</v>
      </c>
      <c r="AE320" s="32">
        <f>IF(A320&lt;&gt;"",SUM(W320:X320,$W$8:$X$8)/SUM($W$2:$X$2)*100,"")</f>
        <v>78</v>
      </c>
      <c r="AF320" s="32" t="str">
        <f>IF(A320&lt;&gt;"",CHOOSE(10-MIN(9,TRUNC((AE320+0.5)/10)),"A","B","C","D","F","F","F","F","F","F"),"")</f>
        <v>C</v>
      </c>
      <c r="AG320" s="32" t="str">
        <f>IF(A320&lt;&gt;"",IF(OR(AE320+0.5&gt;=93,AE320+0.5&lt;60),"",IF(MOD(AE320+0.5,10)&gt;=7,"+",IF(MOD(AE320+0.5,10)&lt;3,"-",""))),"")</f>
        <v>+</v>
      </c>
      <c r="AH320" s="36">
        <f>IF(A320&lt;&gt;"",MIN(MAX(AA320,AE320),AA320+$AH$8,AE320+$AH$8),"")</f>
        <v>88.196721311475414</v>
      </c>
      <c r="AI320" s="32" t="str">
        <f>IF(A320&lt;&gt;"",CHOOSE(10-MIN(9,TRUNC((AH320+0.5)/10)),"A","B","C","D","F","F","F","F","F","F"),"")</f>
        <v>B</v>
      </c>
      <c r="AJ320" s="32" t="str">
        <f>IF(A320&lt;&gt;"",IF(OR(AH320+0.5&gt;=93,AH320+0.5&lt;60),"",IF(MOD(AH320+0.5,10)&gt;=7,"+",IF(MOD(AH320+0.5,10)&lt;3,"-",""))),"")</f>
        <v>+</v>
      </c>
      <c r="AK320" s="32" t="b">
        <f>IF(A320&lt;&gt;"",OR(AI320&lt;&gt;AC320,AJ320&lt;&gt;AD320),"")</f>
        <v>0</v>
      </c>
      <c r="AL320" s="84">
        <f>IF(AND(A320&lt;&gt;"",U320&lt;&gt;""),SUM(U320,$AL$8)/$AL$2*100,"")</f>
        <v>80</v>
      </c>
      <c r="AM320" s="24">
        <f>IF(AND(A320&lt;&gt;"",V320&lt;&gt;""),SUM(V320,$AM$8)/$AM$2*100,"")</f>
        <v>100</v>
      </c>
      <c r="AN320" s="24">
        <f>IF(AND(A320&lt;&gt;"",ISNUMBER(P320),P320&gt;=0),SUM(P320,$AN$8)/$AN$2*100,"")</f>
        <v>78</v>
      </c>
      <c r="AO320" s="24" t="str">
        <f>IF(AND(A320&lt;&gt;"",ISNUMBER(Q320),Q320&gt;=0),SUM(Q320,$AO$8)/$AO$2*100,"")</f>
        <v/>
      </c>
      <c r="AP320" s="24" t="str">
        <f>IF(AND(A320&lt;&gt;"",R320&lt;&gt;""),SUM(R320,$AP$8)/$AP$2*100,"")</f>
        <v/>
      </c>
      <c r="AQ320" s="24">
        <f>IF(AND(A320&lt;&gt;"",ISNUMBER(W320),W320&gt;=0),SUM(W320,$AQ$8)/$AQ$2*100,"")</f>
        <v>78</v>
      </c>
      <c r="AR320" s="24" t="str">
        <f>IF(AND(A320&lt;&gt;"",T320&gt;0,ISNUMBER(T320)),SUM(T320,$AR$8)/$AR$2*100,"")</f>
        <v/>
      </c>
      <c r="AS320" s="24" t="str">
        <f>IF(AND(A320&lt;&gt;"",X320&lt;&gt;""),SUM(X320,$AS$8)/$AS$2*100,"")</f>
        <v/>
      </c>
      <c r="AT320" s="89">
        <f>IF(AND(A320&lt;&gt;"",OR(ISNUMBER(W320),ISNUMBER(X320))),SUM(W320:X320,$AT$8)/$AT$2*100,"")</f>
        <v>78</v>
      </c>
      <c r="AU320" s="24">
        <f>AA320</f>
        <v>88.196721311475414</v>
      </c>
      <c r="AV320" s="24"/>
      <c r="AW320" s="27">
        <f>IF(A320&lt;&gt;"",AE320-AA320,"")</f>
        <v>-10.196721311475414</v>
      </c>
      <c r="AY320" s="27" t="b">
        <f>S320&gt;R320</f>
        <v>0</v>
      </c>
      <c r="BA320" s="27" t="e">
        <f>AND(AA320&gt;$BA$3,(W320+$W$8)/$W$2&lt;$BB$3,(X320+$X$8)/$X$2&lt;$BB$3)</f>
        <v>#VALUE!</v>
      </c>
      <c r="BB320" s="27" t="e">
        <f>AND(AA320&lt;$BA$3,AND(W320/$W$2&gt;$BB$3,X320/$X$2&gt;$BB$3))</f>
        <v>#VALUE!</v>
      </c>
      <c r="BC320" s="27" t="e">
        <f>AND(AA320&lt;$BA$3,OR(W320/$W$2&gt;$BB$3,X320/$X$2&gt;$BB$3))</f>
        <v>#VALUE!</v>
      </c>
      <c r="BE320" s="32">
        <v>32</v>
      </c>
    </row>
    <row r="321" spans="1:61" s="27" customFormat="1" ht="12.75" customHeight="1" x14ac:dyDescent="0.2">
      <c r="A321" s="10">
        <v>623172</v>
      </c>
      <c r="B321" s="2">
        <v>22</v>
      </c>
      <c r="C321" s="10">
        <v>11</v>
      </c>
      <c r="D321" s="10">
        <v>13</v>
      </c>
      <c r="E321" s="10"/>
      <c r="F321" s="10"/>
      <c r="G321" s="10"/>
      <c r="H321" s="10"/>
      <c r="I321" s="10"/>
      <c r="J321" s="2">
        <v>32</v>
      </c>
      <c r="K321" s="10">
        <v>43</v>
      </c>
      <c r="L321" s="10">
        <v>40</v>
      </c>
      <c r="M321" s="10"/>
      <c r="N321" s="93"/>
      <c r="O321" s="13"/>
      <c r="P321" s="10">
        <v>60</v>
      </c>
      <c r="Q321" s="10"/>
      <c r="R321" s="2"/>
      <c r="S321" s="10"/>
      <c r="T321" s="13"/>
      <c r="U321" s="7">
        <f t="array" ref="U321">IF(AND(A321&lt;&gt;"",OR(ISNUMBER(B321:I321))),SUM(B321:I321),"")</f>
        <v>46</v>
      </c>
      <c r="V321" s="10">
        <f t="array" ref="V321">IF(AND(A321&lt;&gt;"",OR(ISNUMBER(J321:O321))),SUM(J321:O321),"")</f>
        <v>115</v>
      </c>
      <c r="W321" s="10">
        <f t="array" ref="W321">IF(AND(A321&lt;&gt;"",OR(ISNUMBER(P321),ISNUMBER(Q321))),SUM(MAX(P321:Q321),Q321),"")</f>
        <v>60</v>
      </c>
      <c r="X321" s="10" t="str">
        <f t="array" ref="X321">IF(AND(A321&lt;&gt;"",OR(ISNUMBER(S321),ISNUMBER(T321))),SUM(S321,T321),"")</f>
        <v/>
      </c>
      <c r="Y321" s="13">
        <v>1</v>
      </c>
      <c r="Z321" s="13">
        <f>IF(A321&lt;&gt;"",SUM(U321:Y321),"")</f>
        <v>222</v>
      </c>
      <c r="AA321" s="27">
        <f>IF(A321&lt;&gt;"",(Z321+Normalize_To_Add)/(Point_Total_So_Far)*100,"")</f>
        <v>72.786885245901644</v>
      </c>
      <c r="AB321" s="10">
        <f>IF(A321&lt;&gt;"",RANK(AA321,All_Student_XC),"")</f>
        <v>444</v>
      </c>
      <c r="AC321" s="32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/>
      </c>
      <c r="AE321" s="32">
        <f>IF(A321&lt;&gt;"",SUM(W321:X321,$W$8:$X$8)/SUM($W$2:$X$2)*100,"")</f>
        <v>60</v>
      </c>
      <c r="AF321" s="32" t="str">
        <f>IF(A321&lt;&gt;"",CHOOSE(10-MIN(9,TRUNC((AE321+0.5)/10)),"A","B","C","D","F","F","F","F","F","F"),"")</f>
        <v>D</v>
      </c>
      <c r="AG321" s="32" t="str">
        <f>IF(A321&lt;&gt;"",IF(OR(AE321+0.5&gt;=93,AE321+0.5&lt;60),"",IF(MOD(AE321+0.5,10)&gt;=7,"+",IF(MOD(AE321+0.5,10)&lt;3,"-",""))),"")</f>
        <v>-</v>
      </c>
      <c r="AH321" s="36">
        <f>IF(A321&lt;&gt;"",MIN(MAX(AA321,AE321),AA321+$AH$8,AE321+$AH$8),"")</f>
        <v>72.786885245901644</v>
      </c>
      <c r="AI321" s="32" t="str">
        <f>IF(A321&lt;&gt;"",CHOOSE(10-MIN(9,TRUNC((AH321+0.5)/10)),"A","B","C","D","F","F","F","F","F","F"),"")</f>
        <v>C</v>
      </c>
      <c r="AJ321" s="32" t="str">
        <f>IF(A321&lt;&gt;"",IF(OR(AH321+0.5&gt;=93,AH321+0.5&lt;60),"",IF(MOD(AH321+0.5,10)&gt;=7,"+",IF(MOD(AH321+0.5,10)&lt;3,"-",""))),"")</f>
        <v/>
      </c>
      <c r="AK321" s="71" t="b">
        <f>IF(A321&lt;&gt;"",OR(AI321&lt;&gt;AC321,AJ321&lt;&gt;AD321),"")</f>
        <v>0</v>
      </c>
      <c r="AL321" s="86">
        <f>IF(AND(A321&lt;&gt;"",U321&lt;&gt;""),SUM(U321,$AL$8)/$AL$2*100,"")</f>
        <v>61.333333333333329</v>
      </c>
      <c r="AM321" s="71">
        <f>IF(AND(A321&lt;&gt;"",V321&lt;&gt;""),SUM(V321,$AM$8)/$AM$2*100,"")</f>
        <v>88.461538461538453</v>
      </c>
      <c r="AN321" s="71">
        <f>IF(AND(A321&lt;&gt;"",ISNUMBER(P321),P321&gt;=0),SUM(P321,$AN$8)/$AN$2*100,"")</f>
        <v>60</v>
      </c>
      <c r="AO321" s="71" t="str">
        <f>IF(AND(A321&lt;&gt;"",ISNUMBER(Q321),Q321&gt;=0),SUM(Q321,$AO$8)/$AO$2*100,"")</f>
        <v/>
      </c>
      <c r="AP321" s="24" t="str">
        <f>IF(AND(A321&lt;&gt;"",R321&lt;&gt;""),SUM(R321,$AP$8)/$AP$2*100,"")</f>
        <v/>
      </c>
      <c r="AQ321" s="24">
        <f>IF(AND(A321&lt;&gt;"",ISNUMBER(W321),W321&gt;=0),SUM(W321,$AQ$8)/$AQ$2*100,"")</f>
        <v>60</v>
      </c>
      <c r="AR321" s="24" t="str">
        <f>IF(AND(A321&lt;&gt;"",T321&gt;0,ISNUMBER(T321)),SUM(T321,$AR$8)/$AR$2*100,"")</f>
        <v/>
      </c>
      <c r="AS321" s="24" t="str">
        <f>IF(AND(A321&lt;&gt;"",X321&lt;&gt;""),SUM(X321,$AS$8)/$AS$2*100,"")</f>
        <v/>
      </c>
      <c r="AT321" s="89">
        <f>IF(AND(A321&lt;&gt;"",OR(ISNUMBER(W321),ISNUMBER(X321))),SUM(W321:X321,$AT$8)/$AT$2*100,"")</f>
        <v>60</v>
      </c>
      <c r="AU321" s="24">
        <f>AA321</f>
        <v>72.786885245901644</v>
      </c>
      <c r="AV321" s="71"/>
      <c r="AW321" s="27">
        <f>IF(A321&lt;&gt;"",AE321-AA321,"")</f>
        <v>-12.786885245901644</v>
      </c>
      <c r="AY321" s="27" t="b">
        <f>S321&gt;R321</f>
        <v>0</v>
      </c>
      <c r="BA321" s="27" t="e">
        <f>AND(AA321&gt;$BA$3,(W321+$W$8)/$W$2&lt;$BB$3,(X321+$X$8)/$X$2&lt;$BB$3)</f>
        <v>#VALUE!</v>
      </c>
      <c r="BB321" s="27" t="e">
        <f>AND(AA321&lt;$BA$3,AND(W321/$W$2&gt;$BB$3,X321/$X$2&gt;$BB$3))</f>
        <v>#VALUE!</v>
      </c>
      <c r="BC321" s="27" t="e">
        <f>AND(AA321&lt;$BA$3,OR(W321/$W$2&gt;$BB$3,X321/$X$2&gt;$BB$3))</f>
        <v>#VALUE!</v>
      </c>
      <c r="BE321" s="32" t="s">
        <v>85</v>
      </c>
    </row>
    <row r="322" spans="1:61" s="27" customFormat="1" ht="12.75" customHeight="1" x14ac:dyDescent="0.2">
      <c r="A322" s="10">
        <v>623203</v>
      </c>
      <c r="B322" s="2">
        <v>21</v>
      </c>
      <c r="C322" s="10">
        <v>20</v>
      </c>
      <c r="D322" s="10">
        <v>24</v>
      </c>
      <c r="E322" s="10"/>
      <c r="F322" s="10"/>
      <c r="G322" s="10"/>
      <c r="H322" s="10"/>
      <c r="I322" s="10"/>
      <c r="J322" s="2">
        <v>29</v>
      </c>
      <c r="K322" s="10">
        <v>43</v>
      </c>
      <c r="L322" s="10">
        <v>0</v>
      </c>
      <c r="M322" s="10"/>
      <c r="N322" s="93"/>
      <c r="O322" s="13"/>
      <c r="P322" s="10">
        <v>100</v>
      </c>
      <c r="Q322" s="10"/>
      <c r="R322" s="2"/>
      <c r="S322" s="10"/>
      <c r="T322" s="13"/>
      <c r="U322" s="7">
        <f t="array" ref="U322">IF(AND(A322&lt;&gt;"",OR(ISNUMBER(B322:I322))),SUM(B322:I322),"")</f>
        <v>65</v>
      </c>
      <c r="V322" s="10">
        <f t="array" ref="V322">IF(AND(A322&lt;&gt;"",OR(ISNUMBER(J322:O322))),SUM(J322:O322),"")</f>
        <v>72</v>
      </c>
      <c r="W322" s="10">
        <f t="array" ref="W322">IF(AND(A322&lt;&gt;"",OR(ISNUMBER(P322),ISNUMBER(Q322))),SUM(MAX(P322:Q322),Q322),"")</f>
        <v>100</v>
      </c>
      <c r="X322" s="10" t="str">
        <f t="array" ref="X322">IF(AND(A322&lt;&gt;"",OR(ISNUMBER(S322),ISNUMBER(T322))),SUM(S322,T322),"")</f>
        <v/>
      </c>
      <c r="Y322" s="13">
        <v>1</v>
      </c>
      <c r="Z322" s="13">
        <f>IF(A322&lt;&gt;"",SUM(U322:Y322),"")</f>
        <v>238</v>
      </c>
      <c r="AA322" s="27">
        <f>IF(A322&lt;&gt;"",(Z322+Normalize_To_Add)/(Point_Total_So_Far)*100,"")</f>
        <v>78.032786885245898</v>
      </c>
      <c r="AB322" s="10">
        <f>IF(A322&lt;&gt;"",RANK(AA322,All_Student_XC),"")</f>
        <v>423</v>
      </c>
      <c r="AC322" s="32" t="str">
        <f>IF(A322&lt;&gt;"",CHOOSE(10-MIN(9,TRUNC((AA322+0.5)/10)),"A","B","C","D","F","F","F","F","F","F"),"")</f>
        <v>C</v>
      </c>
      <c r="AD322" s="31" t="str">
        <f>IF(A322&lt;&gt;"",IF(OR(AA322+0.5&gt;=93,AA322+0.5&lt;60),"",IF(MOD(AA322+0.5,10)&gt;=7,"+",IF(MOD(AA322+0.5,10)&lt;3,"-",""))),"")</f>
        <v>+</v>
      </c>
      <c r="AE322" s="32">
        <f>IF(A322&lt;&gt;"",SUM(W322:X322,$W$8:$X$8)/SUM($W$2:$X$2)*100,"")</f>
        <v>100</v>
      </c>
      <c r="AF322" s="32" t="str">
        <f>IF(A322&lt;&gt;"",CHOOSE(10-MIN(9,TRUNC((AE322+0.5)/10)),"A","B","C","D","F","F","F","F","F","F"),"")</f>
        <v>A</v>
      </c>
      <c r="AG322" s="32" t="str">
        <f>IF(A322&lt;&gt;"",IF(OR(AE322+0.5&gt;=93,AE322+0.5&lt;60),"",IF(MOD(AE322+0.5,10)&gt;=7,"+",IF(MOD(AE322+0.5,10)&lt;3,"-",""))),"")</f>
        <v/>
      </c>
      <c r="AH322" s="36">
        <f>IF(A322&lt;&gt;"",MIN(MAX(AA322,AE322),AA322+$AH$8,AE322+$AH$8),"")</f>
        <v>100</v>
      </c>
      <c r="AI322" s="32" t="str">
        <f>IF(A322&lt;&gt;"",CHOOSE(10-MIN(9,TRUNC((AH322+0.5)/10)),"A","B","C","D","F","F","F","F","F","F"),"")</f>
        <v>A</v>
      </c>
      <c r="AJ322" s="32" t="str">
        <f>IF(A322&lt;&gt;"",IF(OR(AH322+0.5&gt;=93,AH322+0.5&lt;60),"",IF(MOD(AH322+0.5,10)&gt;=7,"+",IF(MOD(AH322+0.5,10)&lt;3,"-",""))),"")</f>
        <v/>
      </c>
      <c r="AK322" s="71" t="b">
        <f>IF(A322&lt;&gt;"",OR(AI322&lt;&gt;AC322,AJ322&lt;&gt;AD322),"")</f>
        <v>1</v>
      </c>
      <c r="AL322" s="86">
        <f>IF(AND(A322&lt;&gt;"",U322&lt;&gt;""),SUM(U322,$AL$8)/$AL$2*100,"")</f>
        <v>86.666666666666671</v>
      </c>
      <c r="AM322" s="71">
        <f>IF(AND(A322&lt;&gt;"",V322&lt;&gt;""),SUM(V322,$AM$8)/$AM$2*100,"")</f>
        <v>55.384615384615387</v>
      </c>
      <c r="AN322" s="71">
        <f>IF(AND(A322&lt;&gt;"",ISNUMBER(P322),P322&gt;=0),SUM(P322,$AN$8)/$AN$2*100,"")</f>
        <v>100</v>
      </c>
      <c r="AO322" s="71" t="str">
        <f>IF(AND(A322&lt;&gt;"",ISNUMBER(Q322),Q322&gt;=0),SUM(Q322,$AO$8)/$AO$2*100,"")</f>
        <v/>
      </c>
      <c r="AP322" s="24" t="str">
        <f>IF(AND(A322&lt;&gt;"",R322&lt;&gt;""),SUM(R322,$AP$8)/$AP$2*100,"")</f>
        <v/>
      </c>
      <c r="AQ322" s="24">
        <f>IF(AND(A322&lt;&gt;"",ISNUMBER(W322),W322&gt;=0),SUM(W322,$AQ$8)/$AQ$2*100,"")</f>
        <v>100</v>
      </c>
      <c r="AR322" s="24" t="str">
        <f>IF(AND(A322&lt;&gt;"",T322&gt;0,ISNUMBER(T322)),SUM(T322,$AR$8)/$AR$2*100,"")</f>
        <v/>
      </c>
      <c r="AS322" s="24" t="str">
        <f>IF(AND(A322&lt;&gt;"",X322&lt;&gt;""),SUM(X322,$AS$8)/$AS$2*100,"")</f>
        <v/>
      </c>
      <c r="AT322" s="89">
        <f>IF(AND(A322&lt;&gt;"",OR(ISNUMBER(W322),ISNUMBER(X322))),SUM(W322:X322,$AT$8)/$AT$2*100,"")</f>
        <v>100</v>
      </c>
      <c r="AU322" s="24">
        <f>AA322</f>
        <v>78.032786885245898</v>
      </c>
      <c r="AV322" s="71"/>
      <c r="AW322" s="27">
        <f>IF(A322&lt;&gt;"",AE322-AA322,"")</f>
        <v>21.967213114754102</v>
      </c>
      <c r="AY322" s="27" t="b">
        <f>S322&gt;R322</f>
        <v>0</v>
      </c>
      <c r="BA322" s="27" t="e">
        <f>AND(AA322&gt;$BA$3,(W322+$W$8)/$W$2&lt;$BB$3,(X322+$X$8)/$X$2&lt;$BB$3)</f>
        <v>#VALUE!</v>
      </c>
      <c r="BB322" s="27" t="e">
        <f>AND(AA322&lt;$BA$3,AND(W322/$W$2&gt;$BB$3,X322/$X$2&gt;$BB$3))</f>
        <v>#VALUE!</v>
      </c>
      <c r="BC322" s="27" t="e">
        <f>AND(AA322&lt;$BA$3,OR(W322/$W$2&gt;$BB$3,X322/$X$2&gt;$BB$3))</f>
        <v>#VALUE!</v>
      </c>
      <c r="BE322" s="32">
        <v>32</v>
      </c>
    </row>
    <row r="323" spans="1:61" s="27" customFormat="1" ht="12.75" customHeight="1" x14ac:dyDescent="0.2">
      <c r="A323" s="10">
        <v>623213</v>
      </c>
      <c r="B323" s="2">
        <v>16</v>
      </c>
      <c r="C323" s="10">
        <v>22</v>
      </c>
      <c r="D323" s="10">
        <v>25</v>
      </c>
      <c r="E323" s="10"/>
      <c r="F323" s="10"/>
      <c r="G323" s="3"/>
      <c r="H323" s="10"/>
      <c r="I323" s="10"/>
      <c r="J323" s="2">
        <v>32</v>
      </c>
      <c r="K323" s="10">
        <v>43</v>
      </c>
      <c r="L323" s="10">
        <v>39</v>
      </c>
      <c r="M323" s="10"/>
      <c r="N323" s="10"/>
      <c r="O323" s="12"/>
      <c r="P323" s="41">
        <v>101</v>
      </c>
      <c r="Q323" s="7"/>
      <c r="R323" s="2"/>
      <c r="S323" s="10"/>
      <c r="T323" s="13"/>
      <c r="U323" s="35">
        <f t="array" ref="U323">IF(AND(A323&lt;&gt;"",OR(ISNUMBER(B323:I323))),SUM(B323:I323),"")</f>
        <v>63</v>
      </c>
      <c r="V323" s="10">
        <f t="array" ref="V323">IF(AND(A323&lt;&gt;"",OR(ISNUMBER(J323:O323))),SUM(J323:O323),"")</f>
        <v>114</v>
      </c>
      <c r="W323" s="10">
        <f t="array" ref="W323">IF(AND(A323&lt;&gt;"",OR(ISNUMBER(P323),ISNUMBER(Q323))),SUM(MAX(P323:Q323),Q323),"")</f>
        <v>101</v>
      </c>
      <c r="X323" s="10" t="str">
        <f t="array" ref="X323">IF(AND(A323&lt;&gt;"",OR(ISNUMBER(S323),ISNUMBER(T323))),SUM(S323,T323),"")</f>
        <v/>
      </c>
      <c r="Y323" s="13">
        <v>1</v>
      </c>
      <c r="Z323" s="13">
        <f>IF(A323&lt;&gt;"",SUM(U323:Y323),"")</f>
        <v>279</v>
      </c>
      <c r="AA323" s="27">
        <f>IF(A323&lt;&gt;"",(Z323+Normalize_To_Add)/(Point_Total_So_Far)*100,"")</f>
        <v>91.475409836065566</v>
      </c>
      <c r="AB323" s="10">
        <f>IF(A323&lt;&gt;"",RANK(AA323,All_Student_XC),"")</f>
        <v>315</v>
      </c>
      <c r="AC323" s="32" t="str">
        <f>IF(A323&lt;&gt;"",CHOOSE(10-MIN(9,TRUNC((AA323+0.5)/10)),"A","B","C","D","F","F","F","F","F","F"),"")</f>
        <v>A</v>
      </c>
      <c r="AD323" s="32" t="str">
        <f>IF(A323&lt;&gt;"",IF(OR(AA323+0.5&gt;=93,AA323+0.5&lt;60),"",IF(MOD(AA323+0.5,10)&gt;=7,"+",IF(MOD(AA323+0.5,10)&lt;3,"-",""))),"")</f>
        <v>-</v>
      </c>
      <c r="AE323" s="32">
        <f>IF(A323&lt;&gt;"",SUM(W323:X323,$W$8:$X$8)/SUM($W$2:$X$2)*100,"")</f>
        <v>101</v>
      </c>
      <c r="AF323" s="32" t="str">
        <f>IF(A323&lt;&gt;"",CHOOSE(10-MIN(9,TRUNC((AE323+0.5)/10)),"A","B","C","D","F","F","F","F","F","F"),"")</f>
        <v>A</v>
      </c>
      <c r="AG323" s="32" t="str">
        <f>IF(A323&lt;&gt;"",IF(OR(AE323+0.5&gt;=93,AE323+0.5&lt;60),"",IF(MOD(AE323+0.5,10)&gt;=7,"+",IF(MOD(AE323+0.5,10)&lt;3,"-",""))),"")</f>
        <v/>
      </c>
      <c r="AH323" s="36">
        <f>IF(A323&lt;&gt;"",MIN(MAX(AA323,AE323),AA323+$AH$8,AE323+$AH$8),"")</f>
        <v>101</v>
      </c>
      <c r="AI323" s="32" t="str">
        <f>IF(A323&lt;&gt;"",CHOOSE(10-MIN(9,TRUNC((AH323+0.5)/10)),"A","B","C","D","F","F","F","F","F","F"),"")</f>
        <v>A</v>
      </c>
      <c r="AJ323" s="32" t="str">
        <f>IF(A323&lt;&gt;"",IF(OR(AH323+0.5&gt;=93,AH323+0.5&lt;60),"",IF(MOD(AH323+0.5,10)&gt;=7,"+",IF(MOD(AH323+0.5,10)&lt;3,"-",""))),"")</f>
        <v/>
      </c>
      <c r="AK323" s="32" t="b">
        <f>IF(A323&lt;&gt;"",OR(AI323&lt;&gt;AC323,AJ323&lt;&gt;AD323),"")</f>
        <v>1</v>
      </c>
      <c r="AL323" s="84">
        <f>IF(AND(A323&lt;&gt;"",U323&lt;&gt;""),SUM(U323,$AL$8)/$AL$2*100,"")</f>
        <v>84</v>
      </c>
      <c r="AM323" s="24">
        <f>IF(AND(A323&lt;&gt;"",V323&lt;&gt;""),SUM(V323,$AM$8)/$AM$2*100,"")</f>
        <v>87.692307692307693</v>
      </c>
      <c r="AN323" s="24">
        <f>IF(AND(A323&lt;&gt;"",ISNUMBER(P323),P323&gt;=0),SUM(P323,$AN$8)/$AN$2*100,"")</f>
        <v>101</v>
      </c>
      <c r="AO323" s="24" t="str">
        <f>IF(AND(A323&lt;&gt;"",ISNUMBER(Q323),Q323&gt;=0),SUM(Q323,$AO$8)/$AO$2*100,"")</f>
        <v/>
      </c>
      <c r="AP323" s="24" t="str">
        <f>IF(AND(A323&lt;&gt;"",R323&lt;&gt;""),SUM(R323,$AP$8)/$AP$2*100,"")</f>
        <v/>
      </c>
      <c r="AQ323" s="24">
        <f>IF(AND(A323&lt;&gt;"",ISNUMBER(W323),W323&gt;=0),SUM(W323,$AQ$8)/$AQ$2*100,"")</f>
        <v>101</v>
      </c>
      <c r="AR323" s="24" t="str">
        <f>IF(AND(A323&lt;&gt;"",T323&gt;0,ISNUMBER(T323)),SUM(T323,$AR$8)/$AR$2*100,"")</f>
        <v/>
      </c>
      <c r="AS323" s="24" t="str">
        <f>IF(AND(A323&lt;&gt;"",X323&lt;&gt;""),SUM(X323,$AS$8)/$AS$2*100,"")</f>
        <v/>
      </c>
      <c r="AT323" s="89">
        <f>IF(AND(A323&lt;&gt;"",OR(ISNUMBER(W323),ISNUMBER(X323))),SUM(W323:X323,$AT$8)/$AT$2*100,"")</f>
        <v>101</v>
      </c>
      <c r="AU323" s="24">
        <f>AA323</f>
        <v>91.475409836065566</v>
      </c>
      <c r="AV323" s="24"/>
      <c r="AW323" s="27">
        <f>IF(A323&lt;&gt;"",AE323-AA323,"")</f>
        <v>9.5245901639344339</v>
      </c>
      <c r="AY323" s="27" t="b">
        <f>S323&gt;R323</f>
        <v>0</v>
      </c>
      <c r="BA323" s="27" t="e">
        <f>AND(AA323&gt;$BA$3,(W323+$W$8)/$W$2&lt;$BB$3,(X323+$X$8)/$X$2&lt;$BB$3)</f>
        <v>#VALUE!</v>
      </c>
      <c r="BB323" s="27" t="e">
        <f>AND(AA323&lt;$BA$3,AND(W323/$W$2&gt;$BB$3,X323/$X$2&gt;$BB$3))</f>
        <v>#VALUE!</v>
      </c>
      <c r="BC323" s="27" t="e">
        <f>AND(AA323&lt;$BA$3,OR(W323/$W$2&gt;$BB$3,X323/$X$2&gt;$BB$3))</f>
        <v>#VALUE!</v>
      </c>
      <c r="BE323" s="32" t="s">
        <v>84</v>
      </c>
    </row>
    <row r="324" spans="1:61" s="27" customFormat="1" ht="12.75" customHeight="1" x14ac:dyDescent="0.2">
      <c r="A324" s="10">
        <v>629102</v>
      </c>
      <c r="B324" s="2">
        <v>23</v>
      </c>
      <c r="C324" s="10">
        <v>24</v>
      </c>
      <c r="D324" s="10">
        <v>25</v>
      </c>
      <c r="E324" s="10"/>
      <c r="F324" s="10"/>
      <c r="G324" s="3"/>
      <c r="H324" s="10"/>
      <c r="I324" s="10"/>
      <c r="J324" s="2">
        <v>31</v>
      </c>
      <c r="K324" s="10">
        <v>52</v>
      </c>
      <c r="L324" s="10">
        <v>52</v>
      </c>
      <c r="M324" s="10"/>
      <c r="N324" s="10"/>
      <c r="O324" s="12"/>
      <c r="P324" s="7">
        <v>101</v>
      </c>
      <c r="Q324" s="7"/>
      <c r="R324" s="2"/>
      <c r="S324" s="10"/>
      <c r="T324" s="13"/>
      <c r="U324" s="35">
        <f t="array" ref="U324">IF(AND(A324&lt;&gt;"",OR(ISNUMBER(B324:I324))),SUM(B324:I324),"")</f>
        <v>72</v>
      </c>
      <c r="V324" s="10">
        <f t="array" ref="V324">IF(AND(A324&lt;&gt;"",OR(ISNUMBER(J324:O324))),SUM(J324:O324),"")</f>
        <v>135</v>
      </c>
      <c r="W324" s="10">
        <f t="array" ref="W324">IF(AND(A324&lt;&gt;"",OR(ISNUMBER(P324),ISNUMBER(Q324))),SUM(MAX(P324:Q324),Q324),"")</f>
        <v>101</v>
      </c>
      <c r="X324" s="10" t="str">
        <f t="array" ref="X324">IF(AND(A324&lt;&gt;"",OR(ISNUMBER(S324),ISNUMBER(T324))),SUM(S324,T324),"")</f>
        <v/>
      </c>
      <c r="Y324" s="13">
        <v>1</v>
      </c>
      <c r="Z324" s="13">
        <f>IF(A324&lt;&gt;"",SUM(U324:Y324),"")</f>
        <v>309</v>
      </c>
      <c r="AA324" s="27">
        <f>IF(A324&lt;&gt;"",(Z324+Normalize_To_Add)/(Point_Total_So_Far)*100,"")</f>
        <v>101.31147540983608</v>
      </c>
      <c r="AB324" s="10">
        <f>IF(A324&lt;&gt;"",RANK(AA324,All_Student_XC),"")</f>
        <v>35</v>
      </c>
      <c r="AC324" s="32" t="str">
        <f>IF(A324&lt;&gt;"",CHOOSE(10-MIN(9,TRUNC((AA324+0.5)/10)),"A","B","C","D","F","F","F","F","F","F"),"")</f>
        <v>A</v>
      </c>
      <c r="AD324" s="32" t="str">
        <f>IF(A324&lt;&gt;"",IF(OR(AA324+0.5&gt;=93,AA324+0.5&lt;60),"",IF(MOD(AA324+0.5,10)&gt;=7,"+",IF(MOD(AA324+0.5,10)&lt;3,"-",""))),"")</f>
        <v/>
      </c>
      <c r="AE324" s="32">
        <f>IF(A324&lt;&gt;"",SUM(W324:X324,$W$8:$X$8)/SUM($W$2:$X$2)*100,"")</f>
        <v>101</v>
      </c>
      <c r="AF324" s="32" t="str">
        <f>IF(A324&lt;&gt;"",CHOOSE(10-MIN(9,TRUNC((AE324+0.5)/10)),"A","B","C","D","F","F","F","F","F","F"),"")</f>
        <v>A</v>
      </c>
      <c r="AG324" s="32" t="str">
        <f>IF(A324&lt;&gt;"",IF(OR(AE324+0.5&gt;=93,AE324+0.5&lt;60),"",IF(MOD(AE324+0.5,10)&gt;=7,"+",IF(MOD(AE324+0.5,10)&lt;3,"-",""))),"")</f>
        <v/>
      </c>
      <c r="AH324" s="36">
        <f>IF(A324&lt;&gt;"",MIN(MAX(AA324,AE324),AA324+$AH$8,AE324+$AH$8),"")</f>
        <v>101.31147540983608</v>
      </c>
      <c r="AI324" s="32" t="str">
        <f>IF(A324&lt;&gt;"",CHOOSE(10-MIN(9,TRUNC((AH324+0.5)/10)),"A","B","C","D","F","F","F","F","F","F"),"")</f>
        <v>A</v>
      </c>
      <c r="AJ324" s="32" t="str">
        <f>IF(A324&lt;&gt;"",IF(OR(AH324+0.5&gt;=93,AH324+0.5&lt;60),"",IF(MOD(AH324+0.5,10)&gt;=7,"+",IF(MOD(AH324+0.5,10)&lt;3,"-",""))),"")</f>
        <v/>
      </c>
      <c r="AK324" s="32" t="b">
        <f>IF(A324&lt;&gt;"",OR(AI324&lt;&gt;AC324,AJ324&lt;&gt;AD324),"")</f>
        <v>0</v>
      </c>
      <c r="AL324" s="84">
        <f>IF(AND(A324&lt;&gt;"",U324&lt;&gt;""),SUM(U324,$AL$8)/$AL$2*100,"")</f>
        <v>96</v>
      </c>
      <c r="AM324" s="24">
        <f>IF(AND(A324&lt;&gt;"",V324&lt;&gt;""),SUM(V324,$AM$8)/$AM$2*100,"")</f>
        <v>103.84615384615385</v>
      </c>
      <c r="AN324" s="24">
        <f>IF(AND(A324&lt;&gt;"",ISNUMBER(P324),P324&gt;=0),SUM(P324,$AN$8)/$AN$2*100,"")</f>
        <v>101</v>
      </c>
      <c r="AO324" s="24" t="str">
        <f>IF(AND(A324&lt;&gt;"",ISNUMBER(Q324),Q324&gt;=0),SUM(Q324,$AO$8)/$AO$2*100,"")</f>
        <v/>
      </c>
      <c r="AP324" s="24" t="str">
        <f>IF(AND(A324&lt;&gt;"",R324&lt;&gt;""),SUM(R324,$AP$8)/$AP$2*100,"")</f>
        <v/>
      </c>
      <c r="AQ324" s="24">
        <f>IF(AND(A324&lt;&gt;"",ISNUMBER(W324),W324&gt;=0),SUM(W324,$AQ$8)/$AQ$2*100,"")</f>
        <v>101</v>
      </c>
      <c r="AR324" s="24" t="str">
        <f>IF(AND(A324&lt;&gt;"",T324&gt;0,ISNUMBER(T324)),SUM(T324,$AR$8)/$AR$2*100,"")</f>
        <v/>
      </c>
      <c r="AS324" s="24" t="str">
        <f>IF(AND(A324&lt;&gt;"",X324&lt;&gt;""),SUM(X324,$AS$8)/$AS$2*100,"")</f>
        <v/>
      </c>
      <c r="AT324" s="89">
        <f>IF(AND(A324&lt;&gt;"",OR(ISNUMBER(W324),ISNUMBER(X324))),SUM(W324:X324,$AT$8)/$AT$2*100,"")</f>
        <v>101</v>
      </c>
      <c r="AU324" s="24">
        <f>AA324</f>
        <v>101.31147540983608</v>
      </c>
      <c r="AV324" s="24"/>
      <c r="AW324" s="27">
        <f>IF(A324&lt;&gt;"",AE324-AA324,"")</f>
        <v>-0.31147540983607769</v>
      </c>
      <c r="AY324" s="27" t="b">
        <f>S324&gt;R324</f>
        <v>0</v>
      </c>
      <c r="BA324" s="27" t="e">
        <f>AND(AA324&gt;$BA$3,(W324+$W$8)/$W$2&lt;$BB$3,(X324+$X$8)/$X$2&lt;$BB$3)</f>
        <v>#VALUE!</v>
      </c>
      <c r="BB324" s="27" t="e">
        <f>AND(AA324&lt;$BA$3,AND(W324/$W$2&gt;$BB$3,X324/$X$2&gt;$BB$3))</f>
        <v>#VALUE!</v>
      </c>
      <c r="BC324" s="27" t="e">
        <f>AND(AA324&lt;$BA$3,OR(W324/$W$2&gt;$BB$3,X324/$X$2&gt;$BB$3))</f>
        <v>#VALUE!</v>
      </c>
      <c r="BE324" s="32" t="s">
        <v>84</v>
      </c>
    </row>
    <row r="325" spans="1:61" s="27" customFormat="1" ht="12.75" customHeight="1" x14ac:dyDescent="0.2">
      <c r="A325" s="10">
        <v>629505</v>
      </c>
      <c r="B325" s="2">
        <v>17</v>
      </c>
      <c r="C325" s="10">
        <v>20</v>
      </c>
      <c r="D325" s="10">
        <v>22</v>
      </c>
      <c r="E325" s="10"/>
      <c r="F325" s="10"/>
      <c r="G325" s="10"/>
      <c r="H325" s="10"/>
      <c r="I325" s="10"/>
      <c r="J325" s="2">
        <v>30</v>
      </c>
      <c r="K325" s="10">
        <v>25</v>
      </c>
      <c r="L325" s="10">
        <v>50</v>
      </c>
      <c r="M325" s="10"/>
      <c r="N325" s="93"/>
      <c r="O325" s="13"/>
      <c r="P325" s="10">
        <v>101</v>
      </c>
      <c r="Q325" s="10"/>
      <c r="R325" s="2"/>
      <c r="S325" s="10"/>
      <c r="T325" s="13"/>
      <c r="U325" s="7">
        <f t="array" ref="U325">IF(AND(A325&lt;&gt;"",OR(ISNUMBER(B325:I325))),SUM(B325:I325),"")</f>
        <v>59</v>
      </c>
      <c r="V325" s="10">
        <f t="array" ref="V325">IF(AND(A325&lt;&gt;"",OR(ISNUMBER(J325:O325))),SUM(J325:O325),"")</f>
        <v>105</v>
      </c>
      <c r="W325" s="10">
        <f t="array" ref="W325">IF(AND(A325&lt;&gt;"",OR(ISNUMBER(P325),ISNUMBER(Q325))),SUM(MAX(P325:Q325),Q325),"")</f>
        <v>101</v>
      </c>
      <c r="X325" s="10" t="str">
        <f t="array" ref="X325">IF(AND(A325&lt;&gt;"",OR(ISNUMBER(S325),ISNUMBER(T325))),SUM(S325,T325),"")</f>
        <v/>
      </c>
      <c r="Y325" s="13">
        <v>1</v>
      </c>
      <c r="Z325" s="13">
        <f>IF(A325&lt;&gt;"",SUM(U325:Y325),"")</f>
        <v>266</v>
      </c>
      <c r="AA325" s="27">
        <f>IF(A325&lt;&gt;"",(Z325+Normalize_To_Add)/(Point_Total_So_Far)*100,"")</f>
        <v>87.21311475409837</v>
      </c>
      <c r="AB325" s="10">
        <f>IF(A325&lt;&gt;"",RANK(AA325,All_Student_XC),"")</f>
        <v>362</v>
      </c>
      <c r="AC325" s="32" t="str">
        <f>IF(A325&lt;&gt;"",CHOOSE(10-MIN(9,TRUNC((AA325+0.5)/10)),"A","B","C","D","F","F","F","F","F","F"),"")</f>
        <v>B</v>
      </c>
      <c r="AD325" s="31" t="str">
        <f>IF(A325&lt;&gt;"",IF(OR(AA325+0.5&gt;=93,AA325+0.5&lt;60),"",IF(MOD(AA325+0.5,10)&gt;=7,"+",IF(MOD(AA325+0.5,10)&lt;3,"-",""))),"")</f>
        <v>+</v>
      </c>
      <c r="AE325" s="32">
        <f>IF(A325&lt;&gt;"",SUM(W325:X325,$W$8:$X$8)/SUM($W$2:$X$2)*100,"")</f>
        <v>101</v>
      </c>
      <c r="AF325" s="32" t="str">
        <f>IF(A325&lt;&gt;"",CHOOSE(10-MIN(9,TRUNC((AE325+0.5)/10)),"A","B","C","D","F","F","F","F","F","F"),"")</f>
        <v>A</v>
      </c>
      <c r="AG325" s="32" t="str">
        <f>IF(A325&lt;&gt;"",IF(OR(AE325+0.5&gt;=93,AE325+0.5&lt;60),"",IF(MOD(AE325+0.5,10)&gt;=7,"+",IF(MOD(AE325+0.5,10)&lt;3,"-",""))),"")</f>
        <v/>
      </c>
      <c r="AH325" s="36">
        <f>IF(A325&lt;&gt;"",MIN(MAX(AA325,AE325),AA325+$AH$8,AE325+$AH$8),"")</f>
        <v>101</v>
      </c>
      <c r="AI325" s="32" t="str">
        <f>IF(A325&lt;&gt;"",CHOOSE(10-MIN(9,TRUNC((AH325+0.5)/10)),"A","B","C","D","F","F","F","F","F","F"),"")</f>
        <v>A</v>
      </c>
      <c r="AJ325" s="32" t="str">
        <f>IF(A325&lt;&gt;"",IF(OR(AH325+0.5&gt;=93,AH325+0.5&lt;60),"",IF(MOD(AH325+0.5,10)&gt;=7,"+",IF(MOD(AH325+0.5,10)&lt;3,"-",""))),"")</f>
        <v/>
      </c>
      <c r="AK325" s="71" t="b">
        <f>IF(A325&lt;&gt;"",OR(AI325&lt;&gt;AC325,AJ325&lt;&gt;AD325),"")</f>
        <v>1</v>
      </c>
      <c r="AL325" s="86">
        <f>IF(AND(A325&lt;&gt;"",U325&lt;&gt;""),SUM(U325,$AL$8)/$AL$2*100,"")</f>
        <v>78.666666666666657</v>
      </c>
      <c r="AM325" s="71">
        <f>IF(AND(A325&lt;&gt;"",V325&lt;&gt;""),SUM(V325,$AM$8)/$AM$2*100,"")</f>
        <v>80.769230769230774</v>
      </c>
      <c r="AN325" s="71">
        <f>IF(AND(A325&lt;&gt;"",ISNUMBER(P325),P325&gt;=0),SUM(P325,$AN$8)/$AN$2*100,"")</f>
        <v>101</v>
      </c>
      <c r="AO325" s="71" t="str">
        <f>IF(AND(A325&lt;&gt;"",ISNUMBER(Q325),Q325&gt;=0),SUM(Q325,$AO$8)/$AO$2*100,"")</f>
        <v/>
      </c>
      <c r="AP325" s="24" t="str">
        <f>IF(AND(A325&lt;&gt;"",R325&lt;&gt;""),SUM(R325,$AP$8)/$AP$2*100,"")</f>
        <v/>
      </c>
      <c r="AQ325" s="24">
        <f>IF(AND(A325&lt;&gt;"",ISNUMBER(W325),W325&gt;=0),SUM(W325,$AQ$8)/$AQ$2*100,"")</f>
        <v>101</v>
      </c>
      <c r="AR325" s="24" t="str">
        <f>IF(AND(A325&lt;&gt;"",T325&gt;0,ISNUMBER(T325)),SUM(T325,$AR$8)/$AR$2*100,"")</f>
        <v/>
      </c>
      <c r="AS325" s="24" t="str">
        <f>IF(AND(A325&lt;&gt;"",X325&lt;&gt;""),SUM(X325,$AS$8)/$AS$2*100,"")</f>
        <v/>
      </c>
      <c r="AT325" s="89">
        <f>IF(AND(A325&lt;&gt;"",OR(ISNUMBER(W325),ISNUMBER(X325))),SUM(W325:X325,$AT$8)/$AT$2*100,"")</f>
        <v>101</v>
      </c>
      <c r="AU325" s="24">
        <f>AA325</f>
        <v>87.21311475409837</v>
      </c>
      <c r="AV325" s="71"/>
      <c r="AW325" s="27">
        <f>IF(A325&lt;&gt;"",AE325-AA325,"")</f>
        <v>13.78688524590163</v>
      </c>
      <c r="AY325" s="27" t="b">
        <f>S325&gt;R325</f>
        <v>0</v>
      </c>
      <c r="BA325" s="27" t="e">
        <f>AND(AA325&gt;$BA$3,(W325+$W$8)/$W$2&lt;$BB$3,(X325+$X$8)/$X$2&lt;$BB$3)</f>
        <v>#VALUE!</v>
      </c>
      <c r="BB325" s="27" t="e">
        <f>AND(AA325&lt;$BA$3,AND(W325/$W$2&gt;$BB$3,X325/$X$2&gt;$BB$3))</f>
        <v>#VALUE!</v>
      </c>
      <c r="BC325" s="27" t="e">
        <f>AND(AA325&lt;$BA$3,OR(W325/$W$2&gt;$BB$3,X325/$X$2&gt;$BB$3))</f>
        <v>#VALUE!</v>
      </c>
      <c r="BE325" s="32">
        <v>32</v>
      </c>
    </row>
    <row r="326" spans="1:61" s="27" customFormat="1" ht="12.75" customHeight="1" x14ac:dyDescent="0.2">
      <c r="A326" s="10">
        <v>630025</v>
      </c>
      <c r="B326" s="2">
        <v>24</v>
      </c>
      <c r="C326" s="10">
        <v>23</v>
      </c>
      <c r="D326" s="10">
        <v>25</v>
      </c>
      <c r="E326" s="10"/>
      <c r="F326" s="10"/>
      <c r="G326" s="10"/>
      <c r="H326" s="10"/>
      <c r="I326" s="10"/>
      <c r="J326" s="2">
        <v>29</v>
      </c>
      <c r="K326" s="10">
        <v>52</v>
      </c>
      <c r="L326" s="10">
        <v>52</v>
      </c>
      <c r="M326" s="10"/>
      <c r="N326" s="93"/>
      <c r="O326" s="13"/>
      <c r="P326" s="10">
        <v>101</v>
      </c>
      <c r="Q326" s="10"/>
      <c r="R326" s="2"/>
      <c r="S326" s="10"/>
      <c r="T326" s="13"/>
      <c r="U326" s="7">
        <f t="array" ref="U326">IF(AND(A326&lt;&gt;"",OR(ISNUMBER(B326:I326))),SUM(B326:I326),"")</f>
        <v>72</v>
      </c>
      <c r="V326" s="10">
        <f t="array" ref="V326">IF(AND(A326&lt;&gt;"",OR(ISNUMBER(J326:O326))),SUM(J326:O326),"")</f>
        <v>133</v>
      </c>
      <c r="W326" s="10">
        <f t="array" ref="W326">IF(AND(A326&lt;&gt;"",OR(ISNUMBER(P326),ISNUMBER(Q326))),SUM(MAX(P326:Q326),Q326),"")</f>
        <v>101</v>
      </c>
      <c r="X326" s="10" t="str">
        <f t="array" ref="X326">IF(AND(A326&lt;&gt;"",OR(ISNUMBER(S326),ISNUMBER(T326))),SUM(S326,T326),"")</f>
        <v/>
      </c>
      <c r="Y326" s="13">
        <v>1</v>
      </c>
      <c r="Z326" s="13">
        <f>IF(A326&lt;&gt;"",SUM(U326:Y326),"")</f>
        <v>307</v>
      </c>
      <c r="AA326" s="27">
        <f>IF(A326&lt;&gt;"",(Z326+Normalize_To_Add)/(Point_Total_So_Far)*100,"")</f>
        <v>100.65573770491802</v>
      </c>
      <c r="AB326" s="10">
        <f>IF(A326&lt;&gt;"",RANK(AA326,All_Student_XC),"")</f>
        <v>72</v>
      </c>
      <c r="AC326" s="32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2">
        <f>IF(A326&lt;&gt;"",SUM(W326:X326,$W$8:$X$8)/SUM($W$2:$X$2)*100,"")</f>
        <v>101</v>
      </c>
      <c r="AF326" s="32" t="str">
        <f>IF(A326&lt;&gt;"",CHOOSE(10-MIN(9,TRUNC((AE326+0.5)/10)),"A","B","C","D","F","F","F","F","F","F"),"")</f>
        <v>A</v>
      </c>
      <c r="AG326" s="32" t="str">
        <f>IF(A326&lt;&gt;"",IF(OR(AE326+0.5&gt;=93,AE326+0.5&lt;60),"",IF(MOD(AE326+0.5,10)&gt;=7,"+",IF(MOD(AE326+0.5,10)&lt;3,"-",""))),"")</f>
        <v/>
      </c>
      <c r="AH326" s="36">
        <f>IF(A326&lt;&gt;"",MIN(MAX(AA326,AE326),AA326+$AH$8,AE326+$AH$8),"")</f>
        <v>101</v>
      </c>
      <c r="AI326" s="32" t="str">
        <f>IF(A326&lt;&gt;"",CHOOSE(10-MIN(9,TRUNC((AH326+0.5)/10)),"A","B","C","D","F","F","F","F","F","F"),"")</f>
        <v>A</v>
      </c>
      <c r="AJ326" s="32" t="str">
        <f>IF(A326&lt;&gt;"",IF(OR(AH326+0.5&gt;=93,AH326+0.5&lt;60),"",IF(MOD(AH326+0.5,10)&gt;=7,"+",IF(MOD(AH326+0.5,10)&lt;3,"-",""))),"")</f>
        <v/>
      </c>
      <c r="AK326" s="71" t="b">
        <f>IF(A326&lt;&gt;"",OR(AI326&lt;&gt;AC326,AJ326&lt;&gt;AD326),"")</f>
        <v>0</v>
      </c>
      <c r="AL326" s="86">
        <f>IF(AND(A326&lt;&gt;"",U326&lt;&gt;""),SUM(U326,$AL$8)/$AL$2*100,"")</f>
        <v>96</v>
      </c>
      <c r="AM326" s="71">
        <f>IF(AND(A326&lt;&gt;"",V326&lt;&gt;""),SUM(V326,$AM$8)/$AM$2*100,"")</f>
        <v>102.30769230769229</v>
      </c>
      <c r="AN326" s="71">
        <f>IF(AND(A326&lt;&gt;"",ISNUMBER(P326),P326&gt;=0),SUM(P326,$AN$8)/$AN$2*100,"")</f>
        <v>101</v>
      </c>
      <c r="AO326" s="71" t="str">
        <f>IF(AND(A326&lt;&gt;"",ISNUMBER(Q326),Q326&gt;=0),SUM(Q326,$AO$8)/$AO$2*100,"")</f>
        <v/>
      </c>
      <c r="AP326" s="24" t="str">
        <f>IF(AND(A326&lt;&gt;"",R326&lt;&gt;""),SUM(R326,$AP$8)/$AP$2*100,"")</f>
        <v/>
      </c>
      <c r="AQ326" s="24">
        <f>IF(AND(A326&lt;&gt;"",ISNUMBER(W326),W326&gt;=0),SUM(W326,$AQ$8)/$AQ$2*100,"")</f>
        <v>101</v>
      </c>
      <c r="AR326" s="24" t="str">
        <f>IF(AND(A326&lt;&gt;"",T326&gt;0,ISNUMBER(T326)),SUM(T326,$AR$8)/$AR$2*100,"")</f>
        <v/>
      </c>
      <c r="AS326" s="24" t="str">
        <f>IF(AND(A326&lt;&gt;"",X326&lt;&gt;""),SUM(X326,$AS$8)/$AS$2*100,"")</f>
        <v/>
      </c>
      <c r="AT326" s="89">
        <f>IF(AND(A326&lt;&gt;"",OR(ISNUMBER(W326),ISNUMBER(X326))),SUM(W326:X326,$AT$8)/$AT$2*100,"")</f>
        <v>101</v>
      </c>
      <c r="AU326" s="24">
        <f>AA326</f>
        <v>100.65573770491802</v>
      </c>
      <c r="AV326" s="71"/>
      <c r="AW326" s="27">
        <f>IF(A326&lt;&gt;"",AE326-AA326,"")</f>
        <v>0.34426229508197537</v>
      </c>
      <c r="AY326" s="27" t="b">
        <f>S326&gt;R326</f>
        <v>0</v>
      </c>
      <c r="BA326" s="27" t="e">
        <f>AND(AA326&gt;$BA$3,(W326+$W$8)/$W$2&lt;$BB$3,(X326+$X$8)/$X$2&lt;$BB$3)</f>
        <v>#VALUE!</v>
      </c>
      <c r="BB326" s="27" t="e">
        <f>AND(AA326&lt;$BA$3,AND(W326/$W$2&gt;$BB$3,X326/$X$2&gt;$BB$3))</f>
        <v>#VALUE!</v>
      </c>
      <c r="BC326" s="27" t="e">
        <f>AND(AA326&lt;$BA$3,OR(W326/$W$2&gt;$BB$3,X326/$X$2&gt;$BB$3))</f>
        <v>#VALUE!</v>
      </c>
      <c r="BE326" s="32" t="s">
        <v>84</v>
      </c>
    </row>
    <row r="327" spans="1:61" s="27" customFormat="1" ht="12.75" customHeight="1" x14ac:dyDescent="0.2">
      <c r="A327" s="10">
        <v>634182</v>
      </c>
      <c r="B327" s="2">
        <v>24</v>
      </c>
      <c r="C327" s="10">
        <v>25</v>
      </c>
      <c r="D327" s="10">
        <v>25</v>
      </c>
      <c r="E327" s="10"/>
      <c r="F327" s="10"/>
      <c r="G327" s="10"/>
      <c r="H327" s="10"/>
      <c r="I327" s="10"/>
      <c r="J327" s="2">
        <v>32</v>
      </c>
      <c r="K327" s="10">
        <v>49</v>
      </c>
      <c r="L327" s="10">
        <v>49</v>
      </c>
      <c r="M327" s="10"/>
      <c r="N327" s="10"/>
      <c r="O327" s="12"/>
      <c r="P327" s="7">
        <v>101</v>
      </c>
      <c r="Q327" s="7"/>
      <c r="R327" s="2"/>
      <c r="S327" s="10"/>
      <c r="T327" s="13"/>
      <c r="U327" s="35">
        <f t="array" ref="U327">IF(AND(A327&lt;&gt;"",OR(ISNUMBER(B327:I327))),SUM(B327:I327),"")</f>
        <v>74</v>
      </c>
      <c r="V327" s="10">
        <f t="array" ref="V327">IF(AND(A327&lt;&gt;"",OR(ISNUMBER(J327:O327))),SUM(J327:O327),"")</f>
        <v>130</v>
      </c>
      <c r="W327" s="10">
        <f t="array" ref="W327">IF(AND(A327&lt;&gt;"",OR(ISNUMBER(P327),ISNUMBER(Q327))),SUM(MAX(P327:Q327),Q327),"")</f>
        <v>101</v>
      </c>
      <c r="X327" s="10" t="str">
        <f t="array" ref="X327">IF(AND(A327&lt;&gt;"",OR(ISNUMBER(S327),ISNUMBER(T327))),SUM(S327,T327),"")</f>
        <v/>
      </c>
      <c r="Y327" s="13">
        <v>1</v>
      </c>
      <c r="Z327" s="13">
        <f>IF(A327&lt;&gt;"",SUM(U327:Y327),"")</f>
        <v>306</v>
      </c>
      <c r="AA327" s="27">
        <f>IF(A327&lt;&gt;"",(Z327+Normalize_To_Add)/(Point_Total_So_Far)*100,"")</f>
        <v>100.32786885245901</v>
      </c>
      <c r="AB327" s="10">
        <f>IF(A327&lt;&gt;"",RANK(AA327,All_Student_XC),"")</f>
        <v>99</v>
      </c>
      <c r="AC327" s="32" t="str">
        <f>IF(A327&lt;&gt;"",CHOOSE(10-MIN(9,TRUNC((AA327+0.5)/10)),"A","B","C","D","F","F","F","F","F","F"),"")</f>
        <v>A</v>
      </c>
      <c r="AD327" s="32" t="str">
        <f>IF(A327&lt;&gt;"",IF(OR(AA327+0.5&gt;=93,AA327+0.5&lt;60),"",IF(MOD(AA327+0.5,10)&gt;=7,"+",IF(MOD(AA327+0.5,10)&lt;3,"-",""))),"")</f>
        <v/>
      </c>
      <c r="AE327" s="32">
        <f>IF(A327&lt;&gt;"",SUM(W327:X327,$W$8:$X$8)/SUM($W$2:$X$2)*100,"")</f>
        <v>101</v>
      </c>
      <c r="AF327" s="32" t="str">
        <f>IF(A327&lt;&gt;"",CHOOSE(10-MIN(9,TRUNC((AE327+0.5)/10)),"A","B","C","D","F","F","F","F","F","F"),"")</f>
        <v>A</v>
      </c>
      <c r="AG327" s="32" t="str">
        <f>IF(A327&lt;&gt;"",IF(OR(AE327+0.5&gt;=93,AE327+0.5&lt;60),"",IF(MOD(AE327+0.5,10)&gt;=7,"+",IF(MOD(AE327+0.5,10)&lt;3,"-",""))),"")</f>
        <v/>
      </c>
      <c r="AH327" s="36">
        <f>IF(A327&lt;&gt;"",MIN(MAX(AA327,AE327),AA327+$AH$8,AE327+$AH$8),"")</f>
        <v>101</v>
      </c>
      <c r="AI327" s="32" t="str">
        <f>IF(A327&lt;&gt;"",CHOOSE(10-MIN(9,TRUNC((AH327+0.5)/10)),"A","B","C","D","F","F","F","F","F","F"),"")</f>
        <v>A</v>
      </c>
      <c r="AJ327" s="32" t="str">
        <f>IF(A327&lt;&gt;"",IF(OR(AH327+0.5&gt;=93,AH327+0.5&lt;60),"",IF(MOD(AH327+0.5,10)&gt;=7,"+",IF(MOD(AH327+0.5,10)&lt;3,"-",""))),"")</f>
        <v/>
      </c>
      <c r="AK327" s="32" t="b">
        <f>IF(A327&lt;&gt;"",OR(AI327&lt;&gt;AC327,AJ327&lt;&gt;AD327),"")</f>
        <v>0</v>
      </c>
      <c r="AL327" s="84">
        <f>IF(AND(A327&lt;&gt;"",U327&lt;&gt;""),SUM(U327,$AL$8)/$AL$2*100,"")</f>
        <v>98.666666666666671</v>
      </c>
      <c r="AM327" s="24">
        <f>IF(AND(A327&lt;&gt;"",V327&lt;&gt;""),SUM(V327,$AM$8)/$AM$2*100,"")</f>
        <v>100</v>
      </c>
      <c r="AN327" s="24">
        <f>IF(AND(A327&lt;&gt;"",ISNUMBER(P327),P327&gt;=0),SUM(P327,$AN$8)/$AN$2*100,"")</f>
        <v>101</v>
      </c>
      <c r="AO327" s="24" t="str">
        <f>IF(AND(A327&lt;&gt;"",ISNUMBER(Q327),Q327&gt;=0),SUM(Q327,$AO$8)/$AO$2*100,"")</f>
        <v/>
      </c>
      <c r="AP327" s="24" t="str">
        <f>IF(AND(A327&lt;&gt;"",R327&lt;&gt;""),SUM(R327,$AP$8)/$AP$2*100,"")</f>
        <v/>
      </c>
      <c r="AQ327" s="24">
        <f>IF(AND(A327&lt;&gt;"",ISNUMBER(W327),W327&gt;=0),SUM(W327,$AQ$8)/$AQ$2*100,"")</f>
        <v>101</v>
      </c>
      <c r="AR327" s="24" t="str">
        <f>IF(AND(A327&lt;&gt;"",T327&gt;0,ISNUMBER(T327)),SUM(T327,$AR$8)/$AR$2*100,"")</f>
        <v/>
      </c>
      <c r="AS327" s="24" t="str">
        <f>IF(AND(A327&lt;&gt;"",X327&lt;&gt;""),SUM(X327,$AS$8)/$AS$2*100,"")</f>
        <v/>
      </c>
      <c r="AT327" s="89">
        <f>IF(AND(A327&lt;&gt;"",OR(ISNUMBER(W327),ISNUMBER(X327))),SUM(W327:X327,$AT$8)/$AT$2*100,"")</f>
        <v>101</v>
      </c>
      <c r="AU327" s="24">
        <f>AA327</f>
        <v>100.32786885245901</v>
      </c>
      <c r="AV327" s="24"/>
      <c r="AW327" s="27">
        <f>IF(A327&lt;&gt;"",AE327-AA327,"")</f>
        <v>0.67213114754099479</v>
      </c>
      <c r="AY327" s="27" t="b">
        <f>S327&gt;R327</f>
        <v>0</v>
      </c>
      <c r="BA327" s="27" t="e">
        <f>AND(AA327&gt;$BA$3,(W327+$W$8)/$W$2&lt;$BB$3,(X327+$X$8)/$X$2&lt;$BB$3)</f>
        <v>#VALUE!</v>
      </c>
      <c r="BB327" s="27" t="e">
        <f>AND(AA327&lt;$BA$3,AND(W327/$W$2&gt;$BB$3,X327/$X$2&gt;$BB$3))</f>
        <v>#VALUE!</v>
      </c>
      <c r="BC327" s="27" t="e">
        <f>AND(AA327&lt;$BA$3,OR(W327/$W$2&gt;$BB$3,X327/$X$2&gt;$BB$3))</f>
        <v>#VALUE!</v>
      </c>
      <c r="BE327" s="32">
        <v>32</v>
      </c>
    </row>
    <row r="328" spans="1:61" s="99" customFormat="1" ht="12.75" customHeight="1" x14ac:dyDescent="0.2">
      <c r="A328" s="78">
        <v>639552</v>
      </c>
      <c r="B328" s="97">
        <v>22</v>
      </c>
      <c r="C328" s="78">
        <v>20</v>
      </c>
      <c r="D328" s="78">
        <v>25</v>
      </c>
      <c r="E328" s="78"/>
      <c r="F328" s="78"/>
      <c r="G328" s="78"/>
      <c r="H328" s="78"/>
      <c r="I328" s="78"/>
      <c r="J328" s="97">
        <v>30</v>
      </c>
      <c r="K328" s="78">
        <v>24</v>
      </c>
      <c r="L328" s="78">
        <v>50</v>
      </c>
      <c r="M328" s="78"/>
      <c r="N328" s="78"/>
      <c r="O328" s="108"/>
      <c r="P328" s="109">
        <v>101</v>
      </c>
      <c r="Q328" s="109"/>
      <c r="R328" s="97"/>
      <c r="S328" s="78"/>
      <c r="T328" s="98"/>
      <c r="U328" s="79">
        <f t="array" ref="U328">IF(AND(A328&lt;&gt;"",OR(ISNUMBER(B328:I328))),SUM(B328:I328),"")</f>
        <v>67</v>
      </c>
      <c r="V328" s="78">
        <f t="array" ref="V328">IF(AND(A328&lt;&gt;"",OR(ISNUMBER(J328:O328))),SUM(J328:O328),"")</f>
        <v>104</v>
      </c>
      <c r="W328" s="78">
        <f t="array" ref="W328">IF(AND(A328&lt;&gt;"",OR(ISNUMBER(P328),ISNUMBER(Q328))),SUM(MAX(P328:Q328),Q328),"")</f>
        <v>101</v>
      </c>
      <c r="X328" s="78" t="str">
        <f t="array" ref="X328">IF(AND(A328&lt;&gt;"",OR(ISNUMBER(S328),ISNUMBER(T328))),SUM(S328,T328),"")</f>
        <v/>
      </c>
      <c r="Y328" s="98">
        <v>1</v>
      </c>
      <c r="Z328" s="98">
        <f>IF(A328&lt;&gt;"",SUM(U328:Y328),"")</f>
        <v>273</v>
      </c>
      <c r="AA328" s="99">
        <f>IF(A328&lt;&gt;"",(Z328+Normalize_To_Add)/(Point_Total_So_Far)*100,"")</f>
        <v>89.508196721311478</v>
      </c>
      <c r="AB328" s="78">
        <f>IF(A328&lt;&gt;"",RANK(AA328,All_Student_XC),"")</f>
        <v>340</v>
      </c>
      <c r="AC328" s="100" t="str">
        <f>IF(A328&lt;&gt;"",CHOOSE(10-MIN(9,TRUNC((AA328+0.5)/10)),"A","B","C","D","F","F","F","F","F","F"),"")</f>
        <v>A</v>
      </c>
      <c r="AD328" s="100" t="str">
        <f>IF(A328&lt;&gt;"",IF(OR(AA328+0.5&gt;=93,AA328+0.5&lt;60),"",IF(MOD(AA328+0.5,10)&gt;=7,"+",IF(MOD(AA328+0.5,10)&lt;3,"-",""))),"")</f>
        <v>-</v>
      </c>
      <c r="AE328" s="100">
        <f>IF(A328&lt;&gt;"",SUM(W328:X328,$W$8:$X$8)/SUM($W$2:$X$2)*100,"")</f>
        <v>101</v>
      </c>
      <c r="AF328" s="100" t="str">
        <f>IF(A328&lt;&gt;"",CHOOSE(10-MIN(9,TRUNC((AE328+0.5)/10)),"A","B","C","D","F","F","F","F","F","F"),"")</f>
        <v>A</v>
      </c>
      <c r="AG328" s="100" t="str">
        <f>IF(A328&lt;&gt;"",IF(OR(AE328+0.5&gt;=93,AE328+0.5&lt;60),"",IF(MOD(AE328+0.5,10)&gt;=7,"+",IF(MOD(AE328+0.5,10)&lt;3,"-",""))),"")</f>
        <v/>
      </c>
      <c r="AH328" s="101">
        <f>IF(A328&lt;&gt;"",MIN(MAX(AA328,AE328),AA328+$AH$8,AE328+$AH$8),"")</f>
        <v>101</v>
      </c>
      <c r="AI328" s="100" t="str">
        <f>IF(A328&lt;&gt;"",CHOOSE(10-MIN(9,TRUNC((AH328+0.5)/10)),"A","B","C","D","F","F","F","F","F","F"),"")</f>
        <v>A</v>
      </c>
      <c r="AJ328" s="100" t="str">
        <f>IF(A328&lt;&gt;"",IF(OR(AH328+0.5&gt;=93,AH328+0.5&lt;60),"",IF(MOD(AH328+0.5,10)&gt;=7,"+",IF(MOD(AH328+0.5,10)&lt;3,"-",""))),"")</f>
        <v/>
      </c>
      <c r="AK328" s="100" t="b">
        <f>IF(A328&lt;&gt;"",OR(AI328&lt;&gt;AC328,AJ328&lt;&gt;AD328),"")</f>
        <v>1</v>
      </c>
      <c r="AL328" s="110">
        <f>IF(AND(A328&lt;&gt;"",U328&lt;&gt;""),SUM(U328,$AL$8)/$AL$2*100,"")</f>
        <v>89.333333333333329</v>
      </c>
      <c r="AM328" s="94">
        <f>IF(AND(A328&lt;&gt;"",V328&lt;&gt;""),SUM(V328,$AM$8)/$AM$2*100,"")</f>
        <v>80</v>
      </c>
      <c r="AN328" s="94">
        <f>IF(AND(A328&lt;&gt;"",ISNUMBER(P328),P328&gt;=0),SUM(P328,$AN$8)/$AN$2*100,"")</f>
        <v>101</v>
      </c>
      <c r="AO328" s="94" t="str">
        <f>IF(AND(A328&lt;&gt;"",ISNUMBER(Q328),Q328&gt;=0),SUM(Q328,$AO$8)/$AO$2*100,"")</f>
        <v/>
      </c>
      <c r="AP328" s="94" t="str">
        <f>IF(AND(A328&lt;&gt;"",R328&lt;&gt;""),SUM(R328,$AP$8)/$AP$2*100,"")</f>
        <v/>
      </c>
      <c r="AQ328" s="94">
        <f>IF(AND(A328&lt;&gt;"",ISNUMBER(W328),W328&gt;=0),SUM(W328,$AQ$8)/$AQ$2*100,"")</f>
        <v>101</v>
      </c>
      <c r="AR328" s="94" t="str">
        <f>IF(AND(A328&lt;&gt;"",T328&gt;0,ISNUMBER(T328)),SUM(T328,$AR$8)/$AR$2*100,"")</f>
        <v/>
      </c>
      <c r="AS328" s="94" t="str">
        <f>IF(AND(A328&lt;&gt;"",X328&lt;&gt;""),SUM(X328,$AS$8)/$AS$2*100,"")</f>
        <v/>
      </c>
      <c r="AT328" s="102">
        <f>IF(AND(A328&lt;&gt;"",OR(ISNUMBER(W328),ISNUMBER(X328))),SUM(W328:X328,$AT$8)/$AT$2*100,"")</f>
        <v>101</v>
      </c>
      <c r="AU328" s="94">
        <f>AA328</f>
        <v>89.508196721311478</v>
      </c>
      <c r="AV328" s="94"/>
      <c r="AW328" s="99">
        <f>IF(A328&lt;&gt;"",AE328-AA328,"")</f>
        <v>11.491803278688522</v>
      </c>
      <c r="AY328" s="99" t="b">
        <f>S328&gt;R328</f>
        <v>0</v>
      </c>
      <c r="BA328" s="99" t="e">
        <f>AND(AA328&gt;$BA$3,(W328+$W$8)/$W$2&lt;$BB$3,(X328+$X$8)/$X$2&lt;$BB$3)</f>
        <v>#VALUE!</v>
      </c>
      <c r="BB328" s="99" t="e">
        <f>AND(AA328&lt;$BA$3,AND(W328/$W$2&gt;$BB$3,X328/$X$2&gt;$BB$3))</f>
        <v>#VALUE!</v>
      </c>
      <c r="BC328" s="99" t="e">
        <f>AND(AA328&lt;$BA$3,OR(W328/$W$2&gt;$BB$3,X328/$X$2&gt;$BB$3))</f>
        <v>#VALUE!</v>
      </c>
      <c r="BE328" s="100" t="s">
        <v>84</v>
      </c>
    </row>
    <row r="329" spans="1:61" s="27" customFormat="1" ht="12.75" customHeight="1" x14ac:dyDescent="0.2">
      <c r="A329" s="10">
        <v>640968</v>
      </c>
      <c r="B329" s="2">
        <v>8</v>
      </c>
      <c r="C329" s="10">
        <v>8</v>
      </c>
      <c r="D329" s="10" t="s">
        <v>67</v>
      </c>
      <c r="E329" s="10"/>
      <c r="F329" s="10"/>
      <c r="G329" s="3"/>
      <c r="H329" s="10"/>
      <c r="I329" s="10"/>
      <c r="J329" s="2">
        <v>28</v>
      </c>
      <c r="K329" s="10" t="s">
        <v>67</v>
      </c>
      <c r="L329" s="10" t="s">
        <v>67</v>
      </c>
      <c r="M329" s="10"/>
      <c r="N329" s="93"/>
      <c r="O329" s="12"/>
      <c r="P329" s="10">
        <v>60</v>
      </c>
      <c r="Q329" s="41"/>
      <c r="R329" s="2"/>
      <c r="S329" s="10"/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28</v>
      </c>
      <c r="W329" s="10">
        <f t="array" ref="W329">IF(AND(A329&lt;&gt;"",OR(ISNUMBER(P329),ISNUMBER(Q329))),SUM(MAX(P329:Q329),Q329),"")</f>
        <v>60</v>
      </c>
      <c r="X329" s="10" t="str">
        <f t="array" ref="X329">IF(AND(A329&lt;&gt;"",OR(ISNUMBER(S329),ISNUMBER(T329))),SUM(S329,T329),"")</f>
        <v/>
      </c>
      <c r="Y329" s="13">
        <v>1</v>
      </c>
      <c r="Z329" s="13">
        <f>IF(A329&lt;&gt;"",SUM(U329:Y329),"")</f>
        <v>105</v>
      </c>
      <c r="AA329" s="27">
        <f>IF(A329&lt;&gt;"",(Z329+Normalize_To_Add)/(Point_Total_So_Far)*100,"")</f>
        <v>34.42622950819672</v>
      </c>
      <c r="AB329" s="10">
        <f>IF(A329&lt;&gt;"",RANK(AA329,All_Student_XC),"")</f>
        <v>502</v>
      </c>
      <c r="AC329" s="32" t="str">
        <f>IF(A329&lt;&gt;"",CHOOSE(10-MIN(9,TRUNC((AA329+0.5)/10)),"A","B","C","D","F","F","F","F","F","F"),"")</f>
        <v>F</v>
      </c>
      <c r="AD329" s="32" t="str">
        <f>IF(A329&lt;&gt;"",IF(OR(AA329+0.5&gt;=93,AA329+0.5&lt;60),"",IF(MOD(AA329+0.5,10)&gt;=7,"+",IF(MOD(AA329+0.5,10)&lt;3,"-",""))),"")</f>
        <v/>
      </c>
      <c r="AE329" s="32">
        <f>IF(A329&lt;&gt;"",SUM(W329:X329,$W$8:$X$8)/SUM($W$2:$X$2)*100,"")</f>
        <v>60</v>
      </c>
      <c r="AF329" s="44" t="str">
        <f>IF(A329&lt;&gt;"",CHOOSE(10-MIN(9,TRUNC((AE329+0.5)/10)),"A","B","C","D","F","F","F","F","F","F"),"")</f>
        <v>D</v>
      </c>
      <c r="AG329" s="44" t="str">
        <f>IF(A329&lt;&gt;"",IF(OR(AE329+0.5&gt;=93,AE329+0.5&lt;60),"",IF(MOD(AE329+0.5,10)&gt;=7,"+",IF(MOD(AE329+0.5,10)&lt;3,"-",""))),"")</f>
        <v>-</v>
      </c>
      <c r="AH329" s="36">
        <f>IF(A329&lt;&gt;"",MIN(MAX(AA329,AE329),AA329+$AH$8,AE329+$AH$8),"")</f>
        <v>60</v>
      </c>
      <c r="AI329" s="32" t="str">
        <f>IF(A329&lt;&gt;"",CHOOSE(10-MIN(9,TRUNC((AH329+0.5)/10)),"A","B","C","D","F","F","F","F","F","F"),"")</f>
        <v>D</v>
      </c>
      <c r="AJ329" s="32" t="str">
        <f>IF(A329&lt;&gt;"",IF(OR(AH329+0.5&gt;=93,AH329+0.5&lt;60),"",IF(MOD(AH329+0.5,10)&gt;=7,"+",IF(MOD(AH329+0.5,10)&lt;3,"-",""))),"")</f>
        <v>-</v>
      </c>
      <c r="AK329" s="32" t="b">
        <f>IF(A329&lt;&gt;"",OR(AI329&lt;&gt;AC329,AJ329&lt;&gt;AD329),"")</f>
        <v>1</v>
      </c>
      <c r="AL329" s="84">
        <f>IF(AND(A329&lt;&gt;"",U329&lt;&gt;""),SUM(U329,$AL$8)/$AL$2*100,"")</f>
        <v>21.333333333333336</v>
      </c>
      <c r="AM329" s="24">
        <f>IF(AND(A329&lt;&gt;"",V329&lt;&gt;""),SUM(V329,$AM$8)/$AM$2*100,"")</f>
        <v>21.53846153846154</v>
      </c>
      <c r="AN329" s="24">
        <f>IF(AND(A329&lt;&gt;"",ISNUMBER(P329),P329&gt;=0),SUM(P329,$AN$8)/$AN$2*100,"")</f>
        <v>60</v>
      </c>
      <c r="AO329" s="24" t="str">
        <f>IF(AND(A329&lt;&gt;"",ISNUMBER(Q329),Q329&gt;=0),SUM(Q329,$AO$8)/$AO$2*100,"")</f>
        <v/>
      </c>
      <c r="AP329" s="24" t="str">
        <f>IF(AND(A329&lt;&gt;"",R329&lt;&gt;""),SUM(R329,$AP$8)/$AP$2*100,"")</f>
        <v/>
      </c>
      <c r="AQ329" s="24">
        <f>IF(AND(A329&lt;&gt;"",ISNUMBER(W329),W329&gt;=0),SUM(W329,$AQ$8)/$AQ$2*100,"")</f>
        <v>60</v>
      </c>
      <c r="AR329" s="24" t="str">
        <f>IF(AND(A329&lt;&gt;"",T329&gt;0,ISNUMBER(T329)),SUM(T329,$AR$8)/$AR$2*100,"")</f>
        <v/>
      </c>
      <c r="AS329" s="24" t="str">
        <f>IF(AND(A329&lt;&gt;"",X329&lt;&gt;""),SUM(X329,$AS$8)/$AS$2*100,"")</f>
        <v/>
      </c>
      <c r="AT329" s="89">
        <f>IF(AND(A329&lt;&gt;"",OR(ISNUMBER(W329),ISNUMBER(X329))),SUM(W329:X329,$AT$8)/$AT$2*100,"")</f>
        <v>60</v>
      </c>
      <c r="AU329" s="24">
        <f>AA329</f>
        <v>34.42622950819672</v>
      </c>
      <c r="AV329" s="24"/>
      <c r="AW329" s="27">
        <f>IF(A329&lt;&gt;"",AE329-AA329,"")</f>
        <v>25.57377049180328</v>
      </c>
      <c r="AY329" s="27" t="b">
        <f>S329&gt;R329</f>
        <v>0</v>
      </c>
      <c r="BA329" s="27" t="e">
        <f>AND(AA329&gt;$BA$3,(W329+$W$8)/$W$2&lt;$BB$3,(X329+$X$8)/$X$2&lt;$BB$3)</f>
        <v>#VALUE!</v>
      </c>
      <c r="BB329" s="27" t="e">
        <f>AND(AA329&lt;$BA$3,AND(W329/$W$2&gt;$BB$3,X329/$X$2&gt;$BB$3))</f>
        <v>#VALUE!</v>
      </c>
      <c r="BC329" s="27" t="e">
        <f>AND(AA329&lt;$BA$3,OR(W329/$W$2&gt;$BB$3,X329/$X$2&gt;$BB$3))</f>
        <v>#VALUE!</v>
      </c>
      <c r="BE329" s="32" t="s">
        <v>84</v>
      </c>
    </row>
    <row r="330" spans="1:61" s="27" customFormat="1" ht="12.75" customHeight="1" x14ac:dyDescent="0.2">
      <c r="A330" s="10">
        <v>645723</v>
      </c>
      <c r="B330" s="2">
        <v>22</v>
      </c>
      <c r="C330" s="10">
        <v>20</v>
      </c>
      <c r="D330" s="10">
        <v>22</v>
      </c>
      <c r="E330" s="10"/>
      <c r="F330" s="10"/>
      <c r="G330" s="10"/>
      <c r="H330" s="10"/>
      <c r="I330" s="10"/>
      <c r="J330" s="2">
        <v>30</v>
      </c>
      <c r="K330" s="10">
        <v>35</v>
      </c>
      <c r="L330" s="10">
        <v>52</v>
      </c>
      <c r="M330" s="10"/>
      <c r="N330" s="10"/>
      <c r="O330" s="12"/>
      <c r="P330" s="7">
        <v>101</v>
      </c>
      <c r="Q330" s="7"/>
      <c r="R330" s="2"/>
      <c r="S330" s="10"/>
      <c r="T330" s="13"/>
      <c r="U330" s="35">
        <f t="array" ref="U330">IF(AND(A330&lt;&gt;"",OR(ISNUMBER(B330:I330))),SUM(B330:I330),"")</f>
        <v>64</v>
      </c>
      <c r="V330" s="10">
        <f t="array" ref="V330">IF(AND(A330&lt;&gt;"",OR(ISNUMBER(J330:O330))),SUM(J330:O330),"")</f>
        <v>117</v>
      </c>
      <c r="W330" s="10">
        <f t="array" ref="W330">IF(AND(A330&lt;&gt;"",OR(ISNUMBER(P330),ISNUMBER(Q330))),SUM(MAX(P330:Q330),Q330),"")</f>
        <v>101</v>
      </c>
      <c r="X330" s="10" t="str">
        <f t="array" ref="X330">IF(AND(A330&lt;&gt;"",OR(ISNUMBER(S330),ISNUMBER(T330))),SUM(S330,T330),"")</f>
        <v/>
      </c>
      <c r="Y330" s="13">
        <v>1</v>
      </c>
      <c r="Z330" s="13">
        <f>IF(A330&lt;&gt;"",SUM(U330:Y330),"")</f>
        <v>283</v>
      </c>
      <c r="AA330" s="27">
        <f>IF(A330&lt;&gt;"",(Z330+Normalize_To_Add)/(Point_Total_So_Far)*100,"")</f>
        <v>92.786885245901644</v>
      </c>
      <c r="AB330" s="10">
        <f>IF(A330&lt;&gt;"",RANK(AA330,All_Student_XC),"")</f>
        <v>303</v>
      </c>
      <c r="AC330" s="32" t="str">
        <f>IF(A330&lt;&gt;"",CHOOSE(10-MIN(9,TRUNC((AA330+0.5)/10)),"A","B","C","D","F","F","F","F","F","F"),"")</f>
        <v>A</v>
      </c>
      <c r="AD330" s="32" t="str">
        <f>IF(A330&lt;&gt;"",IF(OR(AA330+0.5&gt;=93,AA330+0.5&lt;60),"",IF(MOD(AA330+0.5,10)&gt;=7,"+",IF(MOD(AA330+0.5,10)&lt;3,"-",""))),"")</f>
        <v/>
      </c>
      <c r="AE330" s="32">
        <f>IF(A330&lt;&gt;"",SUM(W330:X330,$W$8:$X$8)/SUM($W$2:$X$2)*100,"")</f>
        <v>101</v>
      </c>
      <c r="AF330" s="32" t="str">
        <f>IF(A330&lt;&gt;"",CHOOSE(10-MIN(9,TRUNC((AE330+0.5)/10)),"A","B","C","D","F","F","F","F","F","F"),"")</f>
        <v>A</v>
      </c>
      <c r="AG330" s="32" t="str">
        <f>IF(A330&lt;&gt;"",IF(OR(AE330+0.5&gt;=93,AE330+0.5&lt;60),"",IF(MOD(AE330+0.5,10)&gt;=7,"+",IF(MOD(AE330+0.5,10)&lt;3,"-",""))),"")</f>
        <v/>
      </c>
      <c r="AH330" s="36">
        <f>IF(A330&lt;&gt;"",MIN(MAX(AA330,AE330),AA330+$AH$8,AE330+$AH$8),"")</f>
        <v>101</v>
      </c>
      <c r="AI330" s="32" t="str">
        <f>IF(A330&lt;&gt;"",CHOOSE(10-MIN(9,TRUNC((AH330+0.5)/10)),"A","B","C","D","F","F","F","F","F","F"),"")</f>
        <v>A</v>
      </c>
      <c r="AJ330" s="32" t="str">
        <f>IF(A330&lt;&gt;"",IF(OR(AH330+0.5&gt;=93,AH330+0.5&lt;60),"",IF(MOD(AH330+0.5,10)&gt;=7,"+",IF(MOD(AH330+0.5,10)&lt;3,"-",""))),"")</f>
        <v/>
      </c>
      <c r="AK330" s="32" t="b">
        <f>IF(A330&lt;&gt;"",OR(AI330&lt;&gt;AC330,AJ330&lt;&gt;AD330),"")</f>
        <v>0</v>
      </c>
      <c r="AL330" s="84">
        <f>IF(AND(A330&lt;&gt;"",U330&lt;&gt;""),SUM(U330,$AL$8)/$AL$2*100,"")</f>
        <v>85.333333333333343</v>
      </c>
      <c r="AM330" s="24">
        <f>IF(AND(A330&lt;&gt;"",V330&lt;&gt;""),SUM(V330,$AM$8)/$AM$2*100,"")</f>
        <v>90</v>
      </c>
      <c r="AN330" s="24">
        <f>IF(AND(A330&lt;&gt;"",ISNUMBER(P330),P330&gt;=0),SUM(P330,$AN$8)/$AN$2*100,"")</f>
        <v>101</v>
      </c>
      <c r="AO330" s="24" t="str">
        <f>IF(AND(A330&lt;&gt;"",ISNUMBER(Q330),Q330&gt;=0),SUM(Q330,$AO$8)/$AO$2*100,"")</f>
        <v/>
      </c>
      <c r="AP330" s="24" t="str">
        <f>IF(AND(A330&lt;&gt;"",R330&lt;&gt;""),SUM(R330,$AP$8)/$AP$2*100,"")</f>
        <v/>
      </c>
      <c r="AQ330" s="24">
        <f>IF(AND(A330&lt;&gt;"",ISNUMBER(W330),W330&gt;=0),SUM(W330,$AQ$8)/$AQ$2*100,"")</f>
        <v>101</v>
      </c>
      <c r="AR330" s="24" t="str">
        <f>IF(AND(A330&lt;&gt;"",T330&gt;0,ISNUMBER(T330)),SUM(T330,$AR$8)/$AR$2*100,"")</f>
        <v/>
      </c>
      <c r="AS330" s="24" t="str">
        <f>IF(AND(A330&lt;&gt;"",X330&lt;&gt;""),SUM(X330,$AS$8)/$AS$2*100,"")</f>
        <v/>
      </c>
      <c r="AT330" s="89">
        <f>IF(AND(A330&lt;&gt;"",OR(ISNUMBER(W330),ISNUMBER(X330))),SUM(W330:X330,$AT$8)/$AT$2*100,"")</f>
        <v>101</v>
      </c>
      <c r="AU330" s="24">
        <f>AA330</f>
        <v>92.786885245901644</v>
      </c>
      <c r="AV330" s="24"/>
      <c r="AW330" s="27">
        <f>IF(A330&lt;&gt;"",AE330-AA330,"")</f>
        <v>8.2131147540983562</v>
      </c>
      <c r="AY330" s="27" t="b">
        <f>S330&gt;R330</f>
        <v>0</v>
      </c>
      <c r="BA330" s="27" t="e">
        <f>AND(AA330&gt;$BA$3,(W330+$W$8)/$W$2&lt;$BB$3,(X330+$X$8)/$X$2&lt;$BB$3)</f>
        <v>#VALUE!</v>
      </c>
      <c r="BB330" s="27" t="e">
        <f>AND(AA330&lt;$BA$3,AND(W330/$W$2&gt;$BB$3,X330/$X$2&gt;$BB$3))</f>
        <v>#VALUE!</v>
      </c>
      <c r="BC330" s="27" t="e">
        <f>AND(AA330&lt;$BA$3,OR(W330/$W$2&gt;$BB$3,X330/$X$2&gt;$BB$3))</f>
        <v>#VALUE!</v>
      </c>
      <c r="BE330" s="32" t="s">
        <v>84</v>
      </c>
    </row>
    <row r="331" spans="1:61" s="27" customFormat="1" ht="12.75" customHeight="1" x14ac:dyDescent="0.2">
      <c r="A331" s="10">
        <v>649665</v>
      </c>
      <c r="B331" s="2">
        <v>24</v>
      </c>
      <c r="C331" s="10">
        <v>25</v>
      </c>
      <c r="D331" s="10">
        <v>19</v>
      </c>
      <c r="E331" s="10"/>
      <c r="F331" s="10"/>
      <c r="G331" s="10"/>
      <c r="H331" s="10"/>
      <c r="I331" s="10"/>
      <c r="J331" s="2">
        <v>32</v>
      </c>
      <c r="K331" s="10">
        <v>51</v>
      </c>
      <c r="L331" s="10">
        <v>50</v>
      </c>
      <c r="M331" s="10"/>
      <c r="N331" s="93"/>
      <c r="O331" s="13"/>
      <c r="P331" s="10">
        <v>101</v>
      </c>
      <c r="Q331" s="10"/>
      <c r="R331" s="2"/>
      <c r="S331" s="10"/>
      <c r="T331" s="13"/>
      <c r="U331" s="7">
        <f t="array" ref="U331">IF(AND(A331&lt;&gt;"",OR(ISNUMBER(B331:I331))),SUM(B331:I331),"")</f>
        <v>68</v>
      </c>
      <c r="V331" s="10">
        <f t="array" ref="V331">IF(AND(A331&lt;&gt;"",OR(ISNUMBER(J331:O331))),SUM(J331:O331),"")</f>
        <v>133</v>
      </c>
      <c r="W331" s="10">
        <f t="array" ref="W331">IF(AND(A331&lt;&gt;"",OR(ISNUMBER(P331),ISNUMBER(Q331))),SUM(MAX(P331:Q331),Q331),"")</f>
        <v>101</v>
      </c>
      <c r="X331" s="10" t="str">
        <f t="array" ref="X331">IF(AND(A331&lt;&gt;"",OR(ISNUMBER(S331),ISNUMBER(T331))),SUM(S331,T331),"")</f>
        <v/>
      </c>
      <c r="Y331" s="13">
        <v>1</v>
      </c>
      <c r="Z331" s="13">
        <f>IF(A331&lt;&gt;"",SUM(U331:Y331),"")</f>
        <v>303</v>
      </c>
      <c r="AA331" s="27">
        <f>IF(A331&lt;&gt;"",(Z331+Normalize_To_Add)/(Point_Total_So_Far)*100,"")</f>
        <v>99.344262295081961</v>
      </c>
      <c r="AB331" s="10">
        <f>IF(A331&lt;&gt;"",RANK(AA331,All_Student_XC),"")</f>
        <v>145</v>
      </c>
      <c r="AC331" s="32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/>
      </c>
      <c r="AE331" s="32">
        <f>IF(A331&lt;&gt;"",SUM(W331:X331,$W$8:$X$8)/SUM($W$2:$X$2)*100,"")</f>
        <v>101</v>
      </c>
      <c r="AF331" s="32" t="str">
        <f>IF(A331&lt;&gt;"",CHOOSE(10-MIN(9,TRUNC((AE331+0.5)/10)),"A","B","C","D","F","F","F","F","F","F"),"")</f>
        <v>A</v>
      </c>
      <c r="AG331" s="32" t="str">
        <f>IF(A331&lt;&gt;"",IF(OR(AE331+0.5&gt;=93,AE331+0.5&lt;60),"",IF(MOD(AE331+0.5,10)&gt;=7,"+",IF(MOD(AE331+0.5,10)&lt;3,"-",""))),"")</f>
        <v/>
      </c>
      <c r="AH331" s="36">
        <f>IF(A331&lt;&gt;"",MIN(MAX(AA331,AE331),AA331+$AH$8,AE331+$AH$8),"")</f>
        <v>101</v>
      </c>
      <c r="AI331" s="32" t="str">
        <f>IF(A331&lt;&gt;"",CHOOSE(10-MIN(9,TRUNC((AH331+0.5)/10)),"A","B","C","D","F","F","F","F","F","F"),"")</f>
        <v>A</v>
      </c>
      <c r="AJ331" s="32" t="str">
        <f>IF(A331&lt;&gt;"",IF(OR(AH331+0.5&gt;=93,AH331+0.5&lt;60),"",IF(MOD(AH331+0.5,10)&gt;=7,"+",IF(MOD(AH331+0.5,10)&lt;3,"-",""))),"")</f>
        <v/>
      </c>
      <c r="AK331" s="71" t="b">
        <f>IF(A331&lt;&gt;"",OR(AI331&lt;&gt;AC331,AJ331&lt;&gt;AD331),"")</f>
        <v>0</v>
      </c>
      <c r="AL331" s="86">
        <f>IF(AND(A331&lt;&gt;"",U331&lt;&gt;""),SUM(U331,$AL$8)/$AL$2*100,"")</f>
        <v>90.666666666666657</v>
      </c>
      <c r="AM331" s="71">
        <f>IF(AND(A331&lt;&gt;"",V331&lt;&gt;""),SUM(V331,$AM$8)/$AM$2*100,"")</f>
        <v>102.30769230769229</v>
      </c>
      <c r="AN331" s="71">
        <f>IF(AND(A331&lt;&gt;"",ISNUMBER(P331),P331&gt;=0),SUM(P331,$AN$8)/$AN$2*100,"")</f>
        <v>101</v>
      </c>
      <c r="AO331" s="71" t="str">
        <f>IF(AND(A331&lt;&gt;"",ISNUMBER(Q331),Q331&gt;=0),SUM(Q331,$AO$8)/$AO$2*100,"")</f>
        <v/>
      </c>
      <c r="AP331" s="24" t="str">
        <f>IF(AND(A331&lt;&gt;"",R331&lt;&gt;""),SUM(R331,$AP$8)/$AP$2*100,"")</f>
        <v/>
      </c>
      <c r="AQ331" s="24">
        <f>IF(AND(A331&lt;&gt;"",ISNUMBER(W331),W331&gt;=0),SUM(W331,$AQ$8)/$AQ$2*100,"")</f>
        <v>101</v>
      </c>
      <c r="AR331" s="24" t="str">
        <f>IF(AND(A331&lt;&gt;"",T331&gt;0,ISNUMBER(T331)),SUM(T331,$AR$8)/$AR$2*100,"")</f>
        <v/>
      </c>
      <c r="AS331" s="24" t="str">
        <f>IF(AND(A331&lt;&gt;"",X331&lt;&gt;""),SUM(X331,$AS$8)/$AS$2*100,"")</f>
        <v/>
      </c>
      <c r="AT331" s="89">
        <f>IF(AND(A331&lt;&gt;"",OR(ISNUMBER(W331),ISNUMBER(X331))),SUM(W331:X331,$AT$8)/$AT$2*100,"")</f>
        <v>101</v>
      </c>
      <c r="AU331" s="24">
        <f>AA331</f>
        <v>99.344262295081961</v>
      </c>
      <c r="AV331" s="71"/>
      <c r="AW331" s="27">
        <f>IF(A331&lt;&gt;"",AE331-AA331,"")</f>
        <v>1.6557377049180388</v>
      </c>
      <c r="AY331" s="27" t="b">
        <f>S331&gt;R331</f>
        <v>0</v>
      </c>
      <c r="BA331" s="27" t="e">
        <f>AND(AA331&gt;$BA$3,(W331+$W$8)/$W$2&lt;$BB$3,(X331+$X$8)/$X$2&lt;$BB$3)</f>
        <v>#VALUE!</v>
      </c>
      <c r="BB331" s="27" t="e">
        <f>AND(AA331&lt;$BA$3,AND(W331/$W$2&gt;$BB$3,X331/$X$2&gt;$BB$3))</f>
        <v>#VALUE!</v>
      </c>
      <c r="BC331" s="27" t="e">
        <f>AND(AA331&lt;$BA$3,OR(W331/$W$2&gt;$BB$3,X331/$X$2&gt;$BB$3))</f>
        <v>#VALUE!</v>
      </c>
      <c r="BE331" s="32" t="s">
        <v>84</v>
      </c>
    </row>
    <row r="332" spans="1:61" s="27" customFormat="1" ht="12.75" customHeight="1" x14ac:dyDescent="0.2">
      <c r="A332" s="10">
        <v>651184</v>
      </c>
      <c r="B332" s="2">
        <v>25</v>
      </c>
      <c r="C332" s="10">
        <v>24</v>
      </c>
      <c r="D332" s="10">
        <v>19</v>
      </c>
      <c r="E332" s="10"/>
      <c r="F332" s="10"/>
      <c r="G332" s="3"/>
      <c r="H332" s="10"/>
      <c r="I332" s="10"/>
      <c r="J332" s="2">
        <v>30</v>
      </c>
      <c r="K332" s="10">
        <v>52</v>
      </c>
      <c r="L332" s="10">
        <v>52</v>
      </c>
      <c r="M332" s="10"/>
      <c r="N332" s="10"/>
      <c r="O332" s="13"/>
      <c r="P332" s="10">
        <v>101</v>
      </c>
      <c r="Q332" s="10"/>
      <c r="R332" s="2"/>
      <c r="S332" s="10"/>
      <c r="T332" s="13"/>
      <c r="U332" s="7">
        <f t="array" ref="U332">IF(AND(A332&lt;&gt;"",OR(ISNUMBER(B332:I332))),SUM(B332:I332),"")</f>
        <v>68</v>
      </c>
      <c r="V332" s="10">
        <f t="array" ref="V332">IF(AND(A332&lt;&gt;"",OR(ISNUMBER(J332:O332))),SUM(J332:O332),"")</f>
        <v>134</v>
      </c>
      <c r="W332" s="10">
        <f t="array" ref="W332">IF(AND(A332&lt;&gt;"",OR(ISNUMBER(P332),ISNUMBER(Q332))),SUM(MAX(P332:Q332),Q332),"")</f>
        <v>101</v>
      </c>
      <c r="X332" s="10" t="str">
        <f t="array" ref="X332">IF(AND(A332&lt;&gt;"",OR(ISNUMBER(S332),ISNUMBER(T332))),SUM(S332,T332),"")</f>
        <v/>
      </c>
      <c r="Y332" s="13">
        <v>1</v>
      </c>
      <c r="Z332" s="13">
        <f>IF(A332&lt;&gt;"",SUM(U332:Y332),"")</f>
        <v>304</v>
      </c>
      <c r="AA332" s="27">
        <f>IF(A332&lt;&gt;"",(Z332+Normalize_To_Add)/(Point_Total_So_Far)*100,"")</f>
        <v>99.672131147540995</v>
      </c>
      <c r="AB332" s="10">
        <f>IF(A332&lt;&gt;"",RANK(AA332,All_Student_XC),"")</f>
        <v>124</v>
      </c>
      <c r="AC332" s="32" t="str">
        <f>IF(A332&lt;&gt;"",CHOOSE(10-MIN(9,TRUNC((AA332+0.5)/10)),"A","B","C","D","F","F","F","F","F","F"),"")</f>
        <v>A</v>
      </c>
      <c r="AD332" s="32" t="str">
        <f>IF(A332&lt;&gt;"",IF(OR(AA332+0.5&gt;=93,AA332+0.5&lt;60),"",IF(MOD(AA332+0.5,10)&gt;=7,"+",IF(MOD(AA332+0.5,10)&lt;3,"-",""))),"")</f>
        <v/>
      </c>
      <c r="AE332" s="32">
        <f>IF(A332&lt;&gt;"",SUM(W332:X332,$W$8:$X$8)/SUM($W$2:$X$2)*100,"")</f>
        <v>101</v>
      </c>
      <c r="AF332" s="32" t="str">
        <f>IF(A332&lt;&gt;"",CHOOSE(10-MIN(9,TRUNC((AE332+0.5)/10)),"A","B","C","D","F","F","F","F","F","F"),"")</f>
        <v>A</v>
      </c>
      <c r="AG332" s="32" t="str">
        <f>IF(A332&lt;&gt;"",IF(OR(AE332+0.5&gt;=93,AE332+0.5&lt;60),"",IF(MOD(AE332+0.5,10)&gt;=7,"+",IF(MOD(AE332+0.5,10)&lt;3,"-",""))),"")</f>
        <v/>
      </c>
      <c r="AH332" s="36">
        <f>IF(A332&lt;&gt;"",MIN(MAX(AA332,AE332),AA332+$AH$8,AE332+$AH$8),"")</f>
        <v>101</v>
      </c>
      <c r="AI332" s="32" t="str">
        <f>IF(A332&lt;&gt;"",CHOOSE(10-MIN(9,TRUNC((AH332+0.5)/10)),"A","B","C","D","F","F","F","F","F","F"),"")</f>
        <v>A</v>
      </c>
      <c r="AJ332" s="32" t="str">
        <f>IF(A332&lt;&gt;"",IF(OR(AH332+0.5&gt;=93,AH332+0.5&lt;60),"",IF(MOD(AH332+0.5,10)&gt;=7,"+",IF(MOD(AH332+0.5,10)&lt;3,"-",""))),"")</f>
        <v/>
      </c>
      <c r="AK332" s="32" t="b">
        <f>IF(A332&lt;&gt;"",OR(AI332&lt;&gt;AC332,AJ332&lt;&gt;AD332),"")</f>
        <v>0</v>
      </c>
      <c r="AL332" s="84">
        <f>IF(AND(A332&lt;&gt;"",U332&lt;&gt;""),SUM(U332,$AL$8)/$AL$2*100,"")</f>
        <v>90.666666666666657</v>
      </c>
      <c r="AM332" s="24">
        <f>IF(AND(A332&lt;&gt;"",V332&lt;&gt;""),SUM(V332,$AM$8)/$AM$2*100,"")</f>
        <v>103.07692307692307</v>
      </c>
      <c r="AN332" s="24">
        <f>IF(AND(A332&lt;&gt;"",ISNUMBER(P332),P332&gt;=0),SUM(P332,$AN$8)/$AN$2*100,"")</f>
        <v>101</v>
      </c>
      <c r="AO332" s="24" t="str">
        <f>IF(AND(A332&lt;&gt;"",ISNUMBER(Q332),Q332&gt;=0),SUM(Q332,$AO$8)/$AO$2*100,"")</f>
        <v/>
      </c>
      <c r="AP332" s="24" t="str">
        <f>IF(AND(A332&lt;&gt;"",R332&lt;&gt;""),SUM(R332,$AP$8)/$AP$2*100,"")</f>
        <v/>
      </c>
      <c r="AQ332" s="24">
        <f>IF(AND(A332&lt;&gt;"",ISNUMBER(W332),W332&gt;=0),SUM(W332,$AQ$8)/$AQ$2*100,"")</f>
        <v>101</v>
      </c>
      <c r="AR332" s="24" t="str">
        <f>IF(AND(A332&lt;&gt;"",T332&gt;0,ISNUMBER(T332)),SUM(T332,$AR$8)/$AR$2*100,"")</f>
        <v/>
      </c>
      <c r="AS332" s="24" t="str">
        <f>IF(AND(A332&lt;&gt;"",X332&lt;&gt;""),SUM(X332,$AS$8)/$AS$2*100,"")</f>
        <v/>
      </c>
      <c r="AT332" s="89">
        <f>IF(AND(A332&lt;&gt;"",OR(ISNUMBER(W332),ISNUMBER(X332))),SUM(W332:X332,$AT$8)/$AT$2*100,"")</f>
        <v>101</v>
      </c>
      <c r="AU332" s="24">
        <f>AA332</f>
        <v>99.672131147540995</v>
      </c>
      <c r="AV332" s="24"/>
      <c r="AW332" s="27">
        <f>IF(A332&lt;&gt;"",AE332-AA332,"")</f>
        <v>1.3278688524590052</v>
      </c>
      <c r="AY332" s="27" t="b">
        <f>S332&gt;R332</f>
        <v>0</v>
      </c>
      <c r="BA332" s="27" t="e">
        <f>AND(AA332&gt;$BA$3,(W332+$W$8)/$W$2&lt;$BB$3,(X332+$X$8)/$X$2&lt;$BB$3)</f>
        <v>#VALUE!</v>
      </c>
      <c r="BB332" s="27" t="e">
        <f>AND(AA332&lt;$BA$3,AND(W332/$W$2&gt;$BB$3,X332/$X$2&gt;$BB$3))</f>
        <v>#VALUE!</v>
      </c>
      <c r="BC332" s="27" t="e">
        <f>AND(AA332&lt;$BA$3,OR(W332/$W$2&gt;$BB$3,X332/$X$2&gt;$BB$3))</f>
        <v>#VALUE!</v>
      </c>
      <c r="BE332" s="32">
        <v>32</v>
      </c>
    </row>
    <row r="333" spans="1:61" s="27" customFormat="1" ht="12.75" customHeight="1" x14ac:dyDescent="0.2">
      <c r="A333" s="10">
        <v>652661</v>
      </c>
      <c r="B333" s="2">
        <v>19</v>
      </c>
      <c r="C333" s="10">
        <v>20</v>
      </c>
      <c r="D333" s="10">
        <v>21</v>
      </c>
      <c r="E333" s="10"/>
      <c r="F333" s="10"/>
      <c r="G333" s="10"/>
      <c r="H333" s="10"/>
      <c r="I333" s="10"/>
      <c r="J333" s="2"/>
      <c r="K333" s="10" t="s">
        <v>67</v>
      </c>
      <c r="L333" s="10">
        <v>36</v>
      </c>
      <c r="M333" s="10"/>
      <c r="N333" s="93"/>
      <c r="O333" s="13"/>
      <c r="P333" s="10">
        <v>100</v>
      </c>
      <c r="Q333" s="10"/>
      <c r="R333" s="2"/>
      <c r="S333" s="10"/>
      <c r="T333" s="13"/>
      <c r="U333" s="7">
        <f t="array" ref="U333">IF(AND(A333&lt;&gt;"",OR(ISNUMBER(B333:I333))),SUM(B333:I333),"")</f>
        <v>60</v>
      </c>
      <c r="V333" s="10">
        <f t="array" ref="V333">IF(AND(A333&lt;&gt;"",OR(ISNUMBER(J333:O333))),SUM(J333:O333),"")</f>
        <v>36</v>
      </c>
      <c r="W333" s="10">
        <f t="array" ref="W333">IF(AND(A333&lt;&gt;"",OR(ISNUMBER(P333),ISNUMBER(Q333))),SUM(MAX(P333:Q333),Q333),"")</f>
        <v>100</v>
      </c>
      <c r="X333" s="10" t="str">
        <f t="array" ref="X333">IF(AND(A333&lt;&gt;"",OR(ISNUMBER(S333),ISNUMBER(T333))),SUM(S333,T333),"")</f>
        <v/>
      </c>
      <c r="Y333" s="13"/>
      <c r="Z333" s="13">
        <f>IF(A333&lt;&gt;"",SUM(U333:Y333),"")</f>
        <v>196</v>
      </c>
      <c r="AA333" s="27">
        <f>IF(A333&lt;&gt;"",(Z333+Normalize_To_Add)/(Point_Total_So_Far)*100,"")</f>
        <v>64.26229508196721</v>
      </c>
      <c r="AB333" s="10">
        <f>IF(A333&lt;&gt;"",RANK(AA333,All_Student_XC),"")</f>
        <v>467</v>
      </c>
      <c r="AC333" s="32" t="str">
        <f>IF(A333&lt;&gt;"",CHOOSE(10-MIN(9,TRUNC((AA333+0.5)/10)),"A","B","C","D","F","F","F","F","F","F"),"")</f>
        <v>D</v>
      </c>
      <c r="AD333" s="31" t="str">
        <f>IF(A333&lt;&gt;"",IF(OR(AA333+0.5&gt;=93,AA333+0.5&lt;60),"",IF(MOD(AA333+0.5,10)&gt;=7,"+",IF(MOD(AA333+0.5,10)&lt;3,"-",""))),"")</f>
        <v/>
      </c>
      <c r="AE333" s="32">
        <f>IF(A333&lt;&gt;"",SUM(W333:X333,$W$8:$X$8)/SUM($W$2:$X$2)*100,"")</f>
        <v>100</v>
      </c>
      <c r="AF333" s="32" t="str">
        <f>IF(A333&lt;&gt;"",CHOOSE(10-MIN(9,TRUNC((AE333+0.5)/10)),"A","B","C","D","F","F","F","F","F","F"),"")</f>
        <v>A</v>
      </c>
      <c r="AG333" s="32" t="str">
        <f>IF(A333&lt;&gt;"",IF(OR(AE333+0.5&gt;=93,AE333+0.5&lt;60),"",IF(MOD(AE333+0.5,10)&gt;=7,"+",IF(MOD(AE333+0.5,10)&lt;3,"-",""))),"")</f>
        <v/>
      </c>
      <c r="AH333" s="36">
        <f>IF(A333&lt;&gt;"",MIN(MAX(AA333,AE333),AA333+$AH$8,AE333+$AH$8),"")</f>
        <v>100</v>
      </c>
      <c r="AI333" s="32" t="str">
        <f>IF(A333&lt;&gt;"",CHOOSE(10-MIN(9,TRUNC((AH333+0.5)/10)),"A","B","C","D","F","F","F","F","F","F"),"")</f>
        <v>A</v>
      </c>
      <c r="AJ333" s="32" t="str">
        <f>IF(A333&lt;&gt;"",IF(OR(AH333+0.5&gt;=93,AH333+0.5&lt;60),"",IF(MOD(AH333+0.5,10)&gt;=7,"+",IF(MOD(AH333+0.5,10)&lt;3,"-",""))),"")</f>
        <v/>
      </c>
      <c r="AK333" s="71" t="b">
        <f>IF(A333&lt;&gt;"",OR(AI333&lt;&gt;AC333,AJ333&lt;&gt;AD333),"")</f>
        <v>1</v>
      </c>
      <c r="AL333" s="86">
        <f>IF(AND(A333&lt;&gt;"",U333&lt;&gt;""),SUM(U333,$AL$8)/$AL$2*100,"")</f>
        <v>80</v>
      </c>
      <c r="AM333" s="71">
        <f>IF(AND(A333&lt;&gt;"",V333&lt;&gt;""),SUM(V333,$AM$8)/$AM$2*100,"")</f>
        <v>27.692307692307693</v>
      </c>
      <c r="AN333" s="71">
        <f>IF(AND(A333&lt;&gt;"",ISNUMBER(P333),P333&gt;=0),SUM(P333,$AN$8)/$AN$2*100,"")</f>
        <v>100</v>
      </c>
      <c r="AO333" s="71" t="str">
        <f>IF(AND(A333&lt;&gt;"",ISNUMBER(Q333),Q333&gt;=0),SUM(Q333,$AO$8)/$AO$2*100,"")</f>
        <v/>
      </c>
      <c r="AP333" s="24" t="str">
        <f>IF(AND(A333&lt;&gt;"",R333&lt;&gt;""),SUM(R333,$AP$8)/$AP$2*100,"")</f>
        <v/>
      </c>
      <c r="AQ333" s="24">
        <f>IF(AND(A333&lt;&gt;"",ISNUMBER(W333),W333&gt;=0),SUM(W333,$AQ$8)/$AQ$2*100,"")</f>
        <v>100</v>
      </c>
      <c r="AR333" s="24" t="str">
        <f>IF(AND(A333&lt;&gt;"",T333&gt;0,ISNUMBER(T333)),SUM(T333,$AR$8)/$AR$2*100,"")</f>
        <v/>
      </c>
      <c r="AS333" s="24" t="str">
        <f>IF(AND(A333&lt;&gt;"",X333&lt;&gt;""),SUM(X333,$AS$8)/$AS$2*100,"")</f>
        <v/>
      </c>
      <c r="AT333" s="89">
        <f>IF(AND(A333&lt;&gt;"",OR(ISNUMBER(W333),ISNUMBER(X333))),SUM(W333:X333,$AT$8)/$AT$2*100,"")</f>
        <v>100</v>
      </c>
      <c r="AU333" s="24">
        <f>AA333</f>
        <v>64.26229508196721</v>
      </c>
      <c r="AV333" s="71"/>
      <c r="AW333" s="27">
        <f>IF(A333&lt;&gt;"",AE333-AA333,"")</f>
        <v>35.73770491803279</v>
      </c>
      <c r="AY333" s="27" t="b">
        <f>S333&gt;R333</f>
        <v>0</v>
      </c>
      <c r="BA333" s="27" t="e">
        <f>AND(AA333&gt;$BA$3,(W333+$W$8)/$W$2&lt;$BB$3,(X333+$X$8)/$X$2&lt;$BB$3)</f>
        <v>#VALUE!</v>
      </c>
      <c r="BB333" s="27" t="e">
        <f>AND(AA333&lt;$BA$3,AND(W333/$W$2&gt;$BB$3,X333/$X$2&gt;$BB$3))</f>
        <v>#VALUE!</v>
      </c>
      <c r="BC333" s="27" t="e">
        <f>AND(AA333&lt;$BA$3,OR(W333/$W$2&gt;$BB$3,X333/$X$2&gt;$BB$3))</f>
        <v>#VALUE!</v>
      </c>
      <c r="BE333" s="32"/>
    </row>
    <row r="334" spans="1:61" s="27" customFormat="1" ht="12.75" customHeight="1" x14ac:dyDescent="0.2">
      <c r="A334" s="10">
        <v>652717</v>
      </c>
      <c r="B334" s="2">
        <v>19</v>
      </c>
      <c r="C334" s="10">
        <v>19</v>
      </c>
      <c r="D334" s="10">
        <v>20</v>
      </c>
      <c r="E334" s="10"/>
      <c r="F334" s="10"/>
      <c r="G334" s="3"/>
      <c r="H334" s="10"/>
      <c r="I334" s="10"/>
      <c r="J334" s="2">
        <v>26</v>
      </c>
      <c r="K334" s="10">
        <v>32</v>
      </c>
      <c r="L334" s="10">
        <v>48</v>
      </c>
      <c r="M334" s="10"/>
      <c r="N334" s="10"/>
      <c r="O334" s="12"/>
      <c r="P334" s="10">
        <v>101</v>
      </c>
      <c r="Q334" s="41"/>
      <c r="R334" s="2"/>
      <c r="S334" s="10"/>
      <c r="T334" s="13"/>
      <c r="U334" s="35">
        <f t="array" ref="U334">IF(AND(A334&lt;&gt;"",OR(ISNUMBER(B334:I334))),SUM(B334:I334),"")</f>
        <v>58</v>
      </c>
      <c r="V334" s="10">
        <f t="array" ref="V334">IF(AND(A334&lt;&gt;"",OR(ISNUMBER(J334:O334))),SUM(J334:O334),"")</f>
        <v>106</v>
      </c>
      <c r="W334" s="10">
        <f t="array" ref="W334">IF(AND(A334&lt;&gt;"",OR(ISNUMBER(P334),ISNUMBER(Q334))),SUM(MAX(P334:Q334),Q334),"")</f>
        <v>101</v>
      </c>
      <c r="X334" s="10" t="str">
        <f t="array" ref="X334">IF(AND(A334&lt;&gt;"",OR(ISNUMBER(S334),ISNUMBER(T334))),SUM(S334,T334),"")</f>
        <v/>
      </c>
      <c r="Y334" s="13">
        <v>1</v>
      </c>
      <c r="Z334" s="13">
        <f>IF(A334&lt;&gt;"",SUM(U334:Y334),"")</f>
        <v>266</v>
      </c>
      <c r="AA334" s="27">
        <f>IF(A334&lt;&gt;"",(Z334+Normalize_To_Add)/(Point_Total_So_Far)*100,"")</f>
        <v>87.21311475409837</v>
      </c>
      <c r="AB334" s="10">
        <f>IF(A334&lt;&gt;"",RANK(AA334,All_Student_XC),"")</f>
        <v>362</v>
      </c>
      <c r="AC334" s="32" t="str">
        <f>IF(A334&lt;&gt;"",CHOOSE(10-MIN(9,TRUNC((AA334+0.5)/10)),"A","B","C","D","F","F","F","F","F","F"),"")</f>
        <v>B</v>
      </c>
      <c r="AD334" s="32" t="str">
        <f>IF(A334&lt;&gt;"",IF(OR(AA334+0.5&gt;=93,AA334+0.5&lt;60),"",IF(MOD(AA334+0.5,10)&gt;=7,"+",IF(MOD(AA334+0.5,10)&lt;3,"-",""))),"")</f>
        <v>+</v>
      </c>
      <c r="AE334" s="32">
        <f>IF(A334&lt;&gt;"",SUM(W334:X334,$W$8:$X$8)/SUM($W$2:$X$2)*100,"")</f>
        <v>101</v>
      </c>
      <c r="AF334" s="32" t="str">
        <f>IF(A334&lt;&gt;"",CHOOSE(10-MIN(9,TRUNC((AE334+0.5)/10)),"A","B","C","D","F","F","F","F","F","F"),"")</f>
        <v>A</v>
      </c>
      <c r="AG334" s="32" t="str">
        <f>IF(A334&lt;&gt;"",IF(OR(AE334+0.5&gt;=93,AE334+0.5&lt;60),"",IF(MOD(AE334+0.5,10)&gt;=7,"+",IF(MOD(AE334+0.5,10)&lt;3,"-",""))),"")</f>
        <v/>
      </c>
      <c r="AH334" s="36">
        <f>IF(A334&lt;&gt;"",MIN(MAX(AA334,AE334),AA334+$AH$8,AE334+$AH$8),"")</f>
        <v>101</v>
      </c>
      <c r="AI334" s="32" t="str">
        <f>IF(A334&lt;&gt;"",CHOOSE(10-MIN(9,TRUNC((AH334+0.5)/10)),"A","B","C","D","F","F","F","F","F","F"),"")</f>
        <v>A</v>
      </c>
      <c r="AJ334" s="32" t="str">
        <f>IF(A334&lt;&gt;"",IF(OR(AH334+0.5&gt;=93,AH334+0.5&lt;60),"",IF(MOD(AH334+0.5,10)&gt;=7,"+",IF(MOD(AH334+0.5,10)&lt;3,"-",""))),"")</f>
        <v/>
      </c>
      <c r="AK334" s="32" t="b">
        <f>IF(A334&lt;&gt;"",OR(AI334&lt;&gt;AC334,AJ334&lt;&gt;AD334),"")</f>
        <v>1</v>
      </c>
      <c r="AL334" s="84">
        <f>IF(AND(A334&lt;&gt;"",U334&lt;&gt;""),SUM(U334,$AL$8)/$AL$2*100,"")</f>
        <v>77.333333333333329</v>
      </c>
      <c r="AM334" s="24">
        <f>IF(AND(A334&lt;&gt;"",V334&lt;&gt;""),SUM(V334,$AM$8)/$AM$2*100,"")</f>
        <v>81.538461538461533</v>
      </c>
      <c r="AN334" s="24">
        <f>IF(AND(A334&lt;&gt;"",ISNUMBER(P334),P334&gt;=0),SUM(P334,$AN$8)/$AN$2*100,"")</f>
        <v>101</v>
      </c>
      <c r="AO334" s="24" t="str">
        <f>IF(AND(A334&lt;&gt;"",ISNUMBER(Q334),Q334&gt;=0),SUM(Q334,$AO$8)/$AO$2*100,"")</f>
        <v/>
      </c>
      <c r="AP334" s="24" t="str">
        <f>IF(AND(A334&lt;&gt;"",R334&lt;&gt;""),SUM(R334,$AP$8)/$AP$2*100,"")</f>
        <v/>
      </c>
      <c r="AQ334" s="24">
        <f>IF(AND(A334&lt;&gt;"",ISNUMBER(W334),W334&gt;=0),SUM(W334,$AQ$8)/$AQ$2*100,"")</f>
        <v>101</v>
      </c>
      <c r="AR334" s="24" t="str">
        <f>IF(AND(A334&lt;&gt;"",T334&gt;0,ISNUMBER(T334)),SUM(T334,$AR$8)/$AR$2*100,"")</f>
        <v/>
      </c>
      <c r="AS334" s="24" t="str">
        <f>IF(AND(A334&lt;&gt;"",X334&lt;&gt;""),SUM(X334,$AS$8)/$AS$2*100,"")</f>
        <v/>
      </c>
      <c r="AT334" s="89">
        <f>IF(AND(A334&lt;&gt;"",OR(ISNUMBER(W334),ISNUMBER(X334))),SUM(W334:X334,$AT$8)/$AT$2*100,"")</f>
        <v>101</v>
      </c>
      <c r="AU334" s="24">
        <f>AA334</f>
        <v>87.21311475409837</v>
      </c>
      <c r="AV334" s="24"/>
      <c r="AW334" s="27">
        <f>IF(A334&lt;&gt;"",AE334-AA334,"")</f>
        <v>13.78688524590163</v>
      </c>
      <c r="AY334" s="27" t="b">
        <f>S334&gt;R334</f>
        <v>0</v>
      </c>
      <c r="BA334" s="27" t="e">
        <f>AND(AA334&gt;$BA$3,(W334+$W$8)/$W$2&lt;$BB$3,(X334+$X$8)/$X$2&lt;$BB$3)</f>
        <v>#VALUE!</v>
      </c>
      <c r="BB334" s="27" t="e">
        <f>AND(AA334&lt;$BA$3,AND(W334/$W$2&gt;$BB$3,X334/$X$2&gt;$BB$3))</f>
        <v>#VALUE!</v>
      </c>
      <c r="BC334" s="27" t="e">
        <f>AND(AA334&lt;$BA$3,OR(W334/$W$2&gt;$BB$3,X334/$X$2&gt;$BB$3))</f>
        <v>#VALUE!</v>
      </c>
      <c r="BE334" s="32">
        <v>32</v>
      </c>
    </row>
    <row r="335" spans="1:61" s="27" customFormat="1" ht="12.75" customHeight="1" x14ac:dyDescent="0.2">
      <c r="A335" s="10">
        <v>653832</v>
      </c>
      <c r="B335" s="2">
        <v>7</v>
      </c>
      <c r="C335" s="41">
        <v>21</v>
      </c>
      <c r="D335" s="10">
        <v>18</v>
      </c>
      <c r="E335" s="10"/>
      <c r="F335" s="10"/>
      <c r="G335" s="3"/>
      <c r="H335" s="10"/>
      <c r="I335" s="10"/>
      <c r="J335" s="2">
        <v>19</v>
      </c>
      <c r="K335" s="10">
        <v>22</v>
      </c>
      <c r="L335" s="10">
        <v>33</v>
      </c>
      <c r="M335" s="10"/>
      <c r="N335" s="93"/>
      <c r="O335" s="12"/>
      <c r="P335" s="10">
        <v>100</v>
      </c>
      <c r="Q335" s="41"/>
      <c r="R335" s="2"/>
      <c r="S335" s="10"/>
      <c r="T335" s="13"/>
      <c r="U335" s="7">
        <f t="array" ref="U335">IF(AND(A335&lt;&gt;"",OR(ISNUMBER(B335:I335))),SUM(B335:I335),"")</f>
        <v>46</v>
      </c>
      <c r="V335" s="10">
        <f t="array" ref="V335">IF(AND(A335&lt;&gt;"",OR(ISNUMBER(J335:O335))),SUM(J335:O335),"")</f>
        <v>74</v>
      </c>
      <c r="W335" s="10">
        <f t="array" ref="W335">IF(AND(A335&lt;&gt;"",OR(ISNUMBER(P335),ISNUMBER(Q335))),SUM(MAX(P335:Q335),Q335),"")</f>
        <v>100</v>
      </c>
      <c r="X335" s="10" t="str">
        <f t="array" ref="X335">IF(AND(A335&lt;&gt;"",OR(ISNUMBER(S335),ISNUMBER(T335))),SUM(S335,T335),"")</f>
        <v/>
      </c>
      <c r="Y335" s="13">
        <v>1</v>
      </c>
      <c r="Z335" s="13">
        <f>IF(A335&lt;&gt;"",SUM(U335:Y335),"")</f>
        <v>221</v>
      </c>
      <c r="AA335" s="27">
        <f>IF(A335&lt;&gt;"",(Z335+Normalize_To_Add)/(Point_Total_So_Far)*100,"")</f>
        <v>72.459016393442624</v>
      </c>
      <c r="AB335" s="10">
        <f>IF(A335&lt;&gt;"",RANK(AA335,All_Student_XC),"")</f>
        <v>449</v>
      </c>
      <c r="AC335" s="32" t="str">
        <f>IF(A335&lt;&gt;"",CHOOSE(10-MIN(9,TRUNC((AA335+0.5)/10)),"A","B","C","D","F","F","F","F","F","F"),"")</f>
        <v>C</v>
      </c>
      <c r="AD335" s="32" t="str">
        <f>IF(A335&lt;&gt;"",IF(OR(AA335+0.5&gt;=93,AA335+0.5&lt;60),"",IF(MOD(AA335+0.5,10)&gt;=7,"+",IF(MOD(AA335+0.5,10)&lt;3,"-",""))),"")</f>
        <v>-</v>
      </c>
      <c r="AE335" s="32">
        <f>IF(A335&lt;&gt;"",SUM(W335:X335,$W$8:$X$8)/SUM($W$2:$X$2)*100,"")</f>
        <v>100</v>
      </c>
      <c r="AF335" s="32" t="str">
        <f>IF(A335&lt;&gt;"",CHOOSE(10-MIN(9,TRUNC((AE335+0.5)/10)),"A","B","C","D","F","F","F","F","F","F"),"")</f>
        <v>A</v>
      </c>
      <c r="AG335" s="32" t="str">
        <f>IF(A335&lt;&gt;"",IF(OR(AE335+0.5&gt;=93,AE335+0.5&lt;60),"",IF(MOD(AE335+0.5,10)&gt;=7,"+",IF(MOD(AE335+0.5,10)&lt;3,"-",""))),"")</f>
        <v/>
      </c>
      <c r="AH335" s="36">
        <f>IF(A335&lt;&gt;"",MIN(MAX(AA335,AE335),AA335+$AH$8,AE335+$AH$8),"")</f>
        <v>100</v>
      </c>
      <c r="AI335" s="32" t="str">
        <f>IF(A335&lt;&gt;"",CHOOSE(10-MIN(9,TRUNC((AH335+0.5)/10)),"A","B","C","D","F","F","F","F","F","F"),"")</f>
        <v>A</v>
      </c>
      <c r="AJ335" s="32" t="str">
        <f>IF(A335&lt;&gt;"",IF(OR(AH335+0.5&gt;=93,AH335+0.5&lt;60),"",IF(MOD(AH335+0.5,10)&gt;=7,"+",IF(MOD(AH335+0.5,10)&lt;3,"-",""))),"")</f>
        <v/>
      </c>
      <c r="AK335" s="32" t="b">
        <f>IF(A335&lt;&gt;"",OR(AI335&lt;&gt;AC335,AJ335&lt;&gt;AD335),"")</f>
        <v>1</v>
      </c>
      <c r="AL335" s="84">
        <f>IF(AND(A335&lt;&gt;"",U335&lt;&gt;""),SUM(U335,$AL$8)/$AL$2*100,"")</f>
        <v>61.333333333333329</v>
      </c>
      <c r="AM335" s="24">
        <f>IF(AND(A335&lt;&gt;"",V335&lt;&gt;""),SUM(V335,$AM$8)/$AM$2*100,"")</f>
        <v>56.92307692307692</v>
      </c>
      <c r="AN335" s="24">
        <f>IF(AND(A335&lt;&gt;"",ISNUMBER(P335),P335&gt;=0),SUM(P335,$AN$8)/$AN$2*100,"")</f>
        <v>100</v>
      </c>
      <c r="AO335" s="24" t="str">
        <f>IF(AND(A335&lt;&gt;"",ISNUMBER(Q335),Q335&gt;=0),SUM(Q335,$AO$8)/$AO$2*100,"")</f>
        <v/>
      </c>
      <c r="AP335" s="24" t="str">
        <f>IF(AND(A335&lt;&gt;"",R335&lt;&gt;""),SUM(R335,$AP$8)/$AP$2*100,"")</f>
        <v/>
      </c>
      <c r="AQ335" s="24">
        <f>IF(AND(A335&lt;&gt;"",ISNUMBER(W335),W335&gt;=0),SUM(W335,$AQ$8)/$AQ$2*100,"")</f>
        <v>100</v>
      </c>
      <c r="AR335" s="24" t="str">
        <f>IF(AND(A335&lt;&gt;"",T335&gt;0,ISNUMBER(T335)),SUM(T335,$AR$8)/$AR$2*100,"")</f>
        <v/>
      </c>
      <c r="AS335" s="24" t="str">
        <f>IF(AND(A335&lt;&gt;"",X335&lt;&gt;""),SUM(X335,$AS$8)/$AS$2*100,"")</f>
        <v/>
      </c>
      <c r="AT335" s="89">
        <f>IF(AND(A335&lt;&gt;"",OR(ISNUMBER(W335),ISNUMBER(X335))),SUM(W335:X335,$AT$8)/$AT$2*100,"")</f>
        <v>100</v>
      </c>
      <c r="AU335" s="24">
        <f>AA335</f>
        <v>72.459016393442624</v>
      </c>
      <c r="AV335" s="24"/>
      <c r="AW335" s="27">
        <f>IF(A335&lt;&gt;"",AE335-AA335,"")</f>
        <v>27.540983606557376</v>
      </c>
      <c r="AY335" s="27" t="b">
        <f>S335&gt;R335</f>
        <v>0</v>
      </c>
      <c r="BA335" s="27" t="e">
        <f>AND(AA335&gt;$BA$3,(W335+$W$8)/$W$2&lt;$BB$3,(X335+$X$8)/$X$2&lt;$BB$3)</f>
        <v>#VALUE!</v>
      </c>
      <c r="BB335" s="27" t="e">
        <f>AND(AA335&lt;$BA$3,AND(W335/$W$2&gt;$BB$3,X335/$X$2&gt;$BB$3))</f>
        <v>#VALUE!</v>
      </c>
      <c r="BC335" s="27" t="e">
        <f>AND(AA335&lt;$BA$3,OR(W335/$W$2&gt;$BB$3,X335/$X$2&gt;$BB$3))</f>
        <v>#VALUE!</v>
      </c>
      <c r="BE335" s="32" t="s">
        <v>85</v>
      </c>
      <c r="BI335" s="27" t="e">
        <f>AVERAGE(BA335:BG335)</f>
        <v>#VALUE!</v>
      </c>
    </row>
    <row r="336" spans="1:61" s="27" customFormat="1" ht="12.75" customHeight="1" x14ac:dyDescent="0.2">
      <c r="A336" s="10">
        <v>654271</v>
      </c>
      <c r="B336" s="2">
        <v>20</v>
      </c>
      <c r="C336" s="10">
        <v>25</v>
      </c>
      <c r="D336" s="10">
        <v>22</v>
      </c>
      <c r="E336" s="10"/>
      <c r="F336" s="10"/>
      <c r="G336" s="10"/>
      <c r="H336" s="10"/>
      <c r="I336" s="10"/>
      <c r="J336" s="2">
        <v>30</v>
      </c>
      <c r="K336" s="10">
        <v>52</v>
      </c>
      <c r="L336" s="10">
        <v>52</v>
      </c>
      <c r="M336" s="10"/>
      <c r="N336" s="93"/>
      <c r="O336" s="13"/>
      <c r="P336" s="10">
        <v>101</v>
      </c>
      <c r="Q336" s="10"/>
      <c r="R336" s="2"/>
      <c r="S336" s="10"/>
      <c r="T336" s="13"/>
      <c r="U336" s="7">
        <f t="array" ref="U336">IF(AND(A336&lt;&gt;"",OR(ISNUMBER(B336:I336))),SUM(B336:I336),"")</f>
        <v>67</v>
      </c>
      <c r="V336" s="10">
        <f t="array" ref="V336">IF(AND(A336&lt;&gt;"",OR(ISNUMBER(J336:O336))),SUM(J336:O336),"")</f>
        <v>134</v>
      </c>
      <c r="W336" s="10">
        <f t="array" ref="W336">IF(AND(A336&lt;&gt;"",OR(ISNUMBER(P336),ISNUMBER(Q336))),SUM(MAX(P336:Q336),Q336),"")</f>
        <v>101</v>
      </c>
      <c r="X336" s="10" t="str">
        <f t="array" ref="X336">IF(AND(A336&lt;&gt;"",OR(ISNUMBER(S336),ISNUMBER(T336))),SUM(S336,T336),"")</f>
        <v/>
      </c>
      <c r="Y336" s="13">
        <v>1</v>
      </c>
      <c r="Z336" s="13">
        <f>IF(A336&lt;&gt;"",SUM(U336:Y336),"")</f>
        <v>303</v>
      </c>
      <c r="AA336" s="27">
        <f>IF(A336&lt;&gt;"",(Z336+Normalize_To_Add)/(Point_Total_So_Far)*100,"")</f>
        <v>99.344262295081961</v>
      </c>
      <c r="AB336" s="10">
        <f>IF(A336&lt;&gt;"",RANK(AA336,All_Student_XC),"")</f>
        <v>145</v>
      </c>
      <c r="AC336" s="32" t="str">
        <f>IF(A336&lt;&gt;"",CHOOSE(10-MIN(9,TRUNC((AA336+0.5)/10)),"A","B","C","D","F","F","F","F","F","F"),"")</f>
        <v>A</v>
      </c>
      <c r="AD336" s="31" t="str">
        <f>IF(A336&lt;&gt;"",IF(OR(AA336+0.5&gt;=93,AA336+0.5&lt;60),"",IF(MOD(AA336+0.5,10)&gt;=7,"+",IF(MOD(AA336+0.5,10)&lt;3,"-",""))),"")</f>
        <v/>
      </c>
      <c r="AE336" s="32">
        <f>IF(A336&lt;&gt;"",SUM(W336:X336,$W$8:$X$8)/SUM($W$2:$X$2)*100,"")</f>
        <v>101</v>
      </c>
      <c r="AF336" s="32" t="str">
        <f>IF(A336&lt;&gt;"",CHOOSE(10-MIN(9,TRUNC((AE336+0.5)/10)),"A","B","C","D","F","F","F","F","F","F"),"")</f>
        <v>A</v>
      </c>
      <c r="AG336" s="32" t="str">
        <f>IF(A336&lt;&gt;"",IF(OR(AE336+0.5&gt;=93,AE336+0.5&lt;60),"",IF(MOD(AE336+0.5,10)&gt;=7,"+",IF(MOD(AE336+0.5,10)&lt;3,"-",""))),"")</f>
        <v/>
      </c>
      <c r="AH336" s="36">
        <f>IF(A336&lt;&gt;"",MIN(MAX(AA336,AE336),AA336+$AH$8,AE336+$AH$8),"")</f>
        <v>101</v>
      </c>
      <c r="AI336" s="32" t="str">
        <f>IF(A336&lt;&gt;"",CHOOSE(10-MIN(9,TRUNC((AH336+0.5)/10)),"A","B","C","D","F","F","F","F","F","F"),"")</f>
        <v>A</v>
      </c>
      <c r="AJ336" s="32" t="str">
        <f>IF(A336&lt;&gt;"",IF(OR(AH336+0.5&gt;=93,AH336+0.5&lt;60),"",IF(MOD(AH336+0.5,10)&gt;=7,"+",IF(MOD(AH336+0.5,10)&lt;3,"-",""))),"")</f>
        <v/>
      </c>
      <c r="AK336" s="71" t="b">
        <f>IF(A336&lt;&gt;"",OR(AI336&lt;&gt;AC336,AJ336&lt;&gt;AD336),"")</f>
        <v>0</v>
      </c>
      <c r="AL336" s="86">
        <f>IF(AND(A336&lt;&gt;"",U336&lt;&gt;""),SUM(U336,$AL$8)/$AL$2*100,"")</f>
        <v>89.333333333333329</v>
      </c>
      <c r="AM336" s="71">
        <f>IF(AND(A336&lt;&gt;"",V336&lt;&gt;""),SUM(V336,$AM$8)/$AM$2*100,"")</f>
        <v>103.07692307692307</v>
      </c>
      <c r="AN336" s="71">
        <f>IF(AND(A336&lt;&gt;"",ISNUMBER(P336),P336&gt;=0),SUM(P336,$AN$8)/$AN$2*100,"")</f>
        <v>101</v>
      </c>
      <c r="AO336" s="71" t="str">
        <f>IF(AND(A336&lt;&gt;"",ISNUMBER(Q336),Q336&gt;=0),SUM(Q336,$AO$8)/$AO$2*100,"")</f>
        <v/>
      </c>
      <c r="AP336" s="24" t="str">
        <f>IF(AND(A336&lt;&gt;"",R336&lt;&gt;""),SUM(R336,$AP$8)/$AP$2*100,"")</f>
        <v/>
      </c>
      <c r="AQ336" s="24">
        <f>IF(AND(A336&lt;&gt;"",ISNUMBER(W336),W336&gt;=0),SUM(W336,$AQ$8)/$AQ$2*100,"")</f>
        <v>101</v>
      </c>
      <c r="AR336" s="24" t="str">
        <f>IF(AND(A336&lt;&gt;"",T336&gt;0,ISNUMBER(T336)),SUM(T336,$AR$8)/$AR$2*100,"")</f>
        <v/>
      </c>
      <c r="AS336" s="24" t="str">
        <f>IF(AND(A336&lt;&gt;"",X336&lt;&gt;""),SUM(X336,$AS$8)/$AS$2*100,"")</f>
        <v/>
      </c>
      <c r="AT336" s="89">
        <f>IF(AND(A336&lt;&gt;"",OR(ISNUMBER(W336),ISNUMBER(X336))),SUM(W336:X336,$AT$8)/$AT$2*100,"")</f>
        <v>101</v>
      </c>
      <c r="AU336" s="24">
        <f>AA336</f>
        <v>99.344262295081961</v>
      </c>
      <c r="AV336" s="71"/>
      <c r="AW336" s="27">
        <f>IF(A336&lt;&gt;"",AE336-AA336,"")</f>
        <v>1.6557377049180388</v>
      </c>
      <c r="AY336" s="27" t="b">
        <f>S336&gt;R336</f>
        <v>0</v>
      </c>
      <c r="BA336" s="27" t="e">
        <f>AND(AA336&gt;$BA$3,(W336+$W$8)/$W$2&lt;$BB$3,(X336+$X$8)/$X$2&lt;$BB$3)</f>
        <v>#VALUE!</v>
      </c>
      <c r="BB336" s="27" t="e">
        <f>AND(AA336&lt;$BA$3,AND(W336/$W$2&gt;$BB$3,X336/$X$2&gt;$BB$3))</f>
        <v>#VALUE!</v>
      </c>
      <c r="BC336" s="27" t="e">
        <f>AND(AA336&lt;$BA$3,OR(W336/$W$2&gt;$BB$3,X336/$X$2&gt;$BB$3))</f>
        <v>#VALUE!</v>
      </c>
      <c r="BE336" s="32" t="s">
        <v>84</v>
      </c>
    </row>
    <row r="337" spans="1:57" s="27" customFormat="1" ht="12.75" customHeight="1" x14ac:dyDescent="0.2">
      <c r="A337" s="56">
        <v>656777</v>
      </c>
      <c r="B337" s="2">
        <v>8</v>
      </c>
      <c r="C337" s="10">
        <v>13</v>
      </c>
      <c r="D337" s="10" t="s">
        <v>67</v>
      </c>
      <c r="E337" s="10"/>
      <c r="F337" s="10"/>
      <c r="G337" s="3"/>
      <c r="H337" s="10"/>
      <c r="I337" s="10"/>
      <c r="J337" s="2">
        <v>28</v>
      </c>
      <c r="K337" s="10">
        <v>12</v>
      </c>
      <c r="L337" s="10">
        <v>35</v>
      </c>
      <c r="M337" s="10"/>
      <c r="N337" s="93"/>
      <c r="O337" s="12"/>
      <c r="P337" s="10">
        <v>101</v>
      </c>
      <c r="Q337" s="41"/>
      <c r="R337" s="2"/>
      <c r="S337" s="10"/>
      <c r="T337" s="13"/>
      <c r="U337" s="7">
        <f t="array" ref="U337">IF(AND(A337&lt;&gt;"",OR(ISNUMBER(B337:I337))),SUM(B337:I337),"")</f>
        <v>21</v>
      </c>
      <c r="V337" s="10">
        <f t="array" ref="V337">IF(AND(A337&lt;&gt;"",OR(ISNUMBER(J337:O337))),SUM(J337:O337),"")</f>
        <v>75</v>
      </c>
      <c r="W337" s="10">
        <f t="array" ref="W337">IF(AND(A337&lt;&gt;"",OR(ISNUMBER(P337),ISNUMBER(Q337))),SUM(MAX(P337:Q337),Q337),"")</f>
        <v>101</v>
      </c>
      <c r="X337" s="10" t="str">
        <f t="array" ref="X337">IF(AND(A337&lt;&gt;"",OR(ISNUMBER(S337),ISNUMBER(T337))),SUM(S337,T337),"")</f>
        <v/>
      </c>
      <c r="Y337" s="13">
        <v>1</v>
      </c>
      <c r="Z337" s="13">
        <f>IF(A337&lt;&gt;"",SUM(U337:Y337),"")</f>
        <v>198</v>
      </c>
      <c r="AA337" s="27">
        <f>IF(A337&lt;&gt;"",(Z337+Normalize_To_Add)/(Point_Total_So_Far)*100,"")</f>
        <v>64.918032786885249</v>
      </c>
      <c r="AB337" s="10">
        <f>IF(A337&lt;&gt;"",RANK(AA337,All_Student_XC),"")</f>
        <v>466</v>
      </c>
      <c r="AC337" s="32" t="str">
        <f>IF(A337&lt;&gt;"",CHOOSE(10-MIN(9,TRUNC((AA337+0.5)/10)),"A","B","C","D","F","F","F","F","F","F"),"")</f>
        <v>D</v>
      </c>
      <c r="AD337" s="32" t="str">
        <f>IF(A337&lt;&gt;"",IF(OR(AA337+0.5&gt;=93,AA337+0.5&lt;60),"",IF(MOD(AA337+0.5,10)&gt;=7,"+",IF(MOD(AA337+0.5,10)&lt;3,"-",""))),"")</f>
        <v/>
      </c>
      <c r="AE337" s="32">
        <f>IF(A337&lt;&gt;"",SUM(W337:X337,$W$8:$X$8)/SUM($W$2:$X$2)*100,"")</f>
        <v>101</v>
      </c>
      <c r="AF337" s="32" t="str">
        <f>IF(A337&lt;&gt;"",CHOOSE(10-MIN(9,TRUNC((AE337+0.5)/10)),"A","B","C","D","F","F","F","F","F","F"),"")</f>
        <v>A</v>
      </c>
      <c r="AG337" s="32" t="str">
        <f>IF(A337&lt;&gt;"",IF(OR(AE337+0.5&gt;=93,AE337+0.5&lt;60),"",IF(MOD(AE337+0.5,10)&gt;=7,"+",IF(MOD(AE337+0.5,10)&lt;3,"-",""))),"")</f>
        <v/>
      </c>
      <c r="AH337" s="36">
        <f>IF(A337&lt;&gt;"",MIN(MAX(AA337,AE337),AA337+$AH$8,AE337+$AH$8),"")</f>
        <v>101</v>
      </c>
      <c r="AI337" s="32" t="str">
        <f>IF(A337&lt;&gt;"",CHOOSE(10-MIN(9,TRUNC((AH337+0.5)/10)),"A","B","C","D","F","F","F","F","F","F"),"")</f>
        <v>A</v>
      </c>
      <c r="AJ337" s="32" t="str">
        <f>IF(A337&lt;&gt;"",IF(OR(AH337+0.5&gt;=93,AH337+0.5&lt;60),"",IF(MOD(AH337+0.5,10)&gt;=7,"+",IF(MOD(AH337+0.5,10)&lt;3,"-",""))),"")</f>
        <v/>
      </c>
      <c r="AK337" s="32" t="b">
        <f>IF(A337&lt;&gt;"",OR(AI337&lt;&gt;AC337,AJ337&lt;&gt;AD337),"")</f>
        <v>1</v>
      </c>
      <c r="AL337" s="84">
        <f>IF(AND(A337&lt;&gt;"",U337&lt;&gt;""),SUM(U337,$AL$8)/$AL$2*100,"")</f>
        <v>28.000000000000004</v>
      </c>
      <c r="AM337" s="24">
        <f>IF(AND(A337&lt;&gt;"",V337&lt;&gt;""),SUM(V337,$AM$8)/$AM$2*100,"")</f>
        <v>57.692307692307686</v>
      </c>
      <c r="AN337" s="24">
        <f>IF(AND(A337&lt;&gt;"",ISNUMBER(P337),P337&gt;=0),SUM(P337,$AN$8)/$AN$2*100,"")</f>
        <v>101</v>
      </c>
      <c r="AO337" s="24" t="str">
        <f>IF(AND(A337&lt;&gt;"",ISNUMBER(Q337),Q337&gt;=0),SUM(Q337,$AO$8)/$AO$2*100,"")</f>
        <v/>
      </c>
      <c r="AP337" s="24" t="str">
        <f>IF(AND(A337&lt;&gt;"",R337&lt;&gt;""),SUM(R337,$AP$8)/$AP$2*100,"")</f>
        <v/>
      </c>
      <c r="AQ337" s="24">
        <f>IF(AND(A337&lt;&gt;"",ISNUMBER(W337),W337&gt;=0),SUM(W337,$AQ$8)/$AQ$2*100,"")</f>
        <v>101</v>
      </c>
      <c r="AR337" s="24" t="str">
        <f>IF(AND(A337&lt;&gt;"",T337&gt;0,ISNUMBER(T337)),SUM(T337,$AR$8)/$AR$2*100,"")</f>
        <v/>
      </c>
      <c r="AS337" s="24" t="str">
        <f>IF(AND(A337&lt;&gt;"",X337&lt;&gt;""),SUM(X337,$AS$8)/$AS$2*100,"")</f>
        <v/>
      </c>
      <c r="AT337" s="89">
        <f>IF(AND(A337&lt;&gt;"",OR(ISNUMBER(W337),ISNUMBER(X337))),SUM(W337:X337,$AT$8)/$AT$2*100,"")</f>
        <v>101</v>
      </c>
      <c r="AU337" s="24">
        <f>AA337</f>
        <v>64.918032786885249</v>
      </c>
      <c r="AV337" s="24"/>
      <c r="AW337" s="27">
        <f>IF(A337&lt;&gt;"",AE337-AA337,"")</f>
        <v>36.081967213114751</v>
      </c>
      <c r="AY337" s="27" t="b">
        <f>S337&gt;R337</f>
        <v>0</v>
      </c>
      <c r="BA337" s="27" t="e">
        <f>AND(AA337&gt;$BA$3,(W337+$W$8)/$W$2&lt;$BB$3,(X337+$X$8)/$X$2&lt;$BB$3)</f>
        <v>#VALUE!</v>
      </c>
      <c r="BB337" s="27" t="e">
        <f>AND(AA337&lt;$BA$3,AND(W337/$W$2&gt;$BB$3,X337/$X$2&gt;$BB$3))</f>
        <v>#VALUE!</v>
      </c>
      <c r="BC337" s="27" t="e">
        <f>AND(AA337&lt;$BA$3,OR(W337/$W$2&gt;$BB$3,X337/$X$2&gt;$BB$3))</f>
        <v>#VALUE!</v>
      </c>
      <c r="BE337" s="32">
        <v>32</v>
      </c>
    </row>
    <row r="338" spans="1:57" s="27" customFormat="1" ht="12.75" customHeight="1" x14ac:dyDescent="0.2">
      <c r="A338" s="10">
        <v>663048</v>
      </c>
      <c r="B338" s="2">
        <v>13</v>
      </c>
      <c r="C338" s="10">
        <v>19</v>
      </c>
      <c r="D338" s="10">
        <v>19</v>
      </c>
      <c r="E338" s="10"/>
      <c r="F338" s="10"/>
      <c r="G338" s="10"/>
      <c r="H338" s="10"/>
      <c r="I338" s="10"/>
      <c r="J338" s="2">
        <v>27</v>
      </c>
      <c r="K338" s="10">
        <v>14</v>
      </c>
      <c r="L338" s="10">
        <v>43</v>
      </c>
      <c r="M338" s="10"/>
      <c r="N338" s="93"/>
      <c r="O338" s="13"/>
      <c r="P338" s="10">
        <v>100</v>
      </c>
      <c r="Q338" s="10"/>
      <c r="R338" s="2"/>
      <c r="S338" s="10"/>
      <c r="T338" s="13"/>
      <c r="U338" s="7">
        <f t="array" ref="U338">IF(AND(A338&lt;&gt;"",OR(ISNUMBER(B338:I338))),SUM(B338:I338),"")</f>
        <v>51</v>
      </c>
      <c r="V338" s="10">
        <f t="array" ref="V338">IF(AND(A338&lt;&gt;"",OR(ISNUMBER(J338:O338))),SUM(J338:O338),"")</f>
        <v>84</v>
      </c>
      <c r="W338" s="10">
        <f t="array" ref="W338">IF(AND(A338&lt;&gt;"",OR(ISNUMBER(P338),ISNUMBER(Q338))),SUM(MAX(P338:Q338),Q338),"")</f>
        <v>100</v>
      </c>
      <c r="X338" s="10" t="str">
        <f t="array" ref="X338">IF(AND(A338&lt;&gt;"",OR(ISNUMBER(S338),ISNUMBER(T338))),SUM(S338,T338),"")</f>
        <v/>
      </c>
      <c r="Y338" s="13">
        <v>1</v>
      </c>
      <c r="Z338" s="13">
        <f>IF(A338&lt;&gt;"",SUM(U338:Y338),"")</f>
        <v>236</v>
      </c>
      <c r="AA338" s="27">
        <f>IF(A338&lt;&gt;"",(Z338+Normalize_To_Add)/(Point_Total_So_Far)*100,"")</f>
        <v>77.377049180327873</v>
      </c>
      <c r="AB338" s="10">
        <f>IF(A338&lt;&gt;"",RANK(AA338,All_Student_XC),"")</f>
        <v>426</v>
      </c>
      <c r="AC338" s="32" t="str">
        <f>IF(A338&lt;&gt;"",CHOOSE(10-MIN(9,TRUNC((AA338+0.5)/10)),"A","B","C","D","F","F","F","F","F","F"),"")</f>
        <v>C</v>
      </c>
      <c r="AD338" s="31" t="str">
        <f>IF(A338&lt;&gt;"",IF(OR(AA338+0.5&gt;=93,AA338+0.5&lt;60),"",IF(MOD(AA338+0.5,10)&gt;=7,"+",IF(MOD(AA338+0.5,10)&lt;3,"-",""))),"")</f>
        <v>+</v>
      </c>
      <c r="AE338" s="32">
        <f>IF(A338&lt;&gt;"",SUM(W338:X338,$W$8:$X$8)/SUM($W$2:$X$2)*100,"")</f>
        <v>100</v>
      </c>
      <c r="AF338" s="32" t="str">
        <f>IF(A338&lt;&gt;"",CHOOSE(10-MIN(9,TRUNC((AE338+0.5)/10)),"A","B","C","D","F","F","F","F","F","F"),"")</f>
        <v>A</v>
      </c>
      <c r="AG338" s="32" t="str">
        <f>IF(A338&lt;&gt;"",IF(OR(AE338+0.5&gt;=93,AE338+0.5&lt;60),"",IF(MOD(AE338+0.5,10)&gt;=7,"+",IF(MOD(AE338+0.5,10)&lt;3,"-",""))),"")</f>
        <v/>
      </c>
      <c r="AH338" s="36">
        <f>IF(A338&lt;&gt;"",MIN(MAX(AA338,AE338),AA338+$AH$8,AE338+$AH$8),"")</f>
        <v>100</v>
      </c>
      <c r="AI338" s="32" t="str">
        <f>IF(A338&lt;&gt;"",CHOOSE(10-MIN(9,TRUNC((AH338+0.5)/10)),"A","B","C","D","F","F","F","F","F","F"),"")</f>
        <v>A</v>
      </c>
      <c r="AJ338" s="32" t="str">
        <f>IF(A338&lt;&gt;"",IF(OR(AH338+0.5&gt;=93,AH338+0.5&lt;60),"",IF(MOD(AH338+0.5,10)&gt;=7,"+",IF(MOD(AH338+0.5,10)&lt;3,"-",""))),"")</f>
        <v/>
      </c>
      <c r="AK338" s="71" t="b">
        <f>IF(A338&lt;&gt;"",OR(AI338&lt;&gt;AC338,AJ338&lt;&gt;AD338),"")</f>
        <v>1</v>
      </c>
      <c r="AL338" s="86">
        <f>IF(AND(A338&lt;&gt;"",U338&lt;&gt;""),SUM(U338,$AL$8)/$AL$2*100,"")</f>
        <v>68</v>
      </c>
      <c r="AM338" s="71">
        <f>IF(AND(A338&lt;&gt;"",V338&lt;&gt;""),SUM(V338,$AM$8)/$AM$2*100,"")</f>
        <v>64.615384615384613</v>
      </c>
      <c r="AN338" s="71">
        <f>IF(AND(A338&lt;&gt;"",ISNUMBER(P338),P338&gt;=0),SUM(P338,$AN$8)/$AN$2*100,"")</f>
        <v>100</v>
      </c>
      <c r="AO338" s="71" t="str">
        <f>IF(AND(A338&lt;&gt;"",ISNUMBER(Q338),Q338&gt;=0),SUM(Q338,$AO$8)/$AO$2*100,"")</f>
        <v/>
      </c>
      <c r="AP338" s="24" t="str">
        <f>IF(AND(A338&lt;&gt;"",R338&lt;&gt;""),SUM(R338,$AP$8)/$AP$2*100,"")</f>
        <v/>
      </c>
      <c r="AQ338" s="24">
        <f>IF(AND(A338&lt;&gt;"",ISNUMBER(W338),W338&gt;=0),SUM(W338,$AQ$8)/$AQ$2*100,"")</f>
        <v>100</v>
      </c>
      <c r="AR338" s="24" t="str">
        <f>IF(AND(A338&lt;&gt;"",T338&gt;0,ISNUMBER(T338)),SUM(T338,$AR$8)/$AR$2*100,"")</f>
        <v/>
      </c>
      <c r="AS338" s="24" t="str">
        <f>IF(AND(A338&lt;&gt;"",X338&lt;&gt;""),SUM(X338,$AS$8)/$AS$2*100,"")</f>
        <v/>
      </c>
      <c r="AT338" s="89">
        <f>IF(AND(A338&lt;&gt;"",OR(ISNUMBER(W338),ISNUMBER(X338))),SUM(W338:X338,$AT$8)/$AT$2*100,"")</f>
        <v>100</v>
      </c>
      <c r="AU338" s="24">
        <f>AA338</f>
        <v>77.377049180327873</v>
      </c>
      <c r="AV338" s="71"/>
      <c r="AW338" s="27">
        <f>IF(A338&lt;&gt;"",AE338-AA338,"")</f>
        <v>22.622950819672127</v>
      </c>
      <c r="AY338" s="27" t="b">
        <f>S338&gt;R338</f>
        <v>0</v>
      </c>
      <c r="BA338" s="27" t="e">
        <f>AND(AA338&gt;$BA$3,(W338+$W$8)/$W$2&lt;$BB$3,(X338+$X$8)/$X$2&lt;$BB$3)</f>
        <v>#VALUE!</v>
      </c>
      <c r="BB338" s="27" t="e">
        <f>AND(AA338&lt;$BA$3,AND(W338/$W$2&gt;$BB$3,X338/$X$2&gt;$BB$3))</f>
        <v>#VALUE!</v>
      </c>
      <c r="BC338" s="27" t="e">
        <f>AND(AA338&lt;$BA$3,OR(W338/$W$2&gt;$BB$3,X338/$X$2&gt;$BB$3))</f>
        <v>#VALUE!</v>
      </c>
      <c r="BE338" s="32">
        <v>32</v>
      </c>
    </row>
    <row r="339" spans="1:57" s="27" customFormat="1" ht="12.75" customHeight="1" x14ac:dyDescent="0.2">
      <c r="A339" s="10">
        <v>663129</v>
      </c>
      <c r="B339" s="2">
        <v>15</v>
      </c>
      <c r="C339" s="10">
        <v>13</v>
      </c>
      <c r="D339" s="10" t="s">
        <v>67</v>
      </c>
      <c r="E339" s="10"/>
      <c r="F339" s="10"/>
      <c r="G339" s="10"/>
      <c r="H339" s="10"/>
      <c r="I339" s="10"/>
      <c r="J339" s="2">
        <v>29</v>
      </c>
      <c r="K339" s="10">
        <v>43</v>
      </c>
      <c r="L339" s="10">
        <v>49</v>
      </c>
      <c r="M339" s="10"/>
      <c r="N339" s="93"/>
      <c r="O339" s="13"/>
      <c r="P339" s="10">
        <v>101</v>
      </c>
      <c r="Q339" s="10"/>
      <c r="R339" s="2"/>
      <c r="S339" s="10"/>
      <c r="T339" s="13"/>
      <c r="U339" s="7">
        <f t="array" ref="U339">IF(AND(A339&lt;&gt;"",OR(ISNUMBER(B339:I339))),SUM(B339:I339),"")</f>
        <v>28</v>
      </c>
      <c r="V339" s="10">
        <f t="array" ref="V339">IF(AND(A339&lt;&gt;"",OR(ISNUMBER(J339:O339))),SUM(J339:O339),"")</f>
        <v>121</v>
      </c>
      <c r="W339" s="10">
        <f t="array" ref="W339">IF(AND(A339&lt;&gt;"",OR(ISNUMBER(P339),ISNUMBER(Q339))),SUM(MAX(P339:Q339),Q339),"")</f>
        <v>101</v>
      </c>
      <c r="X339" s="10" t="str">
        <f t="array" ref="X339">IF(AND(A339&lt;&gt;"",OR(ISNUMBER(S339),ISNUMBER(T339))),SUM(S339,T339),"")</f>
        <v/>
      </c>
      <c r="Y339" s="13">
        <v>1</v>
      </c>
      <c r="Z339" s="13">
        <f>IF(A339&lt;&gt;"",SUM(U339:Y339),"")</f>
        <v>251</v>
      </c>
      <c r="AA339" s="27">
        <f>IF(A339&lt;&gt;"",(Z339+Normalize_To_Add)/(Point_Total_So_Far)*100,"")</f>
        <v>82.295081967213108</v>
      </c>
      <c r="AB339" s="10">
        <f>IF(A339&lt;&gt;"",RANK(AA339,All_Student_XC),"")</f>
        <v>395</v>
      </c>
      <c r="AC339" s="32" t="str">
        <f>IF(A339&lt;&gt;"",CHOOSE(10-MIN(9,TRUNC((AA339+0.5)/10)),"A","B","C","D","F","F","F","F","F","F"),"")</f>
        <v>B</v>
      </c>
      <c r="AD339" s="31" t="str">
        <f>IF(A339&lt;&gt;"",IF(OR(AA339+0.5&gt;=93,AA339+0.5&lt;60),"",IF(MOD(AA339+0.5,10)&gt;=7,"+",IF(MOD(AA339+0.5,10)&lt;3,"-",""))),"")</f>
        <v>-</v>
      </c>
      <c r="AE339" s="32">
        <f>IF(A339&lt;&gt;"",SUM(W339:X339,$W$8:$X$8)/SUM($W$2:$X$2)*100,"")</f>
        <v>101</v>
      </c>
      <c r="AF339" s="32" t="str">
        <f>IF(A339&lt;&gt;"",CHOOSE(10-MIN(9,TRUNC((AE339+0.5)/10)),"A","B","C","D","F","F","F","F","F","F"),"")</f>
        <v>A</v>
      </c>
      <c r="AG339" s="32" t="str">
        <f>IF(A339&lt;&gt;"",IF(OR(AE339+0.5&gt;=93,AE339+0.5&lt;60),"",IF(MOD(AE339+0.5,10)&gt;=7,"+",IF(MOD(AE339+0.5,10)&lt;3,"-",""))),"")</f>
        <v/>
      </c>
      <c r="AH339" s="36">
        <f>IF(A339&lt;&gt;"",MIN(MAX(AA339,AE339),AA339+$AH$8,AE339+$AH$8),"")</f>
        <v>101</v>
      </c>
      <c r="AI339" s="32" t="str">
        <f>IF(A339&lt;&gt;"",CHOOSE(10-MIN(9,TRUNC((AH339+0.5)/10)),"A","B","C","D","F","F","F","F","F","F"),"")</f>
        <v>A</v>
      </c>
      <c r="AJ339" s="32" t="str">
        <f>IF(A339&lt;&gt;"",IF(OR(AH339+0.5&gt;=93,AH339+0.5&lt;60),"",IF(MOD(AH339+0.5,10)&gt;=7,"+",IF(MOD(AH339+0.5,10)&lt;3,"-",""))),"")</f>
        <v/>
      </c>
      <c r="AK339" s="71" t="b">
        <f>IF(A339&lt;&gt;"",OR(AI339&lt;&gt;AC339,AJ339&lt;&gt;AD339),"")</f>
        <v>1</v>
      </c>
      <c r="AL339" s="86">
        <f>IF(AND(A339&lt;&gt;"",U339&lt;&gt;""),SUM(U339,$AL$8)/$AL$2*100,"")</f>
        <v>37.333333333333336</v>
      </c>
      <c r="AM339" s="71">
        <f>IF(AND(A339&lt;&gt;"",V339&lt;&gt;""),SUM(V339,$AM$8)/$AM$2*100,"")</f>
        <v>93.07692307692308</v>
      </c>
      <c r="AN339" s="71">
        <f>IF(AND(A339&lt;&gt;"",ISNUMBER(P339),P339&gt;=0),SUM(P339,$AN$8)/$AN$2*100,"")</f>
        <v>101</v>
      </c>
      <c r="AO339" s="71" t="str">
        <f>IF(AND(A339&lt;&gt;"",ISNUMBER(Q339),Q339&gt;=0),SUM(Q339,$AO$8)/$AO$2*100,"")</f>
        <v/>
      </c>
      <c r="AP339" s="24" t="str">
        <f>IF(AND(A339&lt;&gt;"",R339&lt;&gt;""),SUM(R339,$AP$8)/$AP$2*100,"")</f>
        <v/>
      </c>
      <c r="AQ339" s="24">
        <f>IF(AND(A339&lt;&gt;"",ISNUMBER(W339),W339&gt;=0),SUM(W339,$AQ$8)/$AQ$2*100,"")</f>
        <v>101</v>
      </c>
      <c r="AR339" s="24" t="str">
        <f>IF(AND(A339&lt;&gt;"",T339&gt;0,ISNUMBER(T339)),SUM(T339,$AR$8)/$AR$2*100,"")</f>
        <v/>
      </c>
      <c r="AS339" s="24" t="str">
        <f>IF(AND(A339&lt;&gt;"",X339&lt;&gt;""),SUM(X339,$AS$8)/$AS$2*100,"")</f>
        <v/>
      </c>
      <c r="AT339" s="89">
        <f>IF(AND(A339&lt;&gt;"",OR(ISNUMBER(W339),ISNUMBER(X339))),SUM(W339:X339,$AT$8)/$AT$2*100,"")</f>
        <v>101</v>
      </c>
      <c r="AU339" s="24">
        <f>AA339</f>
        <v>82.295081967213108</v>
      </c>
      <c r="AV339" s="71"/>
      <c r="AW339" s="27">
        <f>IF(A339&lt;&gt;"",AE339-AA339,"")</f>
        <v>18.704918032786892</v>
      </c>
      <c r="AY339" s="27" t="b">
        <f>S339&gt;R339</f>
        <v>0</v>
      </c>
      <c r="BA339" s="27" t="e">
        <f>AND(AA339&gt;$BA$3,(W339+$W$8)/$W$2&lt;$BB$3,(X339+$X$8)/$X$2&lt;$BB$3)</f>
        <v>#VALUE!</v>
      </c>
      <c r="BB339" s="27" t="e">
        <f>AND(AA339&lt;$BA$3,AND(W339/$W$2&gt;$BB$3,X339/$X$2&gt;$BB$3))</f>
        <v>#VALUE!</v>
      </c>
      <c r="BC339" s="27" t="e">
        <f>AND(AA339&lt;$BA$3,OR(W339/$W$2&gt;$BB$3,X339/$X$2&gt;$BB$3))</f>
        <v>#VALUE!</v>
      </c>
      <c r="BE339" s="32" t="s">
        <v>84</v>
      </c>
    </row>
    <row r="340" spans="1:57" s="27" customFormat="1" ht="12.75" customHeight="1" x14ac:dyDescent="0.2">
      <c r="A340" s="10">
        <v>664208</v>
      </c>
      <c r="B340" s="2">
        <v>19</v>
      </c>
      <c r="C340" s="10">
        <v>20</v>
      </c>
      <c r="D340" s="10">
        <v>25</v>
      </c>
      <c r="E340" s="10"/>
      <c r="F340" s="10"/>
      <c r="G340" s="10"/>
      <c r="H340" s="10"/>
      <c r="I340" s="10"/>
      <c r="J340" s="2">
        <v>28</v>
      </c>
      <c r="K340" s="10">
        <v>34</v>
      </c>
      <c r="L340" s="10">
        <v>49</v>
      </c>
      <c r="M340" s="10"/>
      <c r="N340" s="93"/>
      <c r="O340" s="13"/>
      <c r="P340" s="10">
        <v>101</v>
      </c>
      <c r="Q340" s="10"/>
      <c r="R340" s="2"/>
      <c r="S340" s="10"/>
      <c r="T340" s="13"/>
      <c r="U340" s="7">
        <f t="array" ref="U340">IF(AND(A340&lt;&gt;"",OR(ISNUMBER(B340:I340))),SUM(B340:I340),"")</f>
        <v>64</v>
      </c>
      <c r="V340" s="10">
        <f t="array" ref="V340">IF(AND(A340&lt;&gt;"",OR(ISNUMBER(J340:O340))),SUM(J340:O340),"")</f>
        <v>111</v>
      </c>
      <c r="W340" s="10">
        <f t="array" ref="W340">IF(AND(A340&lt;&gt;"",OR(ISNUMBER(P340),ISNUMBER(Q340))),SUM(MAX(P340:Q340),Q340),"")</f>
        <v>101</v>
      </c>
      <c r="X340" s="10" t="str">
        <f t="array" ref="X340">IF(AND(A340&lt;&gt;"",OR(ISNUMBER(S340),ISNUMBER(T340))),SUM(S340,T340),"")</f>
        <v/>
      </c>
      <c r="Y340" s="13">
        <v>1</v>
      </c>
      <c r="Z340" s="13">
        <f>IF(A340&lt;&gt;"",SUM(U340:Y340),"")</f>
        <v>277</v>
      </c>
      <c r="AA340" s="27">
        <f>IF(A340&lt;&gt;"",(Z340+Normalize_To_Add)/(Point_Total_So_Far)*100,"")</f>
        <v>90.819672131147541</v>
      </c>
      <c r="AB340" s="10">
        <f>IF(A340&lt;&gt;"",RANK(AA340,All_Student_XC),"")</f>
        <v>324</v>
      </c>
      <c r="AC340" s="32" t="str">
        <f>IF(A340&lt;&gt;"",CHOOSE(10-MIN(9,TRUNC((AA340+0.5)/10)),"A","B","C","D","F","F","F","F","F","F"),"")</f>
        <v>A</v>
      </c>
      <c r="AD340" s="31" t="str">
        <f>IF(A340&lt;&gt;"",IF(OR(AA340+0.5&gt;=93,AA340+0.5&lt;60),"",IF(MOD(AA340+0.5,10)&gt;=7,"+",IF(MOD(AA340+0.5,10)&lt;3,"-",""))),"")</f>
        <v>-</v>
      </c>
      <c r="AE340" s="32">
        <f>IF(A340&lt;&gt;"",SUM(W340:X340,$W$8:$X$8)/SUM($W$2:$X$2)*100,"")</f>
        <v>101</v>
      </c>
      <c r="AF340" s="32" t="str">
        <f>IF(A340&lt;&gt;"",CHOOSE(10-MIN(9,TRUNC((AE340+0.5)/10)),"A","B","C","D","F","F","F","F","F","F"),"")</f>
        <v>A</v>
      </c>
      <c r="AG340" s="32" t="str">
        <f>IF(A340&lt;&gt;"",IF(OR(AE340+0.5&gt;=93,AE340+0.5&lt;60),"",IF(MOD(AE340+0.5,10)&gt;=7,"+",IF(MOD(AE340+0.5,10)&lt;3,"-",""))),"")</f>
        <v/>
      </c>
      <c r="AH340" s="36">
        <f>IF(A340&lt;&gt;"",MIN(MAX(AA340,AE340),AA340+$AH$8,AE340+$AH$8),"")</f>
        <v>101</v>
      </c>
      <c r="AI340" s="32" t="str">
        <f>IF(A340&lt;&gt;"",CHOOSE(10-MIN(9,TRUNC((AH340+0.5)/10)),"A","B","C","D","F","F","F","F","F","F"),"")</f>
        <v>A</v>
      </c>
      <c r="AJ340" s="32" t="str">
        <f>IF(A340&lt;&gt;"",IF(OR(AH340+0.5&gt;=93,AH340+0.5&lt;60),"",IF(MOD(AH340+0.5,10)&gt;=7,"+",IF(MOD(AH340+0.5,10)&lt;3,"-",""))),"")</f>
        <v/>
      </c>
      <c r="AK340" s="71" t="b">
        <f>IF(A340&lt;&gt;"",OR(AI340&lt;&gt;AC340,AJ340&lt;&gt;AD340),"")</f>
        <v>1</v>
      </c>
      <c r="AL340" s="86">
        <f>IF(AND(A340&lt;&gt;"",U340&lt;&gt;""),SUM(U340,$AL$8)/$AL$2*100,"")</f>
        <v>85.333333333333343</v>
      </c>
      <c r="AM340" s="71">
        <f>IF(AND(A340&lt;&gt;"",V340&lt;&gt;""),SUM(V340,$AM$8)/$AM$2*100,"")</f>
        <v>85.384615384615387</v>
      </c>
      <c r="AN340" s="71">
        <f>IF(AND(A340&lt;&gt;"",ISNUMBER(P340),P340&gt;=0),SUM(P340,$AN$8)/$AN$2*100,"")</f>
        <v>101</v>
      </c>
      <c r="AO340" s="71" t="str">
        <f>IF(AND(A340&lt;&gt;"",ISNUMBER(Q340),Q340&gt;=0),SUM(Q340,$AO$8)/$AO$2*100,"")</f>
        <v/>
      </c>
      <c r="AP340" s="24" t="str">
        <f>IF(AND(A340&lt;&gt;"",R340&lt;&gt;""),SUM(R340,$AP$8)/$AP$2*100,"")</f>
        <v/>
      </c>
      <c r="AQ340" s="24">
        <f>IF(AND(A340&lt;&gt;"",ISNUMBER(W340),W340&gt;=0),SUM(W340,$AQ$8)/$AQ$2*100,"")</f>
        <v>101</v>
      </c>
      <c r="AR340" s="24" t="str">
        <f>IF(AND(A340&lt;&gt;"",T340&gt;0,ISNUMBER(T340)),SUM(T340,$AR$8)/$AR$2*100,"")</f>
        <v/>
      </c>
      <c r="AS340" s="24" t="str">
        <f>IF(AND(A340&lt;&gt;"",X340&lt;&gt;""),SUM(X340,$AS$8)/$AS$2*100,"")</f>
        <v/>
      </c>
      <c r="AT340" s="89">
        <f>IF(AND(A340&lt;&gt;"",OR(ISNUMBER(W340),ISNUMBER(X340))),SUM(W340:X340,$AT$8)/$AT$2*100,"")</f>
        <v>101</v>
      </c>
      <c r="AU340" s="24">
        <f>AA340</f>
        <v>90.819672131147541</v>
      </c>
      <c r="AV340" s="71"/>
      <c r="AW340" s="27">
        <f>IF(A340&lt;&gt;"",AE340-AA340,"")</f>
        <v>10.180327868852459</v>
      </c>
      <c r="AY340" s="27" t="b">
        <f>S340&gt;R340</f>
        <v>0</v>
      </c>
      <c r="BA340" s="27" t="e">
        <f>AND(AA340&gt;$BA$3,(W340+$W$8)/$W$2&lt;$BB$3,(X340+$X$8)/$X$2&lt;$BB$3)</f>
        <v>#VALUE!</v>
      </c>
      <c r="BB340" s="27" t="e">
        <f>AND(AA340&lt;$BA$3,AND(W340/$W$2&gt;$BB$3,X340/$X$2&gt;$BB$3))</f>
        <v>#VALUE!</v>
      </c>
      <c r="BC340" s="27" t="e">
        <f>AND(AA340&lt;$BA$3,OR(W340/$W$2&gt;$BB$3,X340/$X$2&gt;$BB$3))</f>
        <v>#VALUE!</v>
      </c>
      <c r="BE340" s="32" t="s">
        <v>84</v>
      </c>
    </row>
    <row r="341" spans="1:57" s="27" customFormat="1" ht="12.75" customHeight="1" x14ac:dyDescent="0.2">
      <c r="A341" s="10">
        <v>664511</v>
      </c>
      <c r="B341" s="2">
        <v>24</v>
      </c>
      <c r="C341" s="10">
        <v>21</v>
      </c>
      <c r="D341" s="10">
        <v>25</v>
      </c>
      <c r="E341" s="10"/>
      <c r="F341" s="10"/>
      <c r="G341" s="10"/>
      <c r="H341" s="10"/>
      <c r="I341" s="10"/>
      <c r="J341" s="2">
        <v>27</v>
      </c>
      <c r="K341" s="10">
        <v>52</v>
      </c>
      <c r="L341" s="10">
        <v>52</v>
      </c>
      <c r="M341" s="10"/>
      <c r="N341" s="93"/>
      <c r="O341" s="13"/>
      <c r="P341" s="10">
        <v>101</v>
      </c>
      <c r="Q341" s="10"/>
      <c r="R341" s="2"/>
      <c r="S341" s="10"/>
      <c r="T341" s="13"/>
      <c r="U341" s="7">
        <f t="array" ref="U341">IF(AND(A341&lt;&gt;"",OR(ISNUMBER(B341:I341))),SUM(B341:I341),"")</f>
        <v>70</v>
      </c>
      <c r="V341" s="10">
        <f t="array" ref="V341">IF(AND(A341&lt;&gt;"",OR(ISNUMBER(J341:O341))),SUM(J341:O341),"")</f>
        <v>131</v>
      </c>
      <c r="W341" s="10">
        <f t="array" ref="W341">IF(AND(A341&lt;&gt;"",OR(ISNUMBER(P341),ISNUMBER(Q341))),SUM(MAX(P341:Q341),Q341),"")</f>
        <v>101</v>
      </c>
      <c r="X341" s="10" t="str">
        <f t="array" ref="X341">IF(AND(A341&lt;&gt;"",OR(ISNUMBER(S341),ISNUMBER(T341))),SUM(S341,T341),"")</f>
        <v/>
      </c>
      <c r="Y341" s="13">
        <v>1</v>
      </c>
      <c r="Z341" s="13">
        <f>IF(A341&lt;&gt;"",SUM(U341:Y341),"")</f>
        <v>303</v>
      </c>
      <c r="AA341" s="27">
        <f>IF(A341&lt;&gt;"",(Z341+Normalize_To_Add)/(Point_Total_So_Far)*100,"")</f>
        <v>99.344262295081961</v>
      </c>
      <c r="AB341" s="10">
        <f>IF(A341&lt;&gt;"",RANK(AA341,All_Student_XC),"")</f>
        <v>145</v>
      </c>
      <c r="AC341" s="32" t="str">
        <f>IF(A341&lt;&gt;"",CHOOSE(10-MIN(9,TRUNC((AA341+0.5)/10)),"A","B","C","D","F","F","F","F","F","F"),"")</f>
        <v>A</v>
      </c>
      <c r="AD341" s="31" t="str">
        <f>IF(A341&lt;&gt;"",IF(OR(AA341+0.5&gt;=93,AA341+0.5&lt;60),"",IF(MOD(AA341+0.5,10)&gt;=7,"+",IF(MOD(AA341+0.5,10)&lt;3,"-",""))),"")</f>
        <v/>
      </c>
      <c r="AE341" s="32">
        <f>IF(A341&lt;&gt;"",SUM(W341:X341,$W$8:$X$8)/SUM($W$2:$X$2)*100,"")</f>
        <v>101</v>
      </c>
      <c r="AF341" s="32" t="str">
        <f>IF(A341&lt;&gt;"",CHOOSE(10-MIN(9,TRUNC((AE341+0.5)/10)),"A","B","C","D","F","F","F","F","F","F"),"")</f>
        <v>A</v>
      </c>
      <c r="AG341" s="32" t="str">
        <f>IF(A341&lt;&gt;"",IF(OR(AE341+0.5&gt;=93,AE341+0.5&lt;60),"",IF(MOD(AE341+0.5,10)&gt;=7,"+",IF(MOD(AE341+0.5,10)&lt;3,"-",""))),"")</f>
        <v/>
      </c>
      <c r="AH341" s="36">
        <f>IF(A341&lt;&gt;"",MIN(MAX(AA341,AE341),AA341+$AH$8,AE341+$AH$8),"")</f>
        <v>101</v>
      </c>
      <c r="AI341" s="32" t="str">
        <f>IF(A341&lt;&gt;"",CHOOSE(10-MIN(9,TRUNC((AH341+0.5)/10)),"A","B","C","D","F","F","F","F","F","F"),"")</f>
        <v>A</v>
      </c>
      <c r="AJ341" s="32" t="str">
        <f>IF(A341&lt;&gt;"",IF(OR(AH341+0.5&gt;=93,AH341+0.5&lt;60),"",IF(MOD(AH341+0.5,10)&gt;=7,"+",IF(MOD(AH341+0.5,10)&lt;3,"-",""))),"")</f>
        <v/>
      </c>
      <c r="AK341" s="71" t="b">
        <f>IF(A341&lt;&gt;"",OR(AI341&lt;&gt;AC341,AJ341&lt;&gt;AD341),"")</f>
        <v>0</v>
      </c>
      <c r="AL341" s="86">
        <f>IF(AND(A341&lt;&gt;"",U341&lt;&gt;""),SUM(U341,$AL$8)/$AL$2*100,"")</f>
        <v>93.333333333333329</v>
      </c>
      <c r="AM341" s="71">
        <f>IF(AND(A341&lt;&gt;"",V341&lt;&gt;""),SUM(V341,$AM$8)/$AM$2*100,"")</f>
        <v>100.76923076923077</v>
      </c>
      <c r="AN341" s="71">
        <f>IF(AND(A341&lt;&gt;"",ISNUMBER(P341),P341&gt;=0),SUM(P341,$AN$8)/$AN$2*100,"")</f>
        <v>101</v>
      </c>
      <c r="AO341" s="71" t="str">
        <f>IF(AND(A341&lt;&gt;"",ISNUMBER(Q341),Q341&gt;=0),SUM(Q341,$AO$8)/$AO$2*100,"")</f>
        <v/>
      </c>
      <c r="AP341" s="24" t="str">
        <f>IF(AND(A341&lt;&gt;"",R341&lt;&gt;""),SUM(R341,$AP$8)/$AP$2*100,"")</f>
        <v/>
      </c>
      <c r="AQ341" s="24">
        <f>IF(AND(A341&lt;&gt;"",ISNUMBER(W341),W341&gt;=0),SUM(W341,$AQ$8)/$AQ$2*100,"")</f>
        <v>101</v>
      </c>
      <c r="AR341" s="24" t="str">
        <f>IF(AND(A341&lt;&gt;"",T341&gt;0,ISNUMBER(T341)),SUM(T341,$AR$8)/$AR$2*100,"")</f>
        <v/>
      </c>
      <c r="AS341" s="24" t="str">
        <f>IF(AND(A341&lt;&gt;"",X341&lt;&gt;""),SUM(X341,$AS$8)/$AS$2*100,"")</f>
        <v/>
      </c>
      <c r="AT341" s="89">
        <f>IF(AND(A341&lt;&gt;"",OR(ISNUMBER(W341),ISNUMBER(X341))),SUM(W341:X341,$AT$8)/$AT$2*100,"")</f>
        <v>101</v>
      </c>
      <c r="AU341" s="24">
        <f>AA341</f>
        <v>99.344262295081961</v>
      </c>
      <c r="AV341" s="71"/>
      <c r="AW341" s="27">
        <f>IF(A341&lt;&gt;"",AE341-AA341,"")</f>
        <v>1.6557377049180388</v>
      </c>
      <c r="AY341" s="27" t="b">
        <f>S341&gt;R341</f>
        <v>0</v>
      </c>
      <c r="BA341" s="27" t="e">
        <f>AND(AA341&gt;$BA$3,(W341+$W$8)/$W$2&lt;$BB$3,(X341+$X$8)/$X$2&lt;$BB$3)</f>
        <v>#VALUE!</v>
      </c>
      <c r="BB341" s="27" t="e">
        <f>AND(AA341&lt;$BA$3,AND(W341/$W$2&gt;$BB$3,X341/$X$2&gt;$BB$3))</f>
        <v>#VALUE!</v>
      </c>
      <c r="BC341" s="27" t="e">
        <f>AND(AA341&lt;$BA$3,OR(W341/$W$2&gt;$BB$3,X341/$X$2&gt;$BB$3))</f>
        <v>#VALUE!</v>
      </c>
      <c r="BE341" s="32" t="s">
        <v>84</v>
      </c>
    </row>
    <row r="342" spans="1:57" s="27" customFormat="1" ht="12.75" customHeight="1" x14ac:dyDescent="0.2">
      <c r="A342" s="10">
        <v>667754</v>
      </c>
      <c r="B342" s="2">
        <v>21</v>
      </c>
      <c r="C342" s="10">
        <v>21</v>
      </c>
      <c r="D342" s="10">
        <v>25</v>
      </c>
      <c r="E342" s="10"/>
      <c r="F342" s="10"/>
      <c r="G342" s="10"/>
      <c r="H342" s="10"/>
      <c r="I342" s="10"/>
      <c r="J342" s="2">
        <v>30</v>
      </c>
      <c r="K342" s="10">
        <v>50</v>
      </c>
      <c r="L342" s="10">
        <v>50</v>
      </c>
      <c r="M342" s="10"/>
      <c r="N342" s="93"/>
      <c r="O342" s="13"/>
      <c r="P342" s="10">
        <v>101</v>
      </c>
      <c r="Q342" s="10"/>
      <c r="R342" s="2"/>
      <c r="S342" s="10"/>
      <c r="T342" s="13"/>
      <c r="U342" s="7">
        <f t="array" ref="U342">IF(AND(A342&lt;&gt;"",OR(ISNUMBER(B342:I342))),SUM(B342:I342),"")</f>
        <v>67</v>
      </c>
      <c r="V342" s="10">
        <f t="array" ref="V342">IF(AND(A342&lt;&gt;"",OR(ISNUMBER(J342:O342))),SUM(J342:O342),"")</f>
        <v>130</v>
      </c>
      <c r="W342" s="10">
        <f t="array" ref="W342">IF(AND(A342&lt;&gt;"",OR(ISNUMBER(P342),ISNUMBER(Q342))),SUM(MAX(P342:Q342),Q342),"")</f>
        <v>101</v>
      </c>
      <c r="X342" s="10" t="str">
        <f t="array" ref="X342">IF(AND(A342&lt;&gt;"",OR(ISNUMBER(S342),ISNUMBER(T342))),SUM(S342,T342),"")</f>
        <v/>
      </c>
      <c r="Y342" s="13">
        <v>1</v>
      </c>
      <c r="Z342" s="13">
        <f>IF(A342&lt;&gt;"",SUM(U342:Y342),"")</f>
        <v>299</v>
      </c>
      <c r="AA342" s="27">
        <f>IF(A342&lt;&gt;"",(Z342+Normalize_To_Add)/(Point_Total_So_Far)*100,"")</f>
        <v>98.032786885245898</v>
      </c>
      <c r="AB342" s="10">
        <f>IF(A342&lt;&gt;"",RANK(AA342,All_Student_XC),"")</f>
        <v>195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>
        <f>IF(A342&lt;&gt;"",SUM(W342:X342,$W$8:$X$8)/SUM($W$2:$X$2)*100,"")</f>
        <v>101</v>
      </c>
      <c r="AF342" s="32" t="str">
        <f>IF(A342&lt;&gt;"",CHOOSE(10-MIN(9,TRUNC((AE342+0.5)/10)),"A","B","C","D","F","F","F","F","F","F"),"")</f>
        <v>A</v>
      </c>
      <c r="AG342" s="32" t="str">
        <f>IF(A342&lt;&gt;"",IF(OR(AE342+0.5&gt;=93,AE342+0.5&lt;60),"",IF(MOD(AE342+0.5,10)&gt;=7,"+",IF(MOD(AE342+0.5,10)&lt;3,"-",""))),"")</f>
        <v/>
      </c>
      <c r="AH342" s="36">
        <f>IF(A342&lt;&gt;"",MIN(MAX(AA342,AE342),AA342+$AH$8,AE342+$AH$8),"")</f>
        <v>101</v>
      </c>
      <c r="AI342" s="32" t="str">
        <f>IF(A342&lt;&gt;"",CHOOSE(10-MIN(9,TRUNC((AH342+0.5)/10)),"A","B","C","D","F","F","F","F","F","F"),"")</f>
        <v>A</v>
      </c>
      <c r="AJ342" s="32" t="str">
        <f>IF(A342&lt;&gt;"",IF(OR(AH342+0.5&gt;=93,AH342+0.5&lt;60),"",IF(MOD(AH342+0.5,10)&gt;=7,"+",IF(MOD(AH342+0.5,10)&lt;3,"-",""))),"")</f>
        <v/>
      </c>
      <c r="AK342" s="71" t="b">
        <f>IF(A342&lt;&gt;"",OR(AI342&lt;&gt;AC342,AJ342&lt;&gt;AD342),"")</f>
        <v>0</v>
      </c>
      <c r="AL342" s="86">
        <f>IF(AND(A342&lt;&gt;"",U342&lt;&gt;""),SUM(U342,$AL$8)/$AL$2*100,"")</f>
        <v>89.333333333333329</v>
      </c>
      <c r="AM342" s="71">
        <f>IF(AND(A342&lt;&gt;"",V342&lt;&gt;""),SUM(V342,$AM$8)/$AM$2*100,"")</f>
        <v>100</v>
      </c>
      <c r="AN342" s="71">
        <f>IF(AND(A342&lt;&gt;"",ISNUMBER(P342),P342&gt;=0),SUM(P342,$AN$8)/$AN$2*100,"")</f>
        <v>101</v>
      </c>
      <c r="AO342" s="71" t="str">
        <f>IF(AND(A342&lt;&gt;"",ISNUMBER(Q342),Q342&gt;=0),SUM(Q342,$AO$8)/$AO$2*100,"")</f>
        <v/>
      </c>
      <c r="AP342" s="24" t="str">
        <f>IF(AND(A342&lt;&gt;"",R342&lt;&gt;""),SUM(R342,$AP$8)/$AP$2*100,"")</f>
        <v/>
      </c>
      <c r="AQ342" s="24">
        <f>IF(AND(A342&lt;&gt;"",ISNUMBER(W342),W342&gt;=0),SUM(W342,$AQ$8)/$AQ$2*100,"")</f>
        <v>101</v>
      </c>
      <c r="AR342" s="24" t="str">
        <f>IF(AND(A342&lt;&gt;"",T342&gt;0,ISNUMBER(T342)),SUM(T342,$AR$8)/$AR$2*100,"")</f>
        <v/>
      </c>
      <c r="AS342" s="24" t="str">
        <f>IF(AND(A342&lt;&gt;"",X342&lt;&gt;""),SUM(X342,$AS$8)/$AS$2*100,"")</f>
        <v/>
      </c>
      <c r="AT342" s="89">
        <f>IF(AND(A342&lt;&gt;"",OR(ISNUMBER(W342),ISNUMBER(X342))),SUM(W342:X342,$AT$8)/$AT$2*100,"")</f>
        <v>101</v>
      </c>
      <c r="AU342" s="24">
        <f>AA342</f>
        <v>98.032786885245898</v>
      </c>
      <c r="AV342" s="71"/>
      <c r="AW342" s="27">
        <f>IF(A342&lt;&gt;"",AE342-AA342,"")</f>
        <v>2.9672131147541023</v>
      </c>
      <c r="AY342" s="27" t="b">
        <f>S342&gt;R342</f>
        <v>0</v>
      </c>
      <c r="BA342" s="27" t="e">
        <f>AND(AA342&gt;$BA$3,(W342+$W$8)/$W$2&lt;$BB$3,(X342+$X$8)/$X$2&lt;$BB$3)</f>
        <v>#VALUE!</v>
      </c>
      <c r="BB342" s="27" t="e">
        <f>AND(AA342&lt;$BA$3,AND(W342/$W$2&gt;$BB$3,X342/$X$2&gt;$BB$3))</f>
        <v>#VALUE!</v>
      </c>
      <c r="BC342" s="27" t="e">
        <f>AND(AA342&lt;$BA$3,OR(W342/$W$2&gt;$BB$3,X342/$X$2&gt;$BB$3))</f>
        <v>#VALUE!</v>
      </c>
      <c r="BE342" s="32">
        <v>32</v>
      </c>
    </row>
    <row r="343" spans="1:57" s="27" customFormat="1" ht="12.75" customHeight="1" x14ac:dyDescent="0.2">
      <c r="A343" s="10">
        <v>668367</v>
      </c>
      <c r="B343" s="2">
        <v>11</v>
      </c>
      <c r="C343" s="10">
        <v>20</v>
      </c>
      <c r="D343" s="10">
        <v>20</v>
      </c>
      <c r="E343" s="10"/>
      <c r="F343" s="10"/>
      <c r="G343" s="10"/>
      <c r="H343" s="10"/>
      <c r="I343" s="10"/>
      <c r="J343" s="2">
        <v>26</v>
      </c>
      <c r="K343" s="10">
        <v>32</v>
      </c>
      <c r="L343" s="10">
        <v>48</v>
      </c>
      <c r="M343" s="10"/>
      <c r="N343" s="10"/>
      <c r="O343" s="12"/>
      <c r="P343" s="10">
        <v>60</v>
      </c>
      <c r="Q343" s="41"/>
      <c r="R343" s="2"/>
      <c r="S343" s="10"/>
      <c r="T343" s="13"/>
      <c r="U343" s="35">
        <f t="array" ref="U343">IF(AND(A343&lt;&gt;"",OR(ISNUMBER(B343:I343))),SUM(B343:I343),"")</f>
        <v>51</v>
      </c>
      <c r="V343" s="10">
        <f t="array" ref="V343">IF(AND(A343&lt;&gt;"",OR(ISNUMBER(J343:O343))),SUM(J343:O343),"")</f>
        <v>106</v>
      </c>
      <c r="W343" s="10">
        <f t="array" ref="W343">IF(AND(A343&lt;&gt;"",OR(ISNUMBER(P343),ISNUMBER(Q343))),SUM(MAX(P343:Q343),Q343),"")</f>
        <v>60</v>
      </c>
      <c r="X343" s="10" t="str">
        <f t="array" ref="X343">IF(AND(A343&lt;&gt;"",OR(ISNUMBER(S343),ISNUMBER(T343))),SUM(S343,T343),"")</f>
        <v/>
      </c>
      <c r="Y343" s="13">
        <v>1</v>
      </c>
      <c r="Z343" s="13">
        <f>IF(A343&lt;&gt;"",SUM(U343:Y343),"")</f>
        <v>218</v>
      </c>
      <c r="AA343" s="27">
        <f>IF(A343&lt;&gt;"",(Z343+Normalize_To_Add)/(Point_Total_So_Far)*100,"")</f>
        <v>71.47540983606558</v>
      </c>
      <c r="AB343" s="10">
        <f>IF(A343&lt;&gt;"",RANK(AA343,All_Student_XC),"")</f>
        <v>455</v>
      </c>
      <c r="AC343" s="32" t="str">
        <f>IF(A343&lt;&gt;"",CHOOSE(10-MIN(9,TRUNC((AA343+0.5)/10)),"A","B","C","D","F","F","F","F","F","F"),"")</f>
        <v>C</v>
      </c>
      <c r="AD343" s="32" t="str">
        <f>IF(A343&lt;&gt;"",IF(OR(AA343+0.5&gt;=93,AA343+0.5&lt;60),"",IF(MOD(AA343+0.5,10)&gt;=7,"+",IF(MOD(AA343+0.5,10)&lt;3,"-",""))),"")</f>
        <v>-</v>
      </c>
      <c r="AE343" s="32">
        <f>IF(A343&lt;&gt;"",SUM(W343:X343,$W$8:$X$8)/SUM($W$2:$X$2)*100,"")</f>
        <v>60</v>
      </c>
      <c r="AF343" s="32" t="str">
        <f>IF(A343&lt;&gt;"",CHOOSE(10-MIN(9,TRUNC((AE343+0.5)/10)),"A","B","C","D","F","F","F","F","F","F"),"")</f>
        <v>D</v>
      </c>
      <c r="AG343" s="32" t="str">
        <f>IF(A343&lt;&gt;"",IF(OR(AE343+0.5&gt;=93,AE343+0.5&lt;60),"",IF(MOD(AE343+0.5,10)&gt;=7,"+",IF(MOD(AE343+0.5,10)&lt;3,"-",""))),"")</f>
        <v>-</v>
      </c>
      <c r="AH343" s="36">
        <f>IF(A343&lt;&gt;"",MIN(MAX(AA343,AE343),AA343+$AH$8,AE343+$AH$8),"")</f>
        <v>71.47540983606558</v>
      </c>
      <c r="AI343" s="32" t="str">
        <f>IF(A343&lt;&gt;"",CHOOSE(10-MIN(9,TRUNC((AH343+0.5)/10)),"A","B","C","D","F","F","F","F","F","F"),"")</f>
        <v>C</v>
      </c>
      <c r="AJ343" s="32" t="str">
        <f>IF(A343&lt;&gt;"",IF(OR(AH343+0.5&gt;=93,AH343+0.5&lt;60),"",IF(MOD(AH343+0.5,10)&gt;=7,"+",IF(MOD(AH343+0.5,10)&lt;3,"-",""))),"")</f>
        <v>-</v>
      </c>
      <c r="AK343" s="32" t="b">
        <f>IF(A343&lt;&gt;"",OR(AI343&lt;&gt;AC343,AJ343&lt;&gt;AD343),"")</f>
        <v>0</v>
      </c>
      <c r="AL343" s="84">
        <f>IF(AND(A343&lt;&gt;"",U343&lt;&gt;""),SUM(U343,$AL$8)/$AL$2*100,"")</f>
        <v>68</v>
      </c>
      <c r="AM343" s="24">
        <f>IF(AND(A343&lt;&gt;"",V343&lt;&gt;""),SUM(V343,$AM$8)/$AM$2*100,"")</f>
        <v>81.538461538461533</v>
      </c>
      <c r="AN343" s="24">
        <f>IF(AND(A343&lt;&gt;"",ISNUMBER(P343),P343&gt;=0),SUM(P343,$AN$8)/$AN$2*100,"")</f>
        <v>60</v>
      </c>
      <c r="AO343" s="24" t="str">
        <f>IF(AND(A343&lt;&gt;"",ISNUMBER(Q343),Q343&gt;=0),SUM(Q343,$AO$8)/$AO$2*100,"")</f>
        <v/>
      </c>
      <c r="AP343" s="24" t="str">
        <f>IF(AND(A343&lt;&gt;"",R343&lt;&gt;""),SUM(R343,$AP$8)/$AP$2*100,"")</f>
        <v/>
      </c>
      <c r="AQ343" s="24">
        <f>IF(AND(A343&lt;&gt;"",ISNUMBER(W343),W343&gt;=0),SUM(W343,$AQ$8)/$AQ$2*100,"")</f>
        <v>60</v>
      </c>
      <c r="AR343" s="24" t="str">
        <f>IF(AND(A343&lt;&gt;"",T343&gt;0,ISNUMBER(T343)),SUM(T343,$AR$8)/$AR$2*100,"")</f>
        <v/>
      </c>
      <c r="AS343" s="24" t="str">
        <f>IF(AND(A343&lt;&gt;"",X343&lt;&gt;""),SUM(X343,$AS$8)/$AS$2*100,"")</f>
        <v/>
      </c>
      <c r="AT343" s="89">
        <f>IF(AND(A343&lt;&gt;"",OR(ISNUMBER(W343),ISNUMBER(X343))),SUM(W343:X343,$AT$8)/$AT$2*100,"")</f>
        <v>60</v>
      </c>
      <c r="AU343" s="24">
        <f>AA343</f>
        <v>71.47540983606558</v>
      </c>
      <c r="AV343" s="24"/>
      <c r="AW343" s="27">
        <f>IF(A343&lt;&gt;"",AE343-AA343,"")</f>
        <v>-11.47540983606558</v>
      </c>
      <c r="AY343" s="27" t="b">
        <f>S343&gt;R343</f>
        <v>0</v>
      </c>
      <c r="BA343" s="27" t="e">
        <f>AND(AA343&gt;$BA$3,(W343+$W$8)/$W$2&lt;$BB$3,(X343+$X$8)/$X$2&lt;$BB$3)</f>
        <v>#VALUE!</v>
      </c>
      <c r="BB343" s="27" t="e">
        <f>AND(AA343&lt;$BA$3,AND(W343/$W$2&gt;$BB$3,X343/$X$2&gt;$BB$3))</f>
        <v>#VALUE!</v>
      </c>
      <c r="BC343" s="27" t="e">
        <f>AND(AA343&lt;$BA$3,OR(W343/$W$2&gt;$BB$3,X343/$X$2&gt;$BB$3))</f>
        <v>#VALUE!</v>
      </c>
      <c r="BE343" s="32">
        <v>32</v>
      </c>
    </row>
    <row r="344" spans="1:57" s="27" customFormat="1" ht="12.75" customHeight="1" x14ac:dyDescent="0.2">
      <c r="A344" s="10">
        <v>670863</v>
      </c>
      <c r="B344" s="2">
        <v>24</v>
      </c>
      <c r="C344" s="10">
        <v>23</v>
      </c>
      <c r="D344" s="10">
        <v>25</v>
      </c>
      <c r="E344" s="10"/>
      <c r="F344" s="10"/>
      <c r="G344" s="10"/>
      <c r="H344" s="10"/>
      <c r="I344" s="10"/>
      <c r="J344" s="2">
        <v>32</v>
      </c>
      <c r="K344" s="10">
        <v>52</v>
      </c>
      <c r="L344" s="10">
        <v>52</v>
      </c>
      <c r="M344" s="10"/>
      <c r="N344" s="93"/>
      <c r="O344" s="13"/>
      <c r="P344" s="10">
        <v>101</v>
      </c>
      <c r="Q344" s="10"/>
      <c r="R344" s="2"/>
      <c r="S344" s="10"/>
      <c r="T344" s="13"/>
      <c r="U344" s="7">
        <f t="array" ref="U344">IF(AND(A344&lt;&gt;"",OR(ISNUMBER(B344:I344))),SUM(B344:I344),"")</f>
        <v>72</v>
      </c>
      <c r="V344" s="10">
        <f t="array" ref="V344">IF(AND(A344&lt;&gt;"",OR(ISNUMBER(J344:O344))),SUM(J344:O344),"")</f>
        <v>136</v>
      </c>
      <c r="W344" s="10">
        <f t="array" ref="W344">IF(AND(A344&lt;&gt;"",OR(ISNUMBER(P344),ISNUMBER(Q344))),SUM(MAX(P344:Q344),Q344),"")</f>
        <v>101</v>
      </c>
      <c r="X344" s="10" t="str">
        <f t="array" ref="X344">IF(AND(A344&lt;&gt;"",OR(ISNUMBER(S344),ISNUMBER(T344))),SUM(S344,T344),"")</f>
        <v/>
      </c>
      <c r="Y344" s="13">
        <v>1</v>
      </c>
      <c r="Z344" s="13">
        <f>IF(A344&lt;&gt;"",SUM(U344:Y344),"")</f>
        <v>310</v>
      </c>
      <c r="AA344" s="27">
        <f>IF(A344&lt;&gt;"",(Z344+Normalize_To_Add)/(Point_Total_So_Far)*100,"")</f>
        <v>101.63934426229508</v>
      </c>
      <c r="AB344" s="10">
        <f>IF(A344&lt;&gt;"",RANK(AA344,All_Student_XC),"")</f>
        <v>19</v>
      </c>
      <c r="AC344" s="32" t="str">
        <f>IF(A344&lt;&gt;"",CHOOSE(10-MIN(9,TRUNC((AA344+0.5)/10)),"A","B","C","D","F","F","F","F","F","F"),"")</f>
        <v>A</v>
      </c>
      <c r="AD344" s="31" t="str">
        <f>IF(A344&lt;&gt;"",IF(OR(AA344+0.5&gt;=93,AA344+0.5&lt;60),"",IF(MOD(AA344+0.5,10)&gt;=7,"+",IF(MOD(AA344+0.5,10)&lt;3,"-",""))),"")</f>
        <v/>
      </c>
      <c r="AE344" s="32">
        <f>IF(A344&lt;&gt;"",SUM(W344:X344,$W$8:$X$8)/SUM($W$2:$X$2)*100,"")</f>
        <v>101</v>
      </c>
      <c r="AF344" s="32" t="str">
        <f>IF(A344&lt;&gt;"",CHOOSE(10-MIN(9,TRUNC((AE344+0.5)/10)),"A","B","C","D","F","F","F","F","F","F"),"")</f>
        <v>A</v>
      </c>
      <c r="AG344" s="32" t="str">
        <f>IF(A344&lt;&gt;"",IF(OR(AE344+0.5&gt;=93,AE344+0.5&lt;60),"",IF(MOD(AE344+0.5,10)&gt;=7,"+",IF(MOD(AE344+0.5,10)&lt;3,"-",""))),"")</f>
        <v/>
      </c>
      <c r="AH344" s="36">
        <f>IF(A344&lt;&gt;"",MIN(MAX(AA344,AE344),AA344+$AH$8,AE344+$AH$8),"")</f>
        <v>101.63934426229508</v>
      </c>
      <c r="AI344" s="32" t="str">
        <f>IF(A344&lt;&gt;"",CHOOSE(10-MIN(9,TRUNC((AH344+0.5)/10)),"A","B","C","D","F","F","F","F","F","F"),"")</f>
        <v>A</v>
      </c>
      <c r="AJ344" s="32" t="str">
        <f>IF(A344&lt;&gt;"",IF(OR(AH344+0.5&gt;=93,AH344+0.5&lt;60),"",IF(MOD(AH344+0.5,10)&gt;=7,"+",IF(MOD(AH344+0.5,10)&lt;3,"-",""))),"")</f>
        <v/>
      </c>
      <c r="AK344" s="71" t="b">
        <f>IF(A344&lt;&gt;"",OR(AI344&lt;&gt;AC344,AJ344&lt;&gt;AD344),"")</f>
        <v>0</v>
      </c>
      <c r="AL344" s="86">
        <f>IF(AND(A344&lt;&gt;"",U344&lt;&gt;""),SUM(U344,$AL$8)/$AL$2*100,"")</f>
        <v>96</v>
      </c>
      <c r="AM344" s="71">
        <f>IF(AND(A344&lt;&gt;"",V344&lt;&gt;""),SUM(V344,$AM$8)/$AM$2*100,"")</f>
        <v>104.61538461538463</v>
      </c>
      <c r="AN344" s="71">
        <f>IF(AND(A344&lt;&gt;"",ISNUMBER(P344),P344&gt;=0),SUM(P344,$AN$8)/$AN$2*100,"")</f>
        <v>101</v>
      </c>
      <c r="AO344" s="71" t="str">
        <f>IF(AND(A344&lt;&gt;"",ISNUMBER(Q344),Q344&gt;=0),SUM(Q344,$AO$8)/$AO$2*100,"")</f>
        <v/>
      </c>
      <c r="AP344" s="24" t="str">
        <f>IF(AND(A344&lt;&gt;"",R344&lt;&gt;""),SUM(R344,$AP$8)/$AP$2*100,"")</f>
        <v/>
      </c>
      <c r="AQ344" s="24">
        <f>IF(AND(A344&lt;&gt;"",ISNUMBER(W344),W344&gt;=0),SUM(W344,$AQ$8)/$AQ$2*100,"")</f>
        <v>101</v>
      </c>
      <c r="AR344" s="24" t="str">
        <f>IF(AND(A344&lt;&gt;"",T344&gt;0,ISNUMBER(T344)),SUM(T344,$AR$8)/$AR$2*100,"")</f>
        <v/>
      </c>
      <c r="AS344" s="24" t="str">
        <f>IF(AND(A344&lt;&gt;"",X344&lt;&gt;""),SUM(X344,$AS$8)/$AS$2*100,"")</f>
        <v/>
      </c>
      <c r="AT344" s="89">
        <f>IF(AND(A344&lt;&gt;"",OR(ISNUMBER(W344),ISNUMBER(X344))),SUM(W344:X344,$AT$8)/$AT$2*100,"")</f>
        <v>101</v>
      </c>
      <c r="AU344" s="24">
        <f>AA344</f>
        <v>101.63934426229508</v>
      </c>
      <c r="AV344" s="71"/>
      <c r="AW344" s="27">
        <f>IF(A344&lt;&gt;"",AE344-AA344,"")</f>
        <v>-0.6393442622950829</v>
      </c>
      <c r="AY344" s="27" t="b">
        <f>S344&gt;R344</f>
        <v>0</v>
      </c>
      <c r="BA344" s="27" t="e">
        <f>AND(AA344&gt;$BA$3,(W344+$W$8)/$W$2&lt;$BB$3,(X344+$X$8)/$X$2&lt;$BB$3)</f>
        <v>#VALUE!</v>
      </c>
      <c r="BB344" s="27" t="e">
        <f>AND(AA344&lt;$BA$3,AND(W344/$W$2&gt;$BB$3,X344/$X$2&gt;$BB$3))</f>
        <v>#VALUE!</v>
      </c>
      <c r="BC344" s="27" t="e">
        <f>AND(AA344&lt;$BA$3,OR(W344/$W$2&gt;$BB$3,X344/$X$2&gt;$BB$3))</f>
        <v>#VALUE!</v>
      </c>
      <c r="BE344" s="32" t="s">
        <v>84</v>
      </c>
    </row>
    <row r="345" spans="1:57" s="27" customFormat="1" ht="12.75" customHeight="1" x14ac:dyDescent="0.2">
      <c r="A345" s="10">
        <v>672300</v>
      </c>
      <c r="B345" s="2">
        <v>23</v>
      </c>
      <c r="C345" s="10">
        <v>19</v>
      </c>
      <c r="D345" s="10">
        <v>25</v>
      </c>
      <c r="E345" s="10"/>
      <c r="F345" s="10"/>
      <c r="G345" s="3"/>
      <c r="H345" s="10"/>
      <c r="I345" s="10"/>
      <c r="J345" s="2">
        <v>28</v>
      </c>
      <c r="K345" s="10">
        <v>52</v>
      </c>
      <c r="L345" s="10">
        <v>50</v>
      </c>
      <c r="M345" s="10"/>
      <c r="N345" s="93"/>
      <c r="O345" s="12"/>
      <c r="P345" s="10">
        <v>101</v>
      </c>
      <c r="Q345" s="41"/>
      <c r="R345" s="2"/>
      <c r="S345" s="10"/>
      <c r="T345" s="13"/>
      <c r="U345" s="7">
        <f t="array" ref="U345">IF(AND(A345&lt;&gt;"",OR(ISNUMBER(B345:I345))),SUM(B345:I345),"")</f>
        <v>67</v>
      </c>
      <c r="V345" s="10">
        <f t="array" ref="V345">IF(AND(A345&lt;&gt;"",OR(ISNUMBER(J345:O345))),SUM(J345:O345),"")</f>
        <v>130</v>
      </c>
      <c r="W345" s="10">
        <f t="array" ref="W345">IF(AND(A345&lt;&gt;"",OR(ISNUMBER(P345),ISNUMBER(Q345))),SUM(MAX(P345:Q345),Q345),"")</f>
        <v>101</v>
      </c>
      <c r="X345" s="10" t="str">
        <f t="array" ref="X345">IF(AND(A345&lt;&gt;"",OR(ISNUMBER(S345),ISNUMBER(T345))),SUM(S345,T345),"")</f>
        <v/>
      </c>
      <c r="Y345" s="13">
        <v>1</v>
      </c>
      <c r="Z345" s="13">
        <f>IF(A345&lt;&gt;"",SUM(U345:Y345),"")</f>
        <v>299</v>
      </c>
      <c r="AA345" s="27">
        <f>IF(A345&lt;&gt;"",(Z345+Normalize_To_Add)/(Point_Total_So_Far)*100,"")</f>
        <v>98.032786885245898</v>
      </c>
      <c r="AB345" s="10">
        <f>IF(A345&lt;&gt;"",RANK(AA345,All_Student_XC),"")</f>
        <v>195</v>
      </c>
      <c r="AC345" s="32" t="str">
        <f>IF(A345&lt;&gt;"",CHOOSE(10-MIN(9,TRUNC((AA345+0.5)/10)),"A","B","C","D","F","F","F","F","F","F"),"")</f>
        <v>A</v>
      </c>
      <c r="AD345" s="32" t="str">
        <f>IF(A345&lt;&gt;"",IF(OR(AA345+0.5&gt;=93,AA345+0.5&lt;60),"",IF(MOD(AA345+0.5,10)&gt;=7,"+",IF(MOD(AA345+0.5,10)&lt;3,"-",""))),"")</f>
        <v/>
      </c>
      <c r="AE345" s="32">
        <f>IF(A345&lt;&gt;"",SUM(W345:X345,$W$8:$X$8)/SUM($W$2:$X$2)*100,"")</f>
        <v>101</v>
      </c>
      <c r="AF345" s="44" t="str">
        <f>IF(A345&lt;&gt;"",CHOOSE(10-MIN(9,TRUNC((AE345+0.5)/10)),"A","B","C","D","F","F","F","F","F","F"),"")</f>
        <v>A</v>
      </c>
      <c r="AG345" s="44" t="str">
        <f>IF(A345&lt;&gt;"",IF(OR(AE345+0.5&gt;=93,AE345+0.5&lt;60),"",IF(MOD(AE345+0.5,10)&gt;=7,"+",IF(MOD(AE345+0.5,10)&lt;3,"-",""))),"")</f>
        <v/>
      </c>
      <c r="AH345" s="36">
        <f>IF(A345&lt;&gt;"",MIN(MAX(AA345,AE345),AA345+$AH$8,AE345+$AH$8),"")</f>
        <v>101</v>
      </c>
      <c r="AI345" s="32" t="str">
        <f>IF(A345&lt;&gt;"",CHOOSE(10-MIN(9,TRUNC((AH345+0.5)/10)),"A","B","C","D","F","F","F","F","F","F"),"")</f>
        <v>A</v>
      </c>
      <c r="AJ345" s="32" t="str">
        <f>IF(A345&lt;&gt;"",IF(OR(AH345+0.5&gt;=93,AH345+0.5&lt;60),"",IF(MOD(AH345+0.5,10)&gt;=7,"+",IF(MOD(AH345+0.5,10)&lt;3,"-",""))),"")</f>
        <v/>
      </c>
      <c r="AK345" s="32" t="b">
        <f>IF(A345&lt;&gt;"",OR(AI345&lt;&gt;AC345,AJ345&lt;&gt;AD345),"")</f>
        <v>0</v>
      </c>
      <c r="AL345" s="84">
        <f>IF(AND(A345&lt;&gt;"",U345&lt;&gt;""),SUM(U345,$AL$8)/$AL$2*100,"")</f>
        <v>89.333333333333329</v>
      </c>
      <c r="AM345" s="24">
        <f>IF(AND(A345&lt;&gt;"",V345&lt;&gt;""),SUM(V345,$AM$8)/$AM$2*100,"")</f>
        <v>100</v>
      </c>
      <c r="AN345" s="24">
        <f>IF(AND(A345&lt;&gt;"",ISNUMBER(P345),P345&gt;=0),SUM(P345,$AN$8)/$AN$2*100,"")</f>
        <v>101</v>
      </c>
      <c r="AO345" s="24" t="str">
        <f>IF(AND(A345&lt;&gt;"",ISNUMBER(Q345),Q345&gt;=0),SUM(Q345,$AO$8)/$AO$2*100,"")</f>
        <v/>
      </c>
      <c r="AP345" s="24" t="str">
        <f>IF(AND(A345&lt;&gt;"",R345&lt;&gt;""),SUM(R345,$AP$8)/$AP$2*100,"")</f>
        <v/>
      </c>
      <c r="AQ345" s="24">
        <f>IF(AND(A345&lt;&gt;"",ISNUMBER(W345),W345&gt;=0),SUM(W345,$AQ$8)/$AQ$2*100,"")</f>
        <v>101</v>
      </c>
      <c r="AR345" s="24" t="str">
        <f>IF(AND(A345&lt;&gt;"",T345&gt;0,ISNUMBER(T345)),SUM(T345,$AR$8)/$AR$2*100,"")</f>
        <v/>
      </c>
      <c r="AS345" s="24" t="str">
        <f>IF(AND(A345&lt;&gt;"",X345&lt;&gt;""),SUM(X345,$AS$8)/$AS$2*100,"")</f>
        <v/>
      </c>
      <c r="AT345" s="89">
        <f>IF(AND(A345&lt;&gt;"",OR(ISNUMBER(W345),ISNUMBER(X345))),SUM(W345:X345,$AT$8)/$AT$2*100,"")</f>
        <v>101</v>
      </c>
      <c r="AU345" s="24">
        <f>AA345</f>
        <v>98.032786885245898</v>
      </c>
      <c r="AV345" s="24"/>
      <c r="AW345" s="27">
        <f>IF(A345&lt;&gt;"",AE345-AA345,"")</f>
        <v>2.9672131147541023</v>
      </c>
      <c r="AY345" s="27" t="b">
        <f>S345&gt;R345</f>
        <v>0</v>
      </c>
      <c r="BA345" s="27" t="e">
        <f>AND(AA345&gt;$BA$3,(W345+$W$8)/$W$2&lt;$BB$3,(X345+$X$8)/$X$2&lt;$BB$3)</f>
        <v>#VALUE!</v>
      </c>
      <c r="BB345" s="27" t="e">
        <f>AND(AA345&lt;$BA$3,AND(W345/$W$2&gt;$BB$3,X345/$X$2&gt;$BB$3))</f>
        <v>#VALUE!</v>
      </c>
      <c r="BC345" s="27" t="e">
        <f>AND(AA345&lt;$BA$3,OR(W345/$W$2&gt;$BB$3,X345/$X$2&gt;$BB$3))</f>
        <v>#VALUE!</v>
      </c>
      <c r="BE345" s="32" t="s">
        <v>84</v>
      </c>
    </row>
    <row r="346" spans="1:57" s="27" customFormat="1" ht="12.75" customHeight="1" x14ac:dyDescent="0.2">
      <c r="A346" s="10">
        <v>672533</v>
      </c>
      <c r="B346" s="2">
        <v>6</v>
      </c>
      <c r="C346" s="10" t="s">
        <v>67</v>
      </c>
      <c r="D346" s="10">
        <v>19</v>
      </c>
      <c r="E346" s="10"/>
      <c r="F346" s="10"/>
      <c r="G346" s="3"/>
      <c r="H346" s="10"/>
      <c r="I346" s="10"/>
      <c r="J346" s="2">
        <v>30</v>
      </c>
      <c r="K346" s="10">
        <v>33</v>
      </c>
      <c r="L346" s="10">
        <v>33</v>
      </c>
      <c r="M346" s="10"/>
      <c r="N346" s="10"/>
      <c r="O346" s="12"/>
      <c r="P346" s="41">
        <v>100</v>
      </c>
      <c r="Q346" s="41"/>
      <c r="R346" s="2"/>
      <c r="S346" s="10"/>
      <c r="T346" s="13"/>
      <c r="U346" s="7">
        <f t="array" ref="U346">IF(AND(A346&lt;&gt;"",OR(ISNUMBER(B346:I346))),SUM(B346:I346),"")</f>
        <v>25</v>
      </c>
      <c r="V346" s="10">
        <f t="array" ref="V346">IF(AND(A346&lt;&gt;"",OR(ISNUMBER(J346:O346))),SUM(J346:O346),"")</f>
        <v>96</v>
      </c>
      <c r="W346" s="10">
        <f t="array" ref="W346">IF(AND(A346&lt;&gt;"",OR(ISNUMBER(P346),ISNUMBER(Q346))),SUM(MAX(P346:Q346),Q346),"")</f>
        <v>100</v>
      </c>
      <c r="X346" s="10" t="str">
        <f t="array" ref="X346">IF(AND(A346&lt;&gt;"",OR(ISNUMBER(S346),ISNUMBER(T346))),SUM(S346,T346),"")</f>
        <v/>
      </c>
      <c r="Y346" s="13">
        <v>1</v>
      </c>
      <c r="Z346" s="13">
        <f>IF(A346&lt;&gt;"",SUM(U346:Y346),"")</f>
        <v>222</v>
      </c>
      <c r="AA346" s="27">
        <f>IF(A346&lt;&gt;"",(Z346+Normalize_To_Add)/(Point_Total_So_Far)*100,"")</f>
        <v>72.786885245901644</v>
      </c>
      <c r="AB346" s="10">
        <f>IF(A346&lt;&gt;"",RANK(AA346,All_Student_XC),"")</f>
        <v>444</v>
      </c>
      <c r="AC346" s="32" t="str">
        <f>IF(A346&lt;&gt;"",CHOOSE(10-MIN(9,TRUNC((AA346+0.5)/10)),"A","B","C","D","F","F","F","F","F","F"),"")</f>
        <v>C</v>
      </c>
      <c r="AD346" s="32" t="str">
        <f>IF(A346&lt;&gt;"",IF(OR(AA346+0.5&gt;=93,AA346+0.5&lt;60),"",IF(MOD(AA346+0.5,10)&gt;=7,"+",IF(MOD(AA346+0.5,10)&lt;3,"-",""))),"")</f>
        <v/>
      </c>
      <c r="AE346" s="32">
        <f>IF(A346&lt;&gt;"",SUM(W346:X346,$W$8:$X$8)/SUM($W$2:$X$2)*100,"")</f>
        <v>100</v>
      </c>
      <c r="AF346" s="32" t="str">
        <f>IF(A346&lt;&gt;"",CHOOSE(10-MIN(9,TRUNC((AE346+0.5)/10)),"A","B","C","D","F","F","F","F","F","F"),"")</f>
        <v>A</v>
      </c>
      <c r="AG346" s="32" t="str">
        <f>IF(A346&lt;&gt;"",IF(OR(AE346+0.5&gt;=93,AE346+0.5&lt;60),"",IF(MOD(AE346+0.5,10)&gt;=7,"+",IF(MOD(AE346+0.5,10)&lt;3,"-",""))),"")</f>
        <v/>
      </c>
      <c r="AH346" s="36">
        <f>IF(A346&lt;&gt;"",MIN(MAX(AA346,AE346),AA346+$AH$8,AE346+$AH$8),"")</f>
        <v>100</v>
      </c>
      <c r="AI346" s="32" t="str">
        <f>IF(A346&lt;&gt;"",CHOOSE(10-MIN(9,TRUNC((AH346+0.5)/10)),"A","B","C","D","F","F","F","F","F","F"),"")</f>
        <v>A</v>
      </c>
      <c r="AJ346" s="32" t="str">
        <f>IF(A346&lt;&gt;"",IF(OR(AH346+0.5&gt;=93,AH346+0.5&lt;60),"",IF(MOD(AH346+0.5,10)&gt;=7,"+",IF(MOD(AH346+0.5,10)&lt;3,"-",""))),"")</f>
        <v/>
      </c>
      <c r="AK346" s="32" t="b">
        <f>IF(A346&lt;&gt;"",OR(AI346&lt;&gt;AC346,AJ346&lt;&gt;AD346),"")</f>
        <v>1</v>
      </c>
      <c r="AL346" s="84">
        <f>IF(AND(A346&lt;&gt;"",U346&lt;&gt;""),SUM(U346,$AL$8)/$AL$2*100,"")</f>
        <v>33.333333333333329</v>
      </c>
      <c r="AM346" s="24">
        <f>IF(AND(A346&lt;&gt;"",V346&lt;&gt;""),SUM(V346,$AM$8)/$AM$2*100,"")</f>
        <v>73.846153846153854</v>
      </c>
      <c r="AN346" s="24">
        <f>IF(AND(A346&lt;&gt;"",ISNUMBER(P346),P346&gt;=0),SUM(P346,$AN$8)/$AN$2*100,"")</f>
        <v>100</v>
      </c>
      <c r="AO346" s="24" t="str">
        <f>IF(AND(A346&lt;&gt;"",ISNUMBER(Q346),Q346&gt;=0),SUM(Q346,$AO$8)/$AO$2*100,"")</f>
        <v/>
      </c>
      <c r="AP346" s="24" t="str">
        <f>IF(AND(A346&lt;&gt;"",R346&lt;&gt;""),SUM(R346,$AP$8)/$AP$2*100,"")</f>
        <v/>
      </c>
      <c r="AQ346" s="24">
        <f>IF(AND(A346&lt;&gt;"",ISNUMBER(W346),W346&gt;=0),SUM(W346,$AQ$8)/$AQ$2*100,"")</f>
        <v>100</v>
      </c>
      <c r="AR346" s="24" t="str">
        <f>IF(AND(A346&lt;&gt;"",T346&gt;0,ISNUMBER(T346)),SUM(T346,$AR$8)/$AR$2*100,"")</f>
        <v/>
      </c>
      <c r="AS346" s="24" t="str">
        <f>IF(AND(A346&lt;&gt;"",X346&lt;&gt;""),SUM(X346,$AS$8)/$AS$2*100,"")</f>
        <v/>
      </c>
      <c r="AT346" s="89">
        <f>IF(AND(A346&lt;&gt;"",OR(ISNUMBER(W346),ISNUMBER(X346))),SUM(W346:X346,$AT$8)/$AT$2*100,"")</f>
        <v>100</v>
      </c>
      <c r="AU346" s="24">
        <f>AA346</f>
        <v>72.786885245901644</v>
      </c>
      <c r="AV346" s="24"/>
      <c r="AW346" s="27">
        <f>IF(A346&lt;&gt;"",AE346-AA346,"")</f>
        <v>27.213114754098356</v>
      </c>
      <c r="AY346" s="27" t="b">
        <f>S346&gt;R346</f>
        <v>0</v>
      </c>
      <c r="BA346" s="27" t="e">
        <f>AND(AA346&gt;$BA$3,(W346+$W$8)/$W$2&lt;$BB$3,(X346+$X$8)/$X$2&lt;$BB$3)</f>
        <v>#VALUE!</v>
      </c>
      <c r="BB346" s="27" t="e">
        <f>AND(AA346&lt;$BA$3,AND(W346/$W$2&gt;$BB$3,X346/$X$2&gt;$BB$3))</f>
        <v>#VALUE!</v>
      </c>
      <c r="BC346" s="27" t="e">
        <f>AND(AA346&lt;$BA$3,OR(W346/$W$2&gt;$BB$3,X346/$X$2&gt;$BB$3))</f>
        <v>#VALUE!</v>
      </c>
      <c r="BE346" s="32" t="s">
        <v>85</v>
      </c>
    </row>
    <row r="347" spans="1:57" s="27" customFormat="1" ht="12.75" customHeight="1" x14ac:dyDescent="0.2">
      <c r="A347" s="10">
        <v>674332</v>
      </c>
      <c r="B347" s="2">
        <v>20</v>
      </c>
      <c r="C347" s="10">
        <v>24</v>
      </c>
      <c r="D347" s="10">
        <v>25</v>
      </c>
      <c r="E347" s="10"/>
      <c r="F347" s="10"/>
      <c r="G347" s="10"/>
      <c r="H347" s="10"/>
      <c r="I347" s="10"/>
      <c r="J347" s="2">
        <v>29</v>
      </c>
      <c r="K347" s="10">
        <v>50</v>
      </c>
      <c r="L347" s="10">
        <v>51</v>
      </c>
      <c r="M347" s="10"/>
      <c r="N347" s="93"/>
      <c r="O347" s="13"/>
      <c r="P347" s="10">
        <v>101</v>
      </c>
      <c r="Q347" s="10"/>
      <c r="R347" s="2"/>
      <c r="S347" s="10"/>
      <c r="T347" s="13"/>
      <c r="U347" s="7">
        <f t="array" ref="U347">IF(AND(A347&lt;&gt;"",OR(ISNUMBER(B347:I347))),SUM(B347:I347),"")</f>
        <v>69</v>
      </c>
      <c r="V347" s="10">
        <f t="array" ref="V347">IF(AND(A347&lt;&gt;"",OR(ISNUMBER(J347:O347))),SUM(J347:O347),"")</f>
        <v>130</v>
      </c>
      <c r="W347" s="10">
        <f t="array" ref="W347">IF(AND(A347&lt;&gt;"",OR(ISNUMBER(P347),ISNUMBER(Q347))),SUM(MAX(P347:Q347),Q347),"")</f>
        <v>101</v>
      </c>
      <c r="X347" s="10" t="str">
        <f t="array" ref="X347">IF(AND(A347&lt;&gt;"",OR(ISNUMBER(S347),ISNUMBER(T347))),SUM(S347,T347),"")</f>
        <v/>
      </c>
      <c r="Y347" s="13">
        <v>1</v>
      </c>
      <c r="Z347" s="13">
        <f>IF(A347&lt;&gt;"",SUM(U347:Y347),"")</f>
        <v>301</v>
      </c>
      <c r="AA347" s="27">
        <f>IF(A347&lt;&gt;"",(Z347+Normalize_To_Add)/(Point_Total_So_Far)*100,"")</f>
        <v>98.688524590163937</v>
      </c>
      <c r="AB347" s="10">
        <f>IF(A347&lt;&gt;"",RANK(AA347,All_Student_XC),"")</f>
        <v>176</v>
      </c>
      <c r="AC347" s="32" t="str">
        <f>IF(A347&lt;&gt;"",CHOOSE(10-MIN(9,TRUNC((AA347+0.5)/10)),"A","B","C","D","F","F","F","F","F","F"),"")</f>
        <v>A</v>
      </c>
      <c r="AD347" s="31" t="str">
        <f>IF(A347&lt;&gt;"",IF(OR(AA347+0.5&gt;=93,AA347+0.5&lt;60),"",IF(MOD(AA347+0.5,10)&gt;=7,"+",IF(MOD(AA347+0.5,10)&lt;3,"-",""))),"")</f>
        <v/>
      </c>
      <c r="AE347" s="32">
        <f>IF(A347&lt;&gt;"",SUM(W347:X347,$W$8:$X$8)/SUM($W$2:$X$2)*100,"")</f>
        <v>101</v>
      </c>
      <c r="AF347" s="32" t="str">
        <f>IF(A347&lt;&gt;"",CHOOSE(10-MIN(9,TRUNC((AE347+0.5)/10)),"A","B","C","D","F","F","F","F","F","F"),"")</f>
        <v>A</v>
      </c>
      <c r="AG347" s="32" t="str">
        <f>IF(A347&lt;&gt;"",IF(OR(AE347+0.5&gt;=93,AE347+0.5&lt;60),"",IF(MOD(AE347+0.5,10)&gt;=7,"+",IF(MOD(AE347+0.5,10)&lt;3,"-",""))),"")</f>
        <v/>
      </c>
      <c r="AH347" s="36">
        <f>IF(A347&lt;&gt;"",MIN(MAX(AA347,AE347),AA347+$AH$8,AE347+$AH$8),"")</f>
        <v>101</v>
      </c>
      <c r="AI347" s="32" t="str">
        <f>IF(A347&lt;&gt;"",CHOOSE(10-MIN(9,TRUNC((AH347+0.5)/10)),"A","B","C","D","F","F","F","F","F","F"),"")</f>
        <v>A</v>
      </c>
      <c r="AJ347" s="32" t="str">
        <f>IF(A347&lt;&gt;"",IF(OR(AH347+0.5&gt;=93,AH347+0.5&lt;60),"",IF(MOD(AH347+0.5,10)&gt;=7,"+",IF(MOD(AH347+0.5,10)&lt;3,"-",""))),"")</f>
        <v/>
      </c>
      <c r="AK347" s="71" t="b">
        <f>IF(A347&lt;&gt;"",OR(AI347&lt;&gt;AC347,AJ347&lt;&gt;AD347),"")</f>
        <v>0</v>
      </c>
      <c r="AL347" s="86">
        <f>IF(AND(A347&lt;&gt;"",U347&lt;&gt;""),SUM(U347,$AL$8)/$AL$2*100,"")</f>
        <v>92</v>
      </c>
      <c r="AM347" s="71">
        <f>IF(AND(A347&lt;&gt;"",V347&lt;&gt;""),SUM(V347,$AM$8)/$AM$2*100,"")</f>
        <v>100</v>
      </c>
      <c r="AN347" s="71">
        <f>IF(AND(A347&lt;&gt;"",ISNUMBER(P347),P347&gt;=0),SUM(P347,$AN$8)/$AN$2*100,"")</f>
        <v>101</v>
      </c>
      <c r="AO347" s="71" t="str">
        <f>IF(AND(A347&lt;&gt;"",ISNUMBER(Q347),Q347&gt;=0),SUM(Q347,$AO$8)/$AO$2*100,"")</f>
        <v/>
      </c>
      <c r="AP347" s="24" t="str">
        <f>IF(AND(A347&lt;&gt;"",R347&lt;&gt;""),SUM(R347,$AP$8)/$AP$2*100,"")</f>
        <v/>
      </c>
      <c r="AQ347" s="24">
        <f>IF(AND(A347&lt;&gt;"",ISNUMBER(W347),W347&gt;=0),SUM(W347,$AQ$8)/$AQ$2*100,"")</f>
        <v>101</v>
      </c>
      <c r="AR347" s="24" t="str">
        <f>IF(AND(A347&lt;&gt;"",T347&gt;0,ISNUMBER(T347)),SUM(T347,$AR$8)/$AR$2*100,"")</f>
        <v/>
      </c>
      <c r="AS347" s="24" t="str">
        <f>IF(AND(A347&lt;&gt;"",X347&lt;&gt;""),SUM(X347,$AS$8)/$AS$2*100,"")</f>
        <v/>
      </c>
      <c r="AT347" s="89">
        <f>IF(AND(A347&lt;&gt;"",OR(ISNUMBER(W347),ISNUMBER(X347))),SUM(W347:X347,$AT$8)/$AT$2*100,"")</f>
        <v>101</v>
      </c>
      <c r="AU347" s="24">
        <f>AA347</f>
        <v>98.688524590163937</v>
      </c>
      <c r="AV347" s="71"/>
      <c r="AW347" s="27">
        <f>IF(A347&lt;&gt;"",AE347-AA347,"")</f>
        <v>2.3114754098360635</v>
      </c>
      <c r="AY347" s="27" t="b">
        <f>S347&gt;R347</f>
        <v>0</v>
      </c>
      <c r="BA347" s="27" t="e">
        <f>AND(AA347&gt;$BA$3,(W347+$W$8)/$W$2&lt;$BB$3,(X347+$X$8)/$X$2&lt;$BB$3)</f>
        <v>#VALUE!</v>
      </c>
      <c r="BB347" s="27" t="e">
        <f>AND(AA347&lt;$BA$3,AND(W347/$W$2&gt;$BB$3,X347/$X$2&gt;$BB$3))</f>
        <v>#VALUE!</v>
      </c>
      <c r="BC347" s="27" t="e">
        <f>AND(AA347&lt;$BA$3,OR(W347/$W$2&gt;$BB$3,X347/$X$2&gt;$BB$3))</f>
        <v>#VALUE!</v>
      </c>
      <c r="BE347" s="32">
        <v>32</v>
      </c>
    </row>
    <row r="348" spans="1:57" s="27" customFormat="1" ht="12.75" customHeight="1" x14ac:dyDescent="0.2">
      <c r="A348" s="10">
        <v>675067</v>
      </c>
      <c r="B348" s="2">
        <v>25</v>
      </c>
      <c r="C348" s="10">
        <v>24</v>
      </c>
      <c r="D348" s="10">
        <v>25</v>
      </c>
      <c r="E348" s="10"/>
      <c r="F348" s="10"/>
      <c r="G348" s="10"/>
      <c r="H348" s="10"/>
      <c r="I348" s="10"/>
      <c r="J348" s="2">
        <v>32</v>
      </c>
      <c r="K348" s="10">
        <v>52</v>
      </c>
      <c r="L348" s="10">
        <v>52</v>
      </c>
      <c r="M348" s="10"/>
      <c r="N348" s="93"/>
      <c r="O348" s="13"/>
      <c r="P348" s="10">
        <v>101</v>
      </c>
      <c r="Q348" s="10"/>
      <c r="R348" s="2"/>
      <c r="S348" s="10"/>
      <c r="T348" s="13"/>
      <c r="U348" s="7">
        <f t="array" ref="U348">IF(AND(A348&lt;&gt;"",OR(ISNUMBER(B348:I348))),SUM(B348:I348),"")</f>
        <v>74</v>
      </c>
      <c r="V348" s="10">
        <f t="array" ref="V348">IF(AND(A348&lt;&gt;"",OR(ISNUMBER(J348:O348))),SUM(J348:O348),"")</f>
        <v>136</v>
      </c>
      <c r="W348" s="10">
        <f t="array" ref="W348">IF(AND(A348&lt;&gt;"",OR(ISNUMBER(P348),ISNUMBER(Q348))),SUM(MAX(P348:Q348),Q348),"")</f>
        <v>101</v>
      </c>
      <c r="X348" s="10" t="str">
        <f t="array" ref="X348">IF(AND(A348&lt;&gt;"",OR(ISNUMBER(S348),ISNUMBER(T348))),SUM(S348,T348),"")</f>
        <v/>
      </c>
      <c r="Y348" s="13">
        <v>1</v>
      </c>
      <c r="Z348" s="13">
        <f>IF(A348&lt;&gt;"",SUM(U348:Y348),"")</f>
        <v>312</v>
      </c>
      <c r="AA348" s="27">
        <f>IF(A348&lt;&gt;"",(Z348+Normalize_To_Add)/(Point_Total_So_Far)*100,"")</f>
        <v>102.29508196721311</v>
      </c>
      <c r="AB348" s="10">
        <f>IF(A348&lt;&gt;"",RANK(AA348,All_Student_XC),"")</f>
        <v>2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>
        <f>IF(A348&lt;&gt;"",SUM(W348:X348,$W$8:$X$8)/SUM($W$2:$X$2)*100,"")</f>
        <v>101</v>
      </c>
      <c r="AF348" s="32" t="str">
        <f>IF(A348&lt;&gt;"",CHOOSE(10-MIN(9,TRUNC((AE348+0.5)/10)),"A","B","C","D","F","F","F","F","F","F"),"")</f>
        <v>A</v>
      </c>
      <c r="AG348" s="32" t="str">
        <f>IF(A348&lt;&gt;"",IF(OR(AE348+0.5&gt;=93,AE348+0.5&lt;60),"",IF(MOD(AE348+0.5,10)&gt;=7,"+",IF(MOD(AE348+0.5,10)&lt;3,"-",""))),"")</f>
        <v/>
      </c>
      <c r="AH348" s="36">
        <f>IF(A348&lt;&gt;"",MIN(MAX(AA348,AE348),AA348+$AH$8,AE348+$AH$8),"")</f>
        <v>102.29508196721311</v>
      </c>
      <c r="AI348" s="32" t="str">
        <f>IF(A348&lt;&gt;"",CHOOSE(10-MIN(9,TRUNC((AH348+0.5)/10)),"A","B","C","D","F","F","F","F","F","F"),"")</f>
        <v>A</v>
      </c>
      <c r="AJ348" s="32" t="str">
        <f>IF(A348&lt;&gt;"",IF(OR(AH348+0.5&gt;=93,AH348+0.5&lt;60),"",IF(MOD(AH348+0.5,10)&gt;=7,"+",IF(MOD(AH348+0.5,10)&lt;3,"-",""))),"")</f>
        <v/>
      </c>
      <c r="AK348" s="71" t="b">
        <f>IF(A348&lt;&gt;"",OR(AI348&lt;&gt;AC348,AJ348&lt;&gt;AD348),"")</f>
        <v>0</v>
      </c>
      <c r="AL348" s="86">
        <f>IF(AND(A348&lt;&gt;"",U348&lt;&gt;""),SUM(U348,$AL$8)/$AL$2*100,"")</f>
        <v>98.666666666666671</v>
      </c>
      <c r="AM348" s="71">
        <f>IF(AND(A348&lt;&gt;"",V348&lt;&gt;""),SUM(V348,$AM$8)/$AM$2*100,"")</f>
        <v>104.61538461538463</v>
      </c>
      <c r="AN348" s="71">
        <f>IF(AND(A348&lt;&gt;"",ISNUMBER(P348),P348&gt;=0),SUM(P348,$AN$8)/$AN$2*100,"")</f>
        <v>101</v>
      </c>
      <c r="AO348" s="71" t="str">
        <f>IF(AND(A348&lt;&gt;"",ISNUMBER(Q348),Q348&gt;=0),SUM(Q348,$AO$8)/$AO$2*100,"")</f>
        <v/>
      </c>
      <c r="AP348" s="24" t="str">
        <f>IF(AND(A348&lt;&gt;"",R348&lt;&gt;""),SUM(R348,$AP$8)/$AP$2*100,"")</f>
        <v/>
      </c>
      <c r="AQ348" s="24">
        <f>IF(AND(A348&lt;&gt;"",ISNUMBER(W348),W348&gt;=0),SUM(W348,$AQ$8)/$AQ$2*100,"")</f>
        <v>101</v>
      </c>
      <c r="AR348" s="24" t="str">
        <f>IF(AND(A348&lt;&gt;"",T348&gt;0,ISNUMBER(T348)),SUM(T348,$AR$8)/$AR$2*100,"")</f>
        <v/>
      </c>
      <c r="AS348" s="24" t="str">
        <f>IF(AND(A348&lt;&gt;"",X348&lt;&gt;""),SUM(X348,$AS$8)/$AS$2*100,"")</f>
        <v/>
      </c>
      <c r="AT348" s="89">
        <f>IF(AND(A348&lt;&gt;"",OR(ISNUMBER(W348),ISNUMBER(X348))),SUM(W348:X348,$AT$8)/$AT$2*100,"")</f>
        <v>101</v>
      </c>
      <c r="AU348" s="24">
        <f>AA348</f>
        <v>102.29508196721311</v>
      </c>
      <c r="AV348" s="71"/>
      <c r="AW348" s="27">
        <f>IF(A348&lt;&gt;"",AE348-AA348,"")</f>
        <v>-1.2950819672131075</v>
      </c>
      <c r="AY348" s="27" t="b">
        <f>S348&gt;R348</f>
        <v>0</v>
      </c>
      <c r="BA348" s="27" t="e">
        <f>AND(AA348&gt;$BA$3,(W348+$W$8)/$W$2&lt;$BB$3,(X348+$X$8)/$X$2&lt;$BB$3)</f>
        <v>#VALUE!</v>
      </c>
      <c r="BB348" s="27" t="e">
        <f>AND(AA348&lt;$BA$3,AND(W348/$W$2&gt;$BB$3,X348/$X$2&gt;$BB$3))</f>
        <v>#VALUE!</v>
      </c>
      <c r="BC348" s="27" t="e">
        <f>AND(AA348&lt;$BA$3,OR(W348/$W$2&gt;$BB$3,X348/$X$2&gt;$BB$3))</f>
        <v>#VALUE!</v>
      </c>
      <c r="BE348" s="32">
        <v>32</v>
      </c>
    </row>
    <row r="349" spans="1:57" s="27" customFormat="1" ht="12.75" customHeight="1" x14ac:dyDescent="0.2">
      <c r="A349" s="56">
        <v>678380</v>
      </c>
      <c r="B349" s="2">
        <v>18</v>
      </c>
      <c r="C349" s="10">
        <v>16</v>
      </c>
      <c r="D349" s="10">
        <v>17</v>
      </c>
      <c r="E349" s="10"/>
      <c r="F349" s="10"/>
      <c r="G349" s="3"/>
      <c r="H349" s="10"/>
      <c r="I349" s="10"/>
      <c r="J349" s="2">
        <v>29</v>
      </c>
      <c r="K349" s="10">
        <v>41</v>
      </c>
      <c r="L349" s="10">
        <v>28</v>
      </c>
      <c r="M349" s="10"/>
      <c r="N349" s="93"/>
      <c r="O349" s="12"/>
      <c r="P349" s="10">
        <v>101</v>
      </c>
      <c r="Q349" s="41"/>
      <c r="R349" s="2"/>
      <c r="S349" s="10"/>
      <c r="T349" s="13"/>
      <c r="U349" s="7">
        <f t="array" ref="U349">IF(AND(A349&lt;&gt;"",OR(ISNUMBER(B349:I349))),SUM(B349:I349),"")</f>
        <v>51</v>
      </c>
      <c r="V349" s="10">
        <f t="array" ref="V349">IF(AND(A349&lt;&gt;"",OR(ISNUMBER(J349:O349))),SUM(J349:O349),"")</f>
        <v>98</v>
      </c>
      <c r="W349" s="10">
        <f t="array" ref="W349">IF(AND(A349&lt;&gt;"",OR(ISNUMBER(P349),ISNUMBER(Q349))),SUM(MAX(P349:Q349),Q349),"")</f>
        <v>101</v>
      </c>
      <c r="X349" s="10" t="str">
        <f t="array" ref="X349">IF(AND(A349&lt;&gt;"",OR(ISNUMBER(S349),ISNUMBER(T349))),SUM(S349,T349),"")</f>
        <v/>
      </c>
      <c r="Y349" s="13">
        <v>1</v>
      </c>
      <c r="Z349" s="13">
        <f>IF(A349&lt;&gt;"",SUM(U349:Y349),"")</f>
        <v>251</v>
      </c>
      <c r="AA349" s="27">
        <f>IF(A349&lt;&gt;"",(Z349+Normalize_To_Add)/(Point_Total_So_Far)*100,"")</f>
        <v>82.295081967213108</v>
      </c>
      <c r="AB349" s="10">
        <f>IF(A349&lt;&gt;"",RANK(AA349,All_Student_XC),"")</f>
        <v>395</v>
      </c>
      <c r="AC349" s="32" t="str">
        <f>IF(A349&lt;&gt;"",CHOOSE(10-MIN(9,TRUNC((AA349+0.5)/10)),"A","B","C","D","F","F","F","F","F","F"),"")</f>
        <v>B</v>
      </c>
      <c r="AD349" s="32" t="str">
        <f>IF(A349&lt;&gt;"",IF(OR(AA349+0.5&gt;=93,AA349+0.5&lt;60),"",IF(MOD(AA349+0.5,10)&gt;=7,"+",IF(MOD(AA349+0.5,10)&lt;3,"-",""))),"")</f>
        <v>-</v>
      </c>
      <c r="AE349" s="32">
        <f>IF(A349&lt;&gt;"",SUM(W349:X349,$W$8:$X$8)/SUM($W$2:$X$2)*100,"")</f>
        <v>101</v>
      </c>
      <c r="AF349" s="32" t="str">
        <f>IF(A349&lt;&gt;"",CHOOSE(10-MIN(9,TRUNC((AE349+0.5)/10)),"A","B","C","D","F","F","F","F","F","F"),"")</f>
        <v>A</v>
      </c>
      <c r="AG349" s="32" t="str">
        <f>IF(A349&lt;&gt;"",IF(OR(AE349+0.5&gt;=93,AE349+0.5&lt;60),"",IF(MOD(AE349+0.5,10)&gt;=7,"+",IF(MOD(AE349+0.5,10)&lt;3,"-",""))),"")</f>
        <v/>
      </c>
      <c r="AH349" s="36">
        <f>IF(A349&lt;&gt;"",MIN(MAX(AA349,AE349),AA349+$AH$8,AE349+$AH$8),"")</f>
        <v>101</v>
      </c>
      <c r="AI349" s="32" t="str">
        <f>IF(A349&lt;&gt;"",CHOOSE(10-MIN(9,TRUNC((AH349+0.5)/10)),"A","B","C","D","F","F","F","F","F","F"),"")</f>
        <v>A</v>
      </c>
      <c r="AJ349" s="32" t="str">
        <f>IF(A349&lt;&gt;"",IF(OR(AH349+0.5&gt;=93,AH349+0.5&lt;60),"",IF(MOD(AH349+0.5,10)&gt;=7,"+",IF(MOD(AH349+0.5,10)&lt;3,"-",""))),"")</f>
        <v/>
      </c>
      <c r="AK349" s="32" t="b">
        <f>IF(A349&lt;&gt;"",OR(AI349&lt;&gt;AC349,AJ349&lt;&gt;AD349),"")</f>
        <v>1</v>
      </c>
      <c r="AL349" s="84">
        <f>IF(AND(A349&lt;&gt;"",U349&lt;&gt;""),SUM(U349,$AL$8)/$AL$2*100,"")</f>
        <v>68</v>
      </c>
      <c r="AM349" s="24">
        <f>IF(AND(A349&lt;&gt;"",V349&lt;&gt;""),SUM(V349,$AM$8)/$AM$2*100,"")</f>
        <v>75.384615384615387</v>
      </c>
      <c r="AN349" s="24">
        <f>IF(AND(A349&lt;&gt;"",ISNUMBER(P349),P349&gt;=0),SUM(P349,$AN$8)/$AN$2*100,"")</f>
        <v>101</v>
      </c>
      <c r="AO349" s="24" t="str">
        <f>IF(AND(A349&lt;&gt;"",ISNUMBER(Q349),Q349&gt;=0),SUM(Q349,$AO$8)/$AO$2*100,"")</f>
        <v/>
      </c>
      <c r="AP349" s="24" t="str">
        <f>IF(AND(A349&lt;&gt;"",R349&lt;&gt;""),SUM(R349,$AP$8)/$AP$2*100,"")</f>
        <v/>
      </c>
      <c r="AQ349" s="24">
        <f>IF(AND(A349&lt;&gt;"",ISNUMBER(W349),W349&gt;=0),SUM(W349,$AQ$8)/$AQ$2*100,"")</f>
        <v>101</v>
      </c>
      <c r="AR349" s="24" t="str">
        <f>IF(AND(A349&lt;&gt;"",T349&gt;0,ISNUMBER(T349)),SUM(T349,$AR$8)/$AR$2*100,"")</f>
        <v/>
      </c>
      <c r="AS349" s="24" t="str">
        <f>IF(AND(A349&lt;&gt;"",X349&lt;&gt;""),SUM(X349,$AS$8)/$AS$2*100,"")</f>
        <v/>
      </c>
      <c r="AT349" s="89">
        <f>IF(AND(A349&lt;&gt;"",OR(ISNUMBER(W349),ISNUMBER(X349))),SUM(W349:X349,$AT$8)/$AT$2*100,"")</f>
        <v>101</v>
      </c>
      <c r="AU349" s="24">
        <f>AA349</f>
        <v>82.295081967213108</v>
      </c>
      <c r="AV349" s="24"/>
      <c r="AW349" s="27">
        <f>IF(A349&lt;&gt;"",AE349-AA349,"")</f>
        <v>18.704918032786892</v>
      </c>
      <c r="AY349" s="27" t="b">
        <f>S349&gt;R349</f>
        <v>0</v>
      </c>
      <c r="BA349" s="27" t="e">
        <f>AND(AA349&gt;$BA$3,(W349+$W$8)/$W$2&lt;$BB$3,(X349+$X$8)/$X$2&lt;$BB$3)</f>
        <v>#VALUE!</v>
      </c>
      <c r="BB349" s="27" t="e">
        <f>AND(AA349&lt;$BA$3,AND(W349/$W$2&gt;$BB$3,X349/$X$2&gt;$BB$3))</f>
        <v>#VALUE!</v>
      </c>
      <c r="BC349" s="27" t="e">
        <f>AND(AA349&lt;$BA$3,OR(W349/$W$2&gt;$BB$3,X349/$X$2&gt;$BB$3))</f>
        <v>#VALUE!</v>
      </c>
      <c r="BE349" s="32" t="s">
        <v>84</v>
      </c>
    </row>
    <row r="350" spans="1:57" s="27" customFormat="1" ht="12.75" customHeight="1" x14ac:dyDescent="0.2">
      <c r="A350" s="10">
        <v>678443</v>
      </c>
      <c r="B350" s="2">
        <v>25</v>
      </c>
      <c r="C350" s="10">
        <v>20</v>
      </c>
      <c r="D350" s="10">
        <v>25</v>
      </c>
      <c r="E350" s="10"/>
      <c r="F350" s="10"/>
      <c r="G350" s="10"/>
      <c r="H350" s="10"/>
      <c r="I350" s="10"/>
      <c r="J350" s="2">
        <v>32</v>
      </c>
      <c r="K350" s="10">
        <v>52</v>
      </c>
      <c r="L350" s="10">
        <v>49</v>
      </c>
      <c r="M350" s="10"/>
      <c r="N350" s="93"/>
      <c r="O350" s="13"/>
      <c r="P350" s="10">
        <v>100</v>
      </c>
      <c r="Q350" s="10"/>
      <c r="R350" s="2"/>
      <c r="S350" s="10"/>
      <c r="T350" s="13"/>
      <c r="U350" s="7">
        <f t="array" ref="U350">IF(AND(A350&lt;&gt;"",OR(ISNUMBER(B350:I350))),SUM(B350:I350),"")</f>
        <v>70</v>
      </c>
      <c r="V350" s="10">
        <f t="array" ref="V350">IF(AND(A350&lt;&gt;"",OR(ISNUMBER(J350:O350))),SUM(J350:O350),"")</f>
        <v>133</v>
      </c>
      <c r="W350" s="10">
        <f t="array" ref="W350">IF(AND(A350&lt;&gt;"",OR(ISNUMBER(P350),ISNUMBER(Q350))),SUM(MAX(P350:Q350),Q350),"")</f>
        <v>100</v>
      </c>
      <c r="X350" s="10" t="str">
        <f t="array" ref="X350">IF(AND(A350&lt;&gt;"",OR(ISNUMBER(S350),ISNUMBER(T350))),SUM(S350,T350),"")</f>
        <v/>
      </c>
      <c r="Y350" s="13">
        <v>1</v>
      </c>
      <c r="Z350" s="13">
        <f>IF(A350&lt;&gt;"",SUM(U350:Y350),"")</f>
        <v>304</v>
      </c>
      <c r="AA350" s="27">
        <f>IF(A350&lt;&gt;"",(Z350+Normalize_To_Add)/(Point_Total_So_Far)*100,"")</f>
        <v>99.672131147540995</v>
      </c>
      <c r="AB350" s="10">
        <f>IF(A350&lt;&gt;"",RANK(AA350,All_Student_XC),"")</f>
        <v>124</v>
      </c>
      <c r="AC350" s="32" t="str">
        <f>IF(A350&lt;&gt;"",CHOOSE(10-MIN(9,TRUNC((AA350+0.5)/10)),"A","B","C","D","F","F","F","F","F","F"),"")</f>
        <v>A</v>
      </c>
      <c r="AD350" s="31" t="str">
        <f>IF(A350&lt;&gt;"",IF(OR(AA350+0.5&gt;=93,AA350+0.5&lt;60),"",IF(MOD(AA350+0.5,10)&gt;=7,"+",IF(MOD(AA350+0.5,10)&lt;3,"-",""))),"")</f>
        <v/>
      </c>
      <c r="AE350" s="32">
        <f>IF(A350&lt;&gt;"",SUM(W350:X350,$W$8:$X$8)/SUM($W$2:$X$2)*100,"")</f>
        <v>100</v>
      </c>
      <c r="AF350" s="32" t="str">
        <f>IF(A350&lt;&gt;"",CHOOSE(10-MIN(9,TRUNC((AE350+0.5)/10)),"A","B","C","D","F","F","F","F","F","F"),"")</f>
        <v>A</v>
      </c>
      <c r="AG350" s="32" t="str">
        <f>IF(A350&lt;&gt;"",IF(OR(AE350+0.5&gt;=93,AE350+0.5&lt;60),"",IF(MOD(AE350+0.5,10)&gt;=7,"+",IF(MOD(AE350+0.5,10)&lt;3,"-",""))),"")</f>
        <v/>
      </c>
      <c r="AH350" s="36">
        <f>IF(A350&lt;&gt;"",MIN(MAX(AA350,AE350),AA350+$AH$8,AE350+$AH$8),"")</f>
        <v>100</v>
      </c>
      <c r="AI350" s="32" t="str">
        <f>IF(A350&lt;&gt;"",CHOOSE(10-MIN(9,TRUNC((AH350+0.5)/10)),"A","B","C","D","F","F","F","F","F","F"),"")</f>
        <v>A</v>
      </c>
      <c r="AJ350" s="32" t="str">
        <f>IF(A350&lt;&gt;"",IF(OR(AH350+0.5&gt;=93,AH350+0.5&lt;60),"",IF(MOD(AH350+0.5,10)&gt;=7,"+",IF(MOD(AH350+0.5,10)&lt;3,"-",""))),"")</f>
        <v/>
      </c>
      <c r="AK350" s="71" t="b">
        <f>IF(A350&lt;&gt;"",OR(AI350&lt;&gt;AC350,AJ350&lt;&gt;AD350),"")</f>
        <v>0</v>
      </c>
      <c r="AL350" s="86">
        <f>IF(AND(A350&lt;&gt;"",U350&lt;&gt;""),SUM(U350,$AL$8)/$AL$2*100,"")</f>
        <v>93.333333333333329</v>
      </c>
      <c r="AM350" s="71">
        <f>IF(AND(A350&lt;&gt;"",V350&lt;&gt;""),SUM(V350,$AM$8)/$AM$2*100,"")</f>
        <v>102.30769230769229</v>
      </c>
      <c r="AN350" s="71">
        <f>IF(AND(A350&lt;&gt;"",ISNUMBER(P350),P350&gt;=0),SUM(P350,$AN$8)/$AN$2*100,"")</f>
        <v>100</v>
      </c>
      <c r="AO350" s="71" t="str">
        <f>IF(AND(A350&lt;&gt;"",ISNUMBER(Q350),Q350&gt;=0),SUM(Q350,$AO$8)/$AO$2*100,"")</f>
        <v/>
      </c>
      <c r="AP350" s="24" t="str">
        <f>IF(AND(A350&lt;&gt;"",R350&lt;&gt;""),SUM(R350,$AP$8)/$AP$2*100,"")</f>
        <v/>
      </c>
      <c r="AQ350" s="24">
        <f>IF(AND(A350&lt;&gt;"",ISNUMBER(W350),W350&gt;=0),SUM(W350,$AQ$8)/$AQ$2*100,"")</f>
        <v>100</v>
      </c>
      <c r="AR350" s="24" t="str">
        <f>IF(AND(A350&lt;&gt;"",T350&gt;0,ISNUMBER(T350)),SUM(T350,$AR$8)/$AR$2*100,"")</f>
        <v/>
      </c>
      <c r="AS350" s="24" t="str">
        <f>IF(AND(A350&lt;&gt;"",X350&lt;&gt;""),SUM(X350,$AS$8)/$AS$2*100,"")</f>
        <v/>
      </c>
      <c r="AT350" s="89">
        <f>IF(AND(A350&lt;&gt;"",OR(ISNUMBER(W350),ISNUMBER(X350))),SUM(W350:X350,$AT$8)/$AT$2*100,"")</f>
        <v>100</v>
      </c>
      <c r="AU350" s="24">
        <f>AA350</f>
        <v>99.672131147540995</v>
      </c>
      <c r="AV350" s="71"/>
      <c r="AW350" s="27">
        <f>IF(A350&lt;&gt;"",AE350-AA350,"")</f>
        <v>0.32786885245900521</v>
      </c>
      <c r="AY350" s="27" t="b">
        <f>S350&gt;R350</f>
        <v>0</v>
      </c>
      <c r="BA350" s="27" t="e">
        <f>AND(AA350&gt;$BA$3,(W350+$W$8)/$W$2&lt;$BB$3,(X350+$X$8)/$X$2&lt;$BB$3)</f>
        <v>#VALUE!</v>
      </c>
      <c r="BB350" s="27" t="e">
        <f>AND(AA350&lt;$BA$3,AND(W350/$W$2&gt;$BB$3,X350/$X$2&gt;$BB$3))</f>
        <v>#VALUE!</v>
      </c>
      <c r="BC350" s="27" t="e">
        <f>AND(AA350&lt;$BA$3,OR(W350/$W$2&gt;$BB$3,X350/$X$2&gt;$BB$3))</f>
        <v>#VALUE!</v>
      </c>
      <c r="BE350" s="32" t="s">
        <v>84</v>
      </c>
    </row>
    <row r="351" spans="1:57" s="27" customFormat="1" ht="12.75" customHeight="1" x14ac:dyDescent="0.2">
      <c r="A351" s="10">
        <v>679420</v>
      </c>
      <c r="B351" s="2">
        <v>22</v>
      </c>
      <c r="C351" s="10">
        <v>22</v>
      </c>
      <c r="D351" s="10">
        <v>22</v>
      </c>
      <c r="E351" s="10"/>
      <c r="F351" s="10"/>
      <c r="G351" s="10"/>
      <c r="H351" s="10"/>
      <c r="I351" s="10"/>
      <c r="J351" s="2">
        <v>32</v>
      </c>
      <c r="K351" s="10">
        <v>52</v>
      </c>
      <c r="L351" s="10">
        <v>51</v>
      </c>
      <c r="M351" s="10"/>
      <c r="N351" s="93"/>
      <c r="O351" s="13"/>
      <c r="P351" s="10">
        <v>101</v>
      </c>
      <c r="Q351" s="10"/>
      <c r="R351" s="2"/>
      <c r="S351" s="10"/>
      <c r="T351" s="13"/>
      <c r="U351" s="7">
        <f t="array" ref="U351">IF(AND(A351&lt;&gt;"",OR(ISNUMBER(B351:I351))),SUM(B351:I351),"")</f>
        <v>66</v>
      </c>
      <c r="V351" s="10">
        <f t="array" ref="V351">IF(AND(A351&lt;&gt;"",OR(ISNUMBER(J351:O351))),SUM(J351:O351),"")</f>
        <v>135</v>
      </c>
      <c r="W351" s="10">
        <f t="array" ref="W351">IF(AND(A351&lt;&gt;"",OR(ISNUMBER(P351),ISNUMBER(Q351))),SUM(MAX(P351:Q351),Q351),"")</f>
        <v>101</v>
      </c>
      <c r="X351" s="10" t="str">
        <f t="array" ref="X351">IF(AND(A351&lt;&gt;"",OR(ISNUMBER(S351),ISNUMBER(T351))),SUM(S351,T351),"")</f>
        <v/>
      </c>
      <c r="Y351" s="13">
        <v>1</v>
      </c>
      <c r="Z351" s="13">
        <f>IF(A351&lt;&gt;"",SUM(U351:Y351),"")</f>
        <v>303</v>
      </c>
      <c r="AA351" s="27">
        <f>IF(A351&lt;&gt;"",(Z351+Normalize_To_Add)/(Point_Total_So_Far)*100,"")</f>
        <v>99.344262295081961</v>
      </c>
      <c r="AB351" s="10">
        <f>IF(A351&lt;&gt;"",RANK(AA351,All_Student_XC),"")</f>
        <v>145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>
        <f>IF(A351&lt;&gt;"",SUM(W351:X351,$W$8:$X$8)/SUM($W$2:$X$2)*100,"")</f>
        <v>101</v>
      </c>
      <c r="AF351" s="32" t="str">
        <f>IF(A351&lt;&gt;"",CHOOSE(10-MIN(9,TRUNC((AE351+0.5)/10)),"A","B","C","D","F","F","F","F","F","F"),"")</f>
        <v>A</v>
      </c>
      <c r="AG351" s="32" t="str">
        <f>IF(A351&lt;&gt;"",IF(OR(AE351+0.5&gt;=93,AE351+0.5&lt;60),"",IF(MOD(AE351+0.5,10)&gt;=7,"+",IF(MOD(AE351+0.5,10)&lt;3,"-",""))),"")</f>
        <v/>
      </c>
      <c r="AH351" s="36">
        <f>IF(A351&lt;&gt;"",MIN(MAX(AA351,AE351),AA351+$AH$8,AE351+$AH$8),"")</f>
        <v>101</v>
      </c>
      <c r="AI351" s="32" t="str">
        <f>IF(A351&lt;&gt;"",CHOOSE(10-MIN(9,TRUNC((AH351+0.5)/10)),"A","B","C","D","F","F","F","F","F","F"),"")</f>
        <v>A</v>
      </c>
      <c r="AJ351" s="32" t="str">
        <f>IF(A351&lt;&gt;"",IF(OR(AH351+0.5&gt;=93,AH351+0.5&lt;60),"",IF(MOD(AH351+0.5,10)&gt;=7,"+",IF(MOD(AH351+0.5,10)&lt;3,"-",""))),"")</f>
        <v/>
      </c>
      <c r="AK351" s="71" t="b">
        <f>IF(A351&lt;&gt;"",OR(AI351&lt;&gt;AC351,AJ351&lt;&gt;AD351),"")</f>
        <v>0</v>
      </c>
      <c r="AL351" s="86">
        <f>IF(AND(A351&lt;&gt;"",U351&lt;&gt;""),SUM(U351,$AL$8)/$AL$2*100,"")</f>
        <v>88</v>
      </c>
      <c r="AM351" s="71">
        <f>IF(AND(A351&lt;&gt;"",V351&lt;&gt;""),SUM(V351,$AM$8)/$AM$2*100,"")</f>
        <v>103.84615384615385</v>
      </c>
      <c r="AN351" s="71">
        <f>IF(AND(A351&lt;&gt;"",ISNUMBER(P351),P351&gt;=0),SUM(P351,$AN$8)/$AN$2*100,"")</f>
        <v>101</v>
      </c>
      <c r="AO351" s="71" t="str">
        <f>IF(AND(A351&lt;&gt;"",ISNUMBER(Q351),Q351&gt;=0),SUM(Q351,$AO$8)/$AO$2*100,"")</f>
        <v/>
      </c>
      <c r="AP351" s="24" t="str">
        <f>IF(AND(A351&lt;&gt;"",R351&lt;&gt;""),SUM(R351,$AP$8)/$AP$2*100,"")</f>
        <v/>
      </c>
      <c r="AQ351" s="24">
        <f>IF(AND(A351&lt;&gt;"",ISNUMBER(W351),W351&gt;=0),SUM(W351,$AQ$8)/$AQ$2*100,"")</f>
        <v>101</v>
      </c>
      <c r="AR351" s="24" t="str">
        <f>IF(AND(A351&lt;&gt;"",T351&gt;0,ISNUMBER(T351)),SUM(T351,$AR$8)/$AR$2*100,"")</f>
        <v/>
      </c>
      <c r="AS351" s="24" t="str">
        <f>IF(AND(A351&lt;&gt;"",X351&lt;&gt;""),SUM(X351,$AS$8)/$AS$2*100,"")</f>
        <v/>
      </c>
      <c r="AT351" s="89">
        <f>IF(AND(A351&lt;&gt;"",OR(ISNUMBER(W351),ISNUMBER(X351))),SUM(W351:X351,$AT$8)/$AT$2*100,"")</f>
        <v>101</v>
      </c>
      <c r="AU351" s="24">
        <f>AA351</f>
        <v>99.344262295081961</v>
      </c>
      <c r="AV351" s="71"/>
      <c r="AW351" s="27">
        <f>IF(A351&lt;&gt;"",AE351-AA351,"")</f>
        <v>1.6557377049180388</v>
      </c>
      <c r="AY351" s="27" t="b">
        <f>S351&gt;R351</f>
        <v>0</v>
      </c>
      <c r="BA351" s="27" t="e">
        <f>AND(AA351&gt;$BA$3,(W351+$W$8)/$W$2&lt;$BB$3,(X351+$X$8)/$X$2&lt;$BB$3)</f>
        <v>#VALUE!</v>
      </c>
      <c r="BB351" s="27" t="e">
        <f>AND(AA351&lt;$BA$3,AND(W351/$W$2&gt;$BB$3,X351/$X$2&gt;$BB$3))</f>
        <v>#VALUE!</v>
      </c>
      <c r="BC351" s="27" t="e">
        <f>AND(AA351&lt;$BA$3,OR(W351/$W$2&gt;$BB$3,X351/$X$2&gt;$BB$3))</f>
        <v>#VALUE!</v>
      </c>
      <c r="BE351" s="32" t="s">
        <v>84</v>
      </c>
    </row>
    <row r="352" spans="1:57" s="27" customFormat="1" ht="12.75" customHeight="1" x14ac:dyDescent="0.2">
      <c r="A352" s="10">
        <v>679883</v>
      </c>
      <c r="B352" s="2">
        <v>23</v>
      </c>
      <c r="C352" s="10">
        <v>25</v>
      </c>
      <c r="D352" s="10">
        <v>25</v>
      </c>
      <c r="E352" s="10"/>
      <c r="F352" s="10"/>
      <c r="G352" s="3"/>
      <c r="H352" s="10"/>
      <c r="I352" s="10"/>
      <c r="J352" s="2">
        <v>29</v>
      </c>
      <c r="K352" s="10">
        <v>52</v>
      </c>
      <c r="L352" s="10">
        <v>52</v>
      </c>
      <c r="M352" s="10"/>
      <c r="N352" s="93"/>
      <c r="O352" s="13"/>
      <c r="P352" s="10">
        <v>101</v>
      </c>
      <c r="Q352" s="10"/>
      <c r="R352" s="2"/>
      <c r="S352" s="10"/>
      <c r="T352" s="13"/>
      <c r="U352" s="7">
        <f t="array" ref="U352">IF(AND(A352&lt;&gt;"",OR(ISNUMBER(B352:I352))),SUM(B352:I352),"")</f>
        <v>73</v>
      </c>
      <c r="V352" s="10">
        <f t="array" ref="V352">IF(AND(A352&lt;&gt;"",OR(ISNUMBER(J352:O352))),SUM(J352:O352),"")</f>
        <v>133</v>
      </c>
      <c r="W352" s="10">
        <f t="array" ref="W352">IF(AND(A352&lt;&gt;"",OR(ISNUMBER(P352),ISNUMBER(Q352))),SUM(MAX(P352:Q352),Q352),"")</f>
        <v>101</v>
      </c>
      <c r="X352" s="10" t="str">
        <f t="array" ref="X352">IF(AND(A352&lt;&gt;"",OR(ISNUMBER(S352),ISNUMBER(T352))),SUM(S352,T352),"")</f>
        <v/>
      </c>
      <c r="Y352" s="13">
        <v>1</v>
      </c>
      <c r="Z352" s="13">
        <f>IF(A352&lt;&gt;"",SUM(U352:Y352),"")</f>
        <v>308</v>
      </c>
      <c r="AA352" s="27">
        <f>IF(A352&lt;&gt;"",(Z352+Normalize_To_Add)/(Point_Total_So_Far)*100,"")</f>
        <v>100.98360655737706</v>
      </c>
      <c r="AB352" s="10">
        <f>IF(A352&lt;&gt;"",RANK(AA352,All_Student_XC),"")</f>
        <v>57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>
        <f>IF(A352&lt;&gt;"",SUM(W352:X352,$W$8:$X$8)/SUM($W$2:$X$2)*100,"")</f>
        <v>101</v>
      </c>
      <c r="AF352" s="32" t="str">
        <f>IF(A352&lt;&gt;"",CHOOSE(10-MIN(9,TRUNC((AE352+0.5)/10)),"A","B","C","D","F","F","F","F","F","F"),"")</f>
        <v>A</v>
      </c>
      <c r="AG352" s="32" t="str">
        <f>IF(A352&lt;&gt;"",IF(OR(AE352+0.5&gt;=93,AE352+0.5&lt;60),"",IF(MOD(AE352+0.5,10)&gt;=7,"+",IF(MOD(AE352+0.5,10)&lt;3,"-",""))),"")</f>
        <v/>
      </c>
      <c r="AH352" s="36">
        <f>IF(A352&lt;&gt;"",MIN(MAX(AA352,AE352),AA352+$AH$8,AE352+$AH$8),"")</f>
        <v>101</v>
      </c>
      <c r="AI352" s="32" t="str">
        <f>IF(A352&lt;&gt;"",CHOOSE(10-MIN(9,TRUNC((AH352+0.5)/10)),"A","B","C","D","F","F","F","F","F","F"),"")</f>
        <v>A</v>
      </c>
      <c r="AJ352" s="32" t="str">
        <f>IF(A352&lt;&gt;"",IF(OR(AH352+0.5&gt;=93,AH352+0.5&lt;60),"",IF(MOD(AH352+0.5,10)&gt;=7,"+",IF(MOD(AH352+0.5,10)&lt;3,"-",""))),"")</f>
        <v/>
      </c>
      <c r="AK352" s="71" t="b">
        <f>IF(A352&lt;&gt;"",OR(AI352&lt;&gt;AC352,AJ352&lt;&gt;AD352),"")</f>
        <v>0</v>
      </c>
      <c r="AL352" s="86">
        <f>IF(AND(A352&lt;&gt;"",U352&lt;&gt;""),SUM(U352,$AL$8)/$AL$2*100,"")</f>
        <v>97.333333333333343</v>
      </c>
      <c r="AM352" s="71">
        <f>IF(AND(A352&lt;&gt;"",V352&lt;&gt;""),SUM(V352,$AM$8)/$AM$2*100,"")</f>
        <v>102.30769230769229</v>
      </c>
      <c r="AN352" s="71">
        <f>IF(AND(A352&lt;&gt;"",ISNUMBER(P352),P352&gt;=0),SUM(P352,$AN$8)/$AN$2*100,"")</f>
        <v>101</v>
      </c>
      <c r="AO352" s="71" t="str">
        <f>IF(AND(A352&lt;&gt;"",ISNUMBER(Q352),Q352&gt;=0),SUM(Q352,$AO$8)/$AO$2*100,"")</f>
        <v/>
      </c>
      <c r="AP352" s="24" t="str">
        <f>IF(AND(A352&lt;&gt;"",R352&lt;&gt;""),SUM(R352,$AP$8)/$AP$2*100,"")</f>
        <v/>
      </c>
      <c r="AQ352" s="24">
        <f>IF(AND(A352&lt;&gt;"",ISNUMBER(W352),W352&gt;=0),SUM(W352,$AQ$8)/$AQ$2*100,"")</f>
        <v>101</v>
      </c>
      <c r="AR352" s="24" t="str">
        <f>IF(AND(A352&lt;&gt;"",T352&gt;0,ISNUMBER(T352)),SUM(T352,$AR$8)/$AR$2*100,"")</f>
        <v/>
      </c>
      <c r="AS352" s="24" t="str">
        <f>IF(AND(A352&lt;&gt;"",X352&lt;&gt;""),SUM(X352,$AS$8)/$AS$2*100,"")</f>
        <v/>
      </c>
      <c r="AT352" s="89">
        <f>IF(AND(A352&lt;&gt;"",OR(ISNUMBER(W352),ISNUMBER(X352))),SUM(W352:X352,$AT$8)/$AT$2*100,"")</f>
        <v>101</v>
      </c>
      <c r="AU352" s="24">
        <f>AA352</f>
        <v>100.98360655737706</v>
      </c>
      <c r="AV352" s="71"/>
      <c r="AW352" s="27">
        <f>IF(A352&lt;&gt;"",AE352-AA352,"")</f>
        <v>1.6393442622941734E-2</v>
      </c>
      <c r="AY352" s="27" t="b">
        <f>S352&gt;R352</f>
        <v>0</v>
      </c>
      <c r="BA352" s="27" t="e">
        <f>AND(AA352&gt;$BA$3,(W352+$W$8)/$W$2&lt;$BB$3,(X352+$X$8)/$X$2&lt;$BB$3)</f>
        <v>#VALUE!</v>
      </c>
      <c r="BB352" s="27" t="e">
        <f>AND(AA352&lt;$BA$3,AND(W352/$W$2&gt;$BB$3,X352/$X$2&gt;$BB$3))</f>
        <v>#VALUE!</v>
      </c>
      <c r="BC352" s="27" t="e">
        <f>AND(AA352&lt;$BA$3,OR(W352/$W$2&gt;$BB$3,X352/$X$2&gt;$BB$3))</f>
        <v>#VALUE!</v>
      </c>
      <c r="BE352" s="32" t="s">
        <v>84</v>
      </c>
    </row>
    <row r="353" spans="1:57" s="27" customFormat="1" ht="12.75" customHeight="1" x14ac:dyDescent="0.2">
      <c r="A353" s="10">
        <v>680320</v>
      </c>
      <c r="B353" s="2">
        <v>25</v>
      </c>
      <c r="C353" s="10">
        <v>24</v>
      </c>
      <c r="D353" s="10">
        <v>25</v>
      </c>
      <c r="E353" s="10"/>
      <c r="F353" s="10"/>
      <c r="G353" s="3"/>
      <c r="H353" s="10"/>
      <c r="I353" s="10"/>
      <c r="J353" s="2">
        <v>30</v>
      </c>
      <c r="K353" s="10">
        <v>52</v>
      </c>
      <c r="L353" s="10">
        <v>52</v>
      </c>
      <c r="M353" s="10"/>
      <c r="N353" s="10"/>
      <c r="O353" s="12"/>
      <c r="P353" s="10">
        <v>101</v>
      </c>
      <c r="Q353" s="41"/>
      <c r="R353" s="2"/>
      <c r="S353" s="10"/>
      <c r="T353" s="13"/>
      <c r="U353" s="35">
        <f t="array" ref="U353">IF(AND(A353&lt;&gt;"",OR(ISNUMBER(B353:I353))),SUM(B353:I353),"")</f>
        <v>74</v>
      </c>
      <c r="V353" s="10">
        <f t="array" ref="V353">IF(AND(A353&lt;&gt;"",OR(ISNUMBER(J353:O353))),SUM(J353:O353),"")</f>
        <v>134</v>
      </c>
      <c r="W353" s="10">
        <f t="array" ref="W353">IF(AND(A353&lt;&gt;"",OR(ISNUMBER(P353),ISNUMBER(Q353))),SUM(MAX(P353:Q353),Q353),"")</f>
        <v>101</v>
      </c>
      <c r="X353" s="10" t="str">
        <f t="array" ref="X353">IF(AND(A353&lt;&gt;"",OR(ISNUMBER(S353),ISNUMBER(T353))),SUM(S353,T353),"")</f>
        <v/>
      </c>
      <c r="Y353" s="13">
        <v>1</v>
      </c>
      <c r="Z353" s="13">
        <f>IF(A353&lt;&gt;"",SUM(U353:Y353),"")</f>
        <v>310</v>
      </c>
      <c r="AA353" s="27">
        <f>IF(A353&lt;&gt;"",(Z353+Normalize_To_Add)/(Point_Total_So_Far)*100,"")</f>
        <v>101.63934426229508</v>
      </c>
      <c r="AB353" s="10">
        <f>IF(A353&lt;&gt;"",RANK(AA353,All_Student_XC),"")</f>
        <v>19</v>
      </c>
      <c r="AC353" s="32" t="str">
        <f>IF(A353&lt;&gt;"",CHOOSE(10-MIN(9,TRUNC((AA353+0.5)/10)),"A","B","C","D","F","F","F","F","F","F"),"")</f>
        <v>A</v>
      </c>
      <c r="AD353" s="32" t="str">
        <f>IF(A353&lt;&gt;"",IF(OR(AA353+0.5&gt;=93,AA353+0.5&lt;60),"",IF(MOD(AA353+0.5,10)&gt;=7,"+",IF(MOD(AA353+0.5,10)&lt;3,"-",""))),"")</f>
        <v/>
      </c>
      <c r="AE353" s="32">
        <f>IF(A353&lt;&gt;"",SUM(W353:X353,$W$8:$X$8)/SUM($W$2:$X$2)*100,"")</f>
        <v>101</v>
      </c>
      <c r="AF353" s="32" t="str">
        <f>IF(A353&lt;&gt;"",CHOOSE(10-MIN(9,TRUNC((AE353+0.5)/10)),"A","B","C","D","F","F","F","F","F","F"),"")</f>
        <v>A</v>
      </c>
      <c r="AG353" s="32" t="str">
        <f>IF(A353&lt;&gt;"",IF(OR(AE353+0.5&gt;=93,AE353+0.5&lt;60),"",IF(MOD(AE353+0.5,10)&gt;=7,"+",IF(MOD(AE353+0.5,10)&lt;3,"-",""))),"")</f>
        <v/>
      </c>
      <c r="AH353" s="36">
        <f>IF(A353&lt;&gt;"",MIN(MAX(AA353,AE353),AA353+$AH$8,AE353+$AH$8),"")</f>
        <v>101.63934426229508</v>
      </c>
      <c r="AI353" s="32" t="str">
        <f>IF(A353&lt;&gt;"",CHOOSE(10-MIN(9,TRUNC((AH353+0.5)/10)),"A","B","C","D","F","F","F","F","F","F"),"")</f>
        <v>A</v>
      </c>
      <c r="AJ353" s="32" t="str">
        <f>IF(A353&lt;&gt;"",IF(OR(AH353+0.5&gt;=93,AH353+0.5&lt;60),"",IF(MOD(AH353+0.5,10)&gt;=7,"+",IF(MOD(AH353+0.5,10)&lt;3,"-",""))),"")</f>
        <v/>
      </c>
      <c r="AK353" s="32" t="b">
        <f>IF(A353&lt;&gt;"",OR(AI353&lt;&gt;AC353,AJ353&lt;&gt;AD353),"")</f>
        <v>0</v>
      </c>
      <c r="AL353" s="84">
        <f>IF(AND(A353&lt;&gt;"",U353&lt;&gt;""),SUM(U353,$AL$8)/$AL$2*100,"")</f>
        <v>98.666666666666671</v>
      </c>
      <c r="AM353" s="24">
        <f>IF(AND(A353&lt;&gt;"",V353&lt;&gt;""),SUM(V353,$AM$8)/$AM$2*100,"")</f>
        <v>103.07692307692307</v>
      </c>
      <c r="AN353" s="24">
        <f>IF(AND(A353&lt;&gt;"",ISNUMBER(P353),P353&gt;=0),SUM(P353,$AN$8)/$AN$2*100,"")</f>
        <v>101</v>
      </c>
      <c r="AO353" s="24" t="str">
        <f>IF(AND(A353&lt;&gt;"",ISNUMBER(Q353),Q353&gt;=0),SUM(Q353,$AO$8)/$AO$2*100,"")</f>
        <v/>
      </c>
      <c r="AP353" s="24" t="str">
        <f>IF(AND(A353&lt;&gt;"",R353&lt;&gt;""),SUM(R353,$AP$8)/$AP$2*100,"")</f>
        <v/>
      </c>
      <c r="AQ353" s="24">
        <f>IF(AND(A353&lt;&gt;"",ISNUMBER(W353),W353&gt;=0),SUM(W353,$AQ$8)/$AQ$2*100,"")</f>
        <v>101</v>
      </c>
      <c r="AR353" s="24" t="str">
        <f>IF(AND(A353&lt;&gt;"",T353&gt;0,ISNUMBER(T353)),SUM(T353,$AR$8)/$AR$2*100,"")</f>
        <v/>
      </c>
      <c r="AS353" s="24" t="str">
        <f>IF(AND(A353&lt;&gt;"",X353&lt;&gt;""),SUM(X353,$AS$8)/$AS$2*100,"")</f>
        <v/>
      </c>
      <c r="AT353" s="89">
        <f>IF(AND(A353&lt;&gt;"",OR(ISNUMBER(W353),ISNUMBER(X353))),SUM(W353:X353,$AT$8)/$AT$2*100,"")</f>
        <v>101</v>
      </c>
      <c r="AU353" s="24">
        <f>AA353</f>
        <v>101.63934426229508</v>
      </c>
      <c r="AV353" s="24"/>
      <c r="AW353" s="27">
        <f>IF(A353&lt;&gt;"",AE353-AA353,"")</f>
        <v>-0.6393442622950829</v>
      </c>
      <c r="AY353" s="27" t="b">
        <f>S353&gt;R353</f>
        <v>0</v>
      </c>
      <c r="BA353" s="27" t="e">
        <f>AND(AA353&gt;$BA$3,(W353+$W$8)/$W$2&lt;$BB$3,(X353+$X$8)/$X$2&lt;$BB$3)</f>
        <v>#VALUE!</v>
      </c>
      <c r="BB353" s="27" t="e">
        <f>AND(AA353&lt;$BA$3,AND(W353/$W$2&gt;$BB$3,X353/$X$2&gt;$BB$3))</f>
        <v>#VALUE!</v>
      </c>
      <c r="BC353" s="27" t="e">
        <f>AND(AA353&lt;$BA$3,OR(W353/$W$2&gt;$BB$3,X353/$X$2&gt;$BB$3))</f>
        <v>#VALUE!</v>
      </c>
      <c r="BE353" s="32" t="s">
        <v>84</v>
      </c>
    </row>
    <row r="354" spans="1:57" s="27" customFormat="1" ht="12.75" customHeight="1" x14ac:dyDescent="0.2">
      <c r="A354" s="10">
        <v>683451</v>
      </c>
      <c r="B354" s="2">
        <v>9</v>
      </c>
      <c r="C354" s="10">
        <v>13</v>
      </c>
      <c r="D354" s="10">
        <v>19</v>
      </c>
      <c r="E354" s="10"/>
      <c r="F354" s="10"/>
      <c r="G354" s="3"/>
      <c r="H354" s="10"/>
      <c r="I354" s="10"/>
      <c r="J354" s="2">
        <v>30</v>
      </c>
      <c r="K354" s="10">
        <v>49</v>
      </c>
      <c r="L354" s="10">
        <v>52</v>
      </c>
      <c r="M354" s="10"/>
      <c r="N354" s="10"/>
      <c r="O354" s="12"/>
      <c r="P354" s="41">
        <v>80</v>
      </c>
      <c r="Q354" s="41"/>
      <c r="R354" s="2"/>
      <c r="S354" s="10"/>
      <c r="T354" s="13"/>
      <c r="U354" s="7">
        <f t="array" ref="U354">IF(AND(A354&lt;&gt;"",OR(ISNUMBER(B354:I354))),SUM(B354:I354),"")</f>
        <v>41</v>
      </c>
      <c r="V354" s="10">
        <f t="array" ref="V354">IF(AND(A354&lt;&gt;"",OR(ISNUMBER(J354:O354))),SUM(J354:O354),"")</f>
        <v>131</v>
      </c>
      <c r="W354" s="10">
        <f t="array" ref="W354">IF(AND(A354&lt;&gt;"",OR(ISNUMBER(P354),ISNUMBER(Q354))),SUM(MAX(P354:Q354),Q354),"")</f>
        <v>80</v>
      </c>
      <c r="X354" s="10" t="str">
        <f t="array" ref="X354">IF(AND(A354&lt;&gt;"",OR(ISNUMBER(S354),ISNUMBER(T354))),SUM(S354,T354),"")</f>
        <v/>
      </c>
      <c r="Y354" s="13">
        <v>1</v>
      </c>
      <c r="Z354" s="13">
        <f>IF(A354&lt;&gt;"",SUM(U354:Y354),"")</f>
        <v>253</v>
      </c>
      <c r="AA354" s="27">
        <f>IF(A354&lt;&gt;"",(Z354+Normalize_To_Add)/(Point_Total_So_Far)*100,"")</f>
        <v>82.950819672131146</v>
      </c>
      <c r="AB354" s="10">
        <f>IF(A354&lt;&gt;"",RANK(AA354,All_Student_XC),"")</f>
        <v>391</v>
      </c>
      <c r="AC354" s="32" t="str">
        <f>IF(A354&lt;&gt;"",CHOOSE(10-MIN(9,TRUNC((AA354+0.5)/10)),"A","B","C","D","F","F","F","F","F","F"),"")</f>
        <v>B</v>
      </c>
      <c r="AD354" s="32" t="str">
        <f>IF(A354&lt;&gt;"",IF(OR(AA354+0.5&gt;=93,AA354+0.5&lt;60),"",IF(MOD(AA354+0.5,10)&gt;=7,"+",IF(MOD(AA354+0.5,10)&lt;3,"-",""))),"")</f>
        <v/>
      </c>
      <c r="AE354" s="32">
        <f>IF(A354&lt;&gt;"",SUM(W354:X354,$W$8:$X$8)/SUM($W$2:$X$2)*100,"")</f>
        <v>80</v>
      </c>
      <c r="AF354" s="32" t="str">
        <f>IF(A354&lt;&gt;"",CHOOSE(10-MIN(9,TRUNC((AE354+0.5)/10)),"A","B","C","D","F","F","F","F","F","F"),"")</f>
        <v>B</v>
      </c>
      <c r="AG354" s="32" t="str">
        <f>IF(A354&lt;&gt;"",IF(OR(AE354+0.5&gt;=93,AE354+0.5&lt;60),"",IF(MOD(AE354+0.5,10)&gt;=7,"+",IF(MOD(AE354+0.5,10)&lt;3,"-",""))),"")</f>
        <v>-</v>
      </c>
      <c r="AH354" s="36">
        <f>IF(A354&lt;&gt;"",MIN(MAX(AA354,AE354),AA354+$AH$8,AE354+$AH$8),"")</f>
        <v>82.950819672131146</v>
      </c>
      <c r="AI354" s="32" t="str">
        <f>IF(A354&lt;&gt;"",CHOOSE(10-MIN(9,TRUNC((AH354+0.5)/10)),"A","B","C","D","F","F","F","F","F","F"),"")</f>
        <v>B</v>
      </c>
      <c r="AJ354" s="32" t="str">
        <f>IF(A354&lt;&gt;"",IF(OR(AH354+0.5&gt;=93,AH354+0.5&lt;60),"",IF(MOD(AH354+0.5,10)&gt;=7,"+",IF(MOD(AH354+0.5,10)&lt;3,"-",""))),"")</f>
        <v/>
      </c>
      <c r="AK354" s="32" t="b">
        <f>IF(A354&lt;&gt;"",OR(AI354&lt;&gt;AC354,AJ354&lt;&gt;AD354),"")</f>
        <v>0</v>
      </c>
      <c r="AL354" s="84">
        <f>IF(AND(A354&lt;&gt;"",U354&lt;&gt;""),SUM(U354,$AL$8)/$AL$2*100,"")</f>
        <v>54.666666666666664</v>
      </c>
      <c r="AM354" s="24">
        <f>IF(AND(A354&lt;&gt;"",V354&lt;&gt;""),SUM(V354,$AM$8)/$AM$2*100,"")</f>
        <v>100.76923076923077</v>
      </c>
      <c r="AN354" s="24">
        <f>IF(AND(A354&lt;&gt;"",ISNUMBER(P354),P354&gt;=0),SUM(P354,$AN$8)/$AN$2*100,"")</f>
        <v>80</v>
      </c>
      <c r="AO354" s="24" t="str">
        <f>IF(AND(A354&lt;&gt;"",ISNUMBER(Q354),Q354&gt;=0),SUM(Q354,$AO$8)/$AO$2*100,"")</f>
        <v/>
      </c>
      <c r="AP354" s="24" t="str">
        <f>IF(AND(A354&lt;&gt;"",R354&lt;&gt;""),SUM(R354,$AP$8)/$AP$2*100,"")</f>
        <v/>
      </c>
      <c r="AQ354" s="24">
        <f>IF(AND(A354&lt;&gt;"",ISNUMBER(W354),W354&gt;=0),SUM(W354,$AQ$8)/$AQ$2*100,"")</f>
        <v>80</v>
      </c>
      <c r="AR354" s="24" t="str">
        <f>IF(AND(A354&lt;&gt;"",T354&gt;0,ISNUMBER(T354)),SUM(T354,$AR$8)/$AR$2*100,"")</f>
        <v/>
      </c>
      <c r="AS354" s="24" t="str">
        <f>IF(AND(A354&lt;&gt;"",X354&lt;&gt;""),SUM(X354,$AS$8)/$AS$2*100,"")</f>
        <v/>
      </c>
      <c r="AT354" s="89">
        <f>IF(AND(A354&lt;&gt;"",OR(ISNUMBER(W354),ISNUMBER(X354))),SUM(W354:X354,$AT$8)/$AT$2*100,"")</f>
        <v>80</v>
      </c>
      <c r="AU354" s="24">
        <f>AA354</f>
        <v>82.950819672131146</v>
      </c>
      <c r="AV354" s="24"/>
      <c r="AW354" s="27">
        <f>IF(A354&lt;&gt;"",AE354-AA354,"")</f>
        <v>-2.9508196721311464</v>
      </c>
      <c r="AY354" s="27" t="b">
        <f>S354&gt;R354</f>
        <v>0</v>
      </c>
      <c r="BA354" s="27" t="e">
        <f>AND(AA354&gt;$BA$3,(W354+$W$8)/$W$2&lt;$BB$3,(X354+$X$8)/$X$2&lt;$BB$3)</f>
        <v>#VALUE!</v>
      </c>
      <c r="BB354" s="27" t="e">
        <f>AND(AA354&lt;$BA$3,AND(W354/$W$2&gt;$BB$3,X354/$X$2&gt;$BB$3))</f>
        <v>#VALUE!</v>
      </c>
      <c r="BC354" s="27" t="e">
        <f>AND(AA354&lt;$BA$3,OR(W354/$W$2&gt;$BB$3,X354/$X$2&gt;$BB$3))</f>
        <v>#VALUE!</v>
      </c>
      <c r="BE354" s="32" t="s">
        <v>84</v>
      </c>
    </row>
    <row r="355" spans="1:57" s="27" customFormat="1" ht="12.75" customHeight="1" x14ac:dyDescent="0.2">
      <c r="A355" s="10">
        <v>684217</v>
      </c>
      <c r="B355" s="2">
        <v>21</v>
      </c>
      <c r="C355" s="10">
        <v>21</v>
      </c>
      <c r="D355" s="10">
        <v>25</v>
      </c>
      <c r="E355" s="10"/>
      <c r="F355" s="10"/>
      <c r="G355" s="10"/>
      <c r="H355" s="10"/>
      <c r="I355" s="10"/>
      <c r="J355" s="2">
        <v>30</v>
      </c>
      <c r="K355" s="10">
        <v>50</v>
      </c>
      <c r="L355" s="10">
        <v>51</v>
      </c>
      <c r="M355" s="10"/>
      <c r="N355" s="93"/>
      <c r="O355" s="13"/>
      <c r="P355" s="10">
        <v>101</v>
      </c>
      <c r="Q355" s="10"/>
      <c r="R355" s="2"/>
      <c r="S355" s="10"/>
      <c r="T355" s="13"/>
      <c r="U355" s="7">
        <f t="array" ref="U355">IF(AND(A355&lt;&gt;"",OR(ISNUMBER(B355:I355))),SUM(B355:I355),"")</f>
        <v>67</v>
      </c>
      <c r="V355" s="10">
        <f t="array" ref="V355">IF(AND(A355&lt;&gt;"",OR(ISNUMBER(J355:O355))),SUM(J355:O355),"")</f>
        <v>131</v>
      </c>
      <c r="W355" s="10">
        <f t="array" ref="W355">IF(AND(A355&lt;&gt;"",OR(ISNUMBER(P355),ISNUMBER(Q355))),SUM(MAX(P355:Q355),Q355),"")</f>
        <v>101</v>
      </c>
      <c r="X355" s="10" t="str">
        <f t="array" ref="X355">IF(AND(A355&lt;&gt;"",OR(ISNUMBER(S355),ISNUMBER(T355))),SUM(S355,T355),"")</f>
        <v/>
      </c>
      <c r="Y355" s="13">
        <v>1</v>
      </c>
      <c r="Z355" s="13">
        <f>IF(A355&lt;&gt;"",SUM(U355:Y355),"")</f>
        <v>300</v>
      </c>
      <c r="AA355" s="27">
        <f>IF(A355&lt;&gt;"",(Z355+Normalize_To_Add)/(Point_Total_So_Far)*100,"")</f>
        <v>98.360655737704917</v>
      </c>
      <c r="AB355" s="10">
        <f>IF(A355&lt;&gt;"",RANK(AA355,All_Student_XC),"")</f>
        <v>186</v>
      </c>
      <c r="AC355" s="32" t="str">
        <f>IF(A355&lt;&gt;"",CHOOSE(10-MIN(9,TRUNC((AA355+0.5)/10)),"A","B","C","D","F","F","F","F","F","F"),"")</f>
        <v>A</v>
      </c>
      <c r="AD355" s="31" t="str">
        <f>IF(A355&lt;&gt;"",IF(OR(AA355+0.5&gt;=93,AA355+0.5&lt;60),"",IF(MOD(AA355+0.5,10)&gt;=7,"+",IF(MOD(AA355+0.5,10)&lt;3,"-",""))),"")</f>
        <v/>
      </c>
      <c r="AE355" s="32">
        <f>IF(A355&lt;&gt;"",SUM(W355:X355,$W$8:$X$8)/SUM($W$2:$X$2)*100,"")</f>
        <v>101</v>
      </c>
      <c r="AF355" s="32" t="str">
        <f>IF(A355&lt;&gt;"",CHOOSE(10-MIN(9,TRUNC((AE355+0.5)/10)),"A","B","C","D","F","F","F","F","F","F"),"")</f>
        <v>A</v>
      </c>
      <c r="AG355" s="32" t="str">
        <f>IF(A355&lt;&gt;"",IF(OR(AE355+0.5&gt;=93,AE355+0.5&lt;60),"",IF(MOD(AE355+0.5,10)&gt;=7,"+",IF(MOD(AE355+0.5,10)&lt;3,"-",""))),"")</f>
        <v/>
      </c>
      <c r="AH355" s="36">
        <f>IF(A355&lt;&gt;"",MIN(MAX(AA355,AE355),AA355+$AH$8,AE355+$AH$8),"")</f>
        <v>101</v>
      </c>
      <c r="AI355" s="32" t="str">
        <f>IF(A355&lt;&gt;"",CHOOSE(10-MIN(9,TRUNC((AH355+0.5)/10)),"A","B","C","D","F","F","F","F","F","F"),"")</f>
        <v>A</v>
      </c>
      <c r="AJ355" s="32" t="str">
        <f>IF(A355&lt;&gt;"",IF(OR(AH355+0.5&gt;=93,AH355+0.5&lt;60),"",IF(MOD(AH355+0.5,10)&gt;=7,"+",IF(MOD(AH355+0.5,10)&lt;3,"-",""))),"")</f>
        <v/>
      </c>
      <c r="AK355" s="71" t="b">
        <f>IF(A355&lt;&gt;"",OR(AI355&lt;&gt;AC355,AJ355&lt;&gt;AD355),"")</f>
        <v>0</v>
      </c>
      <c r="AL355" s="86">
        <f>IF(AND(A355&lt;&gt;"",U355&lt;&gt;""),SUM(U355,$AL$8)/$AL$2*100,"")</f>
        <v>89.333333333333329</v>
      </c>
      <c r="AM355" s="71">
        <f>IF(AND(A355&lt;&gt;"",V355&lt;&gt;""),SUM(V355,$AM$8)/$AM$2*100,"")</f>
        <v>100.76923076923077</v>
      </c>
      <c r="AN355" s="71">
        <f>IF(AND(A355&lt;&gt;"",ISNUMBER(P355),P355&gt;=0),SUM(P355,$AN$8)/$AN$2*100,"")</f>
        <v>101</v>
      </c>
      <c r="AO355" s="71" t="str">
        <f>IF(AND(A355&lt;&gt;"",ISNUMBER(Q355),Q355&gt;=0),SUM(Q355,$AO$8)/$AO$2*100,"")</f>
        <v/>
      </c>
      <c r="AP355" s="24" t="str">
        <f>IF(AND(A355&lt;&gt;"",R355&lt;&gt;""),SUM(R355,$AP$8)/$AP$2*100,"")</f>
        <v/>
      </c>
      <c r="AQ355" s="24">
        <f>IF(AND(A355&lt;&gt;"",ISNUMBER(W355),W355&gt;=0),SUM(W355,$AQ$8)/$AQ$2*100,"")</f>
        <v>101</v>
      </c>
      <c r="AR355" s="24" t="str">
        <f>IF(AND(A355&lt;&gt;"",T355&gt;0,ISNUMBER(T355)),SUM(T355,$AR$8)/$AR$2*100,"")</f>
        <v/>
      </c>
      <c r="AS355" s="24" t="str">
        <f>IF(AND(A355&lt;&gt;"",X355&lt;&gt;""),SUM(X355,$AS$8)/$AS$2*100,"")</f>
        <v/>
      </c>
      <c r="AT355" s="89">
        <f>IF(AND(A355&lt;&gt;"",OR(ISNUMBER(W355),ISNUMBER(X355))),SUM(W355:X355,$AT$8)/$AT$2*100,"")</f>
        <v>101</v>
      </c>
      <c r="AU355" s="24">
        <f>AA355</f>
        <v>98.360655737704917</v>
      </c>
      <c r="AV355" s="71"/>
      <c r="AW355" s="27">
        <f>IF(A355&lt;&gt;"",AE355-AA355,"")</f>
        <v>2.6393442622950829</v>
      </c>
      <c r="AY355" s="27" t="b">
        <f>S355&gt;R355</f>
        <v>0</v>
      </c>
      <c r="BA355" s="27" t="e">
        <f>AND(AA355&gt;$BA$3,(W355+$W$8)/$W$2&lt;$BB$3,(X355+$X$8)/$X$2&lt;$BB$3)</f>
        <v>#VALUE!</v>
      </c>
      <c r="BB355" s="27" t="e">
        <f>AND(AA355&lt;$BA$3,AND(W355/$W$2&gt;$BB$3,X355/$X$2&gt;$BB$3))</f>
        <v>#VALUE!</v>
      </c>
      <c r="BC355" s="27" t="e">
        <f>AND(AA355&lt;$BA$3,OR(W355/$W$2&gt;$BB$3,X355/$X$2&gt;$BB$3))</f>
        <v>#VALUE!</v>
      </c>
      <c r="BE355" s="32">
        <v>32</v>
      </c>
    </row>
    <row r="356" spans="1:57" s="27" customFormat="1" ht="12.75" customHeight="1" x14ac:dyDescent="0.2">
      <c r="A356" s="10">
        <v>685001</v>
      </c>
      <c r="B356" s="2">
        <v>15</v>
      </c>
      <c r="C356" s="10">
        <v>6</v>
      </c>
      <c r="D356" s="10">
        <v>8</v>
      </c>
      <c r="E356" s="10"/>
      <c r="F356" s="10"/>
      <c r="G356" s="3"/>
      <c r="H356" s="10"/>
      <c r="I356" s="10"/>
      <c r="J356" s="2">
        <v>28</v>
      </c>
      <c r="K356" s="10">
        <v>22</v>
      </c>
      <c r="L356" s="10">
        <v>17</v>
      </c>
      <c r="M356" s="10"/>
      <c r="N356" s="93"/>
      <c r="O356" s="12"/>
      <c r="P356" s="10" t="s">
        <v>67</v>
      </c>
      <c r="Q356" s="41"/>
      <c r="R356" s="2"/>
      <c r="S356" s="10"/>
      <c r="T356" s="13"/>
      <c r="U356" s="7">
        <f t="array" ref="U356">IF(AND(A356&lt;&gt;"",OR(ISNUMBER(B356:I356))),SUM(B356:I356),"")</f>
        <v>29</v>
      </c>
      <c r="V356" s="10">
        <f t="array" ref="V356">IF(AND(A356&lt;&gt;"",OR(ISNUMBER(J356:O356))),SUM(J356:O356),"")</f>
        <v>67</v>
      </c>
      <c r="W356" s="10" t="str">
        <f t="array" ref="W356">IF(AND(A356&lt;&gt;"",OR(ISNUMBER(P356),ISNUMBER(Q356))),SUM(MAX(P356:Q356),Q356),"")</f>
        <v/>
      </c>
      <c r="X356" s="10" t="str">
        <f t="array" ref="X356">IF(AND(A356&lt;&gt;"",OR(ISNUMBER(S356),ISNUMBER(T356))),SUM(S356,T356),"")</f>
        <v/>
      </c>
      <c r="Y356" s="13">
        <v>1</v>
      </c>
      <c r="Z356" s="13">
        <f>IF(A356&lt;&gt;"",SUM(U356:Y356),"")</f>
        <v>97</v>
      </c>
      <c r="AA356" s="27">
        <f>IF(A356&lt;&gt;"",(Z356+Normalize_To_Add)/(Point_Total_So_Far)*100,"")</f>
        <v>31.803278688524589</v>
      </c>
      <c r="AB356" s="10">
        <f>IF(A356&lt;&gt;"",RANK(AA356,All_Student_XC),"")</f>
        <v>503</v>
      </c>
      <c r="AC356" s="32" t="str">
        <f>IF(A356&lt;&gt;"",CHOOSE(10-MIN(9,TRUNC((AA356+0.5)/10)),"A","B","C","D","F","F","F","F","F","F"),"")</f>
        <v>F</v>
      </c>
      <c r="AD356" s="32" t="str">
        <f>IF(A356&lt;&gt;"",IF(OR(AA356+0.5&gt;=93,AA356+0.5&lt;60),"",IF(MOD(AA356+0.5,10)&gt;=7,"+",IF(MOD(AA356+0.5,10)&lt;3,"-",""))),"")</f>
        <v/>
      </c>
      <c r="AE356" s="32">
        <f>IF(A356&lt;&gt;"",SUM(W356:X356,$W$8:$X$8)/SUM($W$2:$X$2)*100,"")</f>
        <v>0</v>
      </c>
      <c r="AF356" s="44" t="str">
        <f>IF(A356&lt;&gt;"",CHOOSE(10-MIN(9,TRUNC((AE356+0.5)/10)),"A","B","C","D","F","F","F","F","F","F"),"")</f>
        <v>F</v>
      </c>
      <c r="AG356" s="44" t="str">
        <f>IF(A356&lt;&gt;"",IF(OR(AE356+0.5&gt;=93,AE356+0.5&lt;60),"",IF(MOD(AE356+0.5,10)&gt;=7,"+",IF(MOD(AE356+0.5,10)&lt;3,"-",""))),"")</f>
        <v/>
      </c>
      <c r="AH356" s="36">
        <f>IF(A356&lt;&gt;"",MIN(MAX(AA356,AE356),AA356+$AH$8,AE356+$AH$8),"")</f>
        <v>31.803278688524589</v>
      </c>
      <c r="AI356" s="32" t="str">
        <f>IF(A356&lt;&gt;"",CHOOSE(10-MIN(9,TRUNC((AH356+0.5)/10)),"A","B","C","D","F","F","F","F","F","F"),"")</f>
        <v>F</v>
      </c>
      <c r="AJ356" s="32" t="str">
        <f>IF(A356&lt;&gt;"",IF(OR(AH356+0.5&gt;=93,AH356+0.5&lt;60),"",IF(MOD(AH356+0.5,10)&gt;=7,"+",IF(MOD(AH356+0.5,10)&lt;3,"-",""))),"")</f>
        <v/>
      </c>
      <c r="AK356" s="32" t="b">
        <f>IF(A356&lt;&gt;"",OR(AI356&lt;&gt;AC356,AJ356&lt;&gt;AD356),"")</f>
        <v>0</v>
      </c>
      <c r="AL356" s="84">
        <f>IF(AND(A356&lt;&gt;"",U356&lt;&gt;""),SUM(U356,$AL$8)/$AL$2*100,"")</f>
        <v>38.666666666666664</v>
      </c>
      <c r="AM356" s="24">
        <f>IF(AND(A356&lt;&gt;"",V356&lt;&gt;""),SUM(V356,$AM$8)/$AM$2*100,"")</f>
        <v>51.538461538461533</v>
      </c>
      <c r="AN356" s="24" t="str">
        <f>IF(AND(A356&lt;&gt;"",ISNUMBER(P356),P356&gt;=0),SUM(P356,$AN$8)/$AN$2*100,"")</f>
        <v/>
      </c>
      <c r="AO356" s="24" t="str">
        <f>IF(AND(A356&lt;&gt;"",ISNUMBER(Q356),Q356&gt;=0),SUM(Q356,$AO$8)/$AO$2*100,"")</f>
        <v/>
      </c>
      <c r="AP356" s="24" t="str">
        <f>IF(AND(A356&lt;&gt;"",R356&lt;&gt;""),SUM(R356,$AP$8)/$AP$2*100,"")</f>
        <v/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 t="str">
        <f>IF(AND(A356&lt;&gt;"",X356&lt;&gt;""),SUM(X356,$AS$8)/$AS$2*100,"")</f>
        <v/>
      </c>
      <c r="AT356" s="89" t="str">
        <f>IF(AND(A356&lt;&gt;"",OR(ISNUMBER(W356),ISNUMBER(X356))),SUM(W356:X356,$AT$8)/$AT$2*100,"")</f>
        <v/>
      </c>
      <c r="AU356" s="24">
        <f>AA356</f>
        <v>31.803278688524589</v>
      </c>
      <c r="AV356" s="24"/>
      <c r="AW356" s="27">
        <f>IF(A356&lt;&gt;"",AE356-AA356,"")</f>
        <v>-31.803278688524589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  <c r="BE356" s="32" t="s">
        <v>84</v>
      </c>
    </row>
    <row r="357" spans="1:57" s="27" customFormat="1" ht="12.75" customHeight="1" x14ac:dyDescent="0.2">
      <c r="A357" s="10">
        <v>692063</v>
      </c>
      <c r="B357" s="2">
        <v>22</v>
      </c>
      <c r="C357" s="10">
        <v>13</v>
      </c>
      <c r="D357" s="10">
        <v>25</v>
      </c>
      <c r="E357" s="10"/>
      <c r="F357" s="10"/>
      <c r="G357" s="10"/>
      <c r="H357" s="10"/>
      <c r="I357" s="10"/>
      <c r="J357" s="2">
        <v>29</v>
      </c>
      <c r="K357" s="10">
        <v>50</v>
      </c>
      <c r="L357" s="10">
        <v>49</v>
      </c>
      <c r="M357" s="10"/>
      <c r="N357" s="93"/>
      <c r="O357" s="13"/>
      <c r="P357" s="10">
        <v>101</v>
      </c>
      <c r="Q357" s="10"/>
      <c r="R357" s="2"/>
      <c r="S357" s="10"/>
      <c r="T357" s="13"/>
      <c r="U357" s="7">
        <f t="array" ref="U357">IF(AND(A357&lt;&gt;"",OR(ISNUMBER(B357:I357))),SUM(B357:I357),"")</f>
        <v>60</v>
      </c>
      <c r="V357" s="10">
        <f t="array" ref="V357">IF(AND(A357&lt;&gt;"",OR(ISNUMBER(J357:O357))),SUM(J357:O357),"")</f>
        <v>128</v>
      </c>
      <c r="W357" s="10">
        <f t="array" ref="W357">IF(AND(A357&lt;&gt;"",OR(ISNUMBER(P357),ISNUMBER(Q357))),SUM(MAX(P357:Q357),Q357),"")</f>
        <v>101</v>
      </c>
      <c r="X357" s="10" t="str">
        <f t="array" ref="X357">IF(AND(A357&lt;&gt;"",OR(ISNUMBER(S357),ISNUMBER(T357))),SUM(S357,T357),"")</f>
        <v/>
      </c>
      <c r="Y357" s="13">
        <v>1</v>
      </c>
      <c r="Z357" s="13">
        <f>IF(A357&lt;&gt;"",SUM(U357:Y357),"")</f>
        <v>290</v>
      </c>
      <c r="AA357" s="27">
        <f>IF(A357&lt;&gt;"",(Z357+Normalize_To_Add)/(Point_Total_So_Far)*100,"")</f>
        <v>95.081967213114751</v>
      </c>
      <c r="AB357" s="10">
        <f>IF(A357&lt;&gt;"",RANK(AA357,All_Student_XC),"")</f>
        <v>269</v>
      </c>
      <c r="AC357" s="32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/>
      </c>
      <c r="AE357" s="32">
        <f>IF(A357&lt;&gt;"",SUM(W357:X357,$W$8:$X$8)/SUM($W$2:$X$2)*100,"")</f>
        <v>101</v>
      </c>
      <c r="AF357" s="32" t="str">
        <f>IF(A357&lt;&gt;"",CHOOSE(10-MIN(9,TRUNC((AE357+0.5)/10)),"A","B","C","D","F","F","F","F","F","F"),"")</f>
        <v>A</v>
      </c>
      <c r="AG357" s="32" t="str">
        <f>IF(A357&lt;&gt;"",IF(OR(AE357+0.5&gt;=93,AE357+0.5&lt;60),"",IF(MOD(AE357+0.5,10)&gt;=7,"+",IF(MOD(AE357+0.5,10)&lt;3,"-",""))),"")</f>
        <v/>
      </c>
      <c r="AH357" s="36">
        <f>IF(A357&lt;&gt;"",MIN(MAX(AA357,AE357),AA357+$AH$8,AE357+$AH$8),"")</f>
        <v>101</v>
      </c>
      <c r="AI357" s="32" t="str">
        <f>IF(A357&lt;&gt;"",CHOOSE(10-MIN(9,TRUNC((AH357+0.5)/10)),"A","B","C","D","F","F","F","F","F","F"),"")</f>
        <v>A</v>
      </c>
      <c r="AJ357" s="32" t="str">
        <f>IF(A357&lt;&gt;"",IF(OR(AH357+0.5&gt;=93,AH357+0.5&lt;60),"",IF(MOD(AH357+0.5,10)&gt;=7,"+",IF(MOD(AH357+0.5,10)&lt;3,"-",""))),"")</f>
        <v/>
      </c>
      <c r="AK357" s="71" t="b">
        <f>IF(A357&lt;&gt;"",OR(AI357&lt;&gt;AC357,AJ357&lt;&gt;AD357),"")</f>
        <v>0</v>
      </c>
      <c r="AL357" s="86">
        <f>IF(AND(A357&lt;&gt;"",U357&lt;&gt;""),SUM(U357,$AL$8)/$AL$2*100,"")</f>
        <v>80</v>
      </c>
      <c r="AM357" s="71">
        <f>IF(AND(A357&lt;&gt;"",V357&lt;&gt;""),SUM(V357,$AM$8)/$AM$2*100,"")</f>
        <v>98.461538461538467</v>
      </c>
      <c r="AN357" s="71">
        <f>IF(AND(A357&lt;&gt;"",ISNUMBER(P357),P357&gt;=0),SUM(P357,$AN$8)/$AN$2*100,"")</f>
        <v>101</v>
      </c>
      <c r="AO357" s="71" t="str">
        <f>IF(AND(A357&lt;&gt;"",ISNUMBER(Q357),Q357&gt;=0),SUM(Q357,$AO$8)/$AO$2*100,"")</f>
        <v/>
      </c>
      <c r="AP357" s="24" t="str">
        <f>IF(AND(A357&lt;&gt;"",R357&lt;&gt;""),SUM(R357,$AP$8)/$AP$2*100,"")</f>
        <v/>
      </c>
      <c r="AQ357" s="24">
        <f>IF(AND(A357&lt;&gt;"",ISNUMBER(W357),W357&gt;=0),SUM(W357,$AQ$8)/$AQ$2*100,"")</f>
        <v>101</v>
      </c>
      <c r="AR357" s="24" t="str">
        <f>IF(AND(A357&lt;&gt;"",T357&gt;0,ISNUMBER(T357)),SUM(T357,$AR$8)/$AR$2*100,"")</f>
        <v/>
      </c>
      <c r="AS357" s="24" t="str">
        <f>IF(AND(A357&lt;&gt;"",X357&lt;&gt;""),SUM(X357,$AS$8)/$AS$2*100,"")</f>
        <v/>
      </c>
      <c r="AT357" s="89">
        <f>IF(AND(A357&lt;&gt;"",OR(ISNUMBER(W357),ISNUMBER(X357))),SUM(W357:X357,$AT$8)/$AT$2*100,"")</f>
        <v>101</v>
      </c>
      <c r="AU357" s="24">
        <f>AA357</f>
        <v>95.081967213114751</v>
      </c>
      <c r="AV357" s="71"/>
      <c r="AW357" s="27">
        <f>IF(A357&lt;&gt;"",AE357-AA357,"")</f>
        <v>5.9180327868852487</v>
      </c>
      <c r="AY357" s="27" t="b">
        <f>S357&gt;R357</f>
        <v>0</v>
      </c>
      <c r="BA357" s="27" t="e">
        <f>AND(AA357&gt;$BA$3,(W357+$W$8)/$W$2&lt;$BB$3,(X357+$X$8)/$X$2&lt;$BB$3)</f>
        <v>#VALUE!</v>
      </c>
      <c r="BB357" s="27" t="e">
        <f>AND(AA357&lt;$BA$3,AND(W357/$W$2&gt;$BB$3,X357/$X$2&gt;$BB$3))</f>
        <v>#VALUE!</v>
      </c>
      <c r="BC357" s="27" t="e">
        <f>AND(AA357&lt;$BA$3,OR(W357/$W$2&gt;$BB$3,X357/$X$2&gt;$BB$3))</f>
        <v>#VALUE!</v>
      </c>
      <c r="BE357" s="32">
        <v>32</v>
      </c>
    </row>
    <row r="358" spans="1:57" s="27" customFormat="1" ht="12.75" customHeight="1" x14ac:dyDescent="0.2">
      <c r="A358" s="10">
        <v>692162</v>
      </c>
      <c r="B358" s="2">
        <v>25</v>
      </c>
      <c r="C358" s="10">
        <v>21</v>
      </c>
      <c r="D358" s="10">
        <v>16</v>
      </c>
      <c r="E358" s="10"/>
      <c r="F358" s="10"/>
      <c r="G358" s="10"/>
      <c r="H358" s="10"/>
      <c r="I358" s="10"/>
      <c r="J358" s="2">
        <v>32</v>
      </c>
      <c r="K358" s="10">
        <v>50</v>
      </c>
      <c r="L358" s="10">
        <v>50</v>
      </c>
      <c r="M358" s="10"/>
      <c r="N358" s="93"/>
      <c r="O358" s="13"/>
      <c r="P358" s="10">
        <v>101</v>
      </c>
      <c r="Q358" s="10"/>
      <c r="R358" s="2"/>
      <c r="S358" s="10"/>
      <c r="T358" s="13"/>
      <c r="U358" s="7">
        <f t="array" ref="U358">IF(AND(A358&lt;&gt;"",OR(ISNUMBER(B358:I358))),SUM(B358:I358),"")</f>
        <v>62</v>
      </c>
      <c r="V358" s="10">
        <f t="array" ref="V358">IF(AND(A358&lt;&gt;"",OR(ISNUMBER(J358:O358))),SUM(J358:O358),"")</f>
        <v>132</v>
      </c>
      <c r="W358" s="10">
        <f t="array" ref="W358">IF(AND(A358&lt;&gt;"",OR(ISNUMBER(P358),ISNUMBER(Q358))),SUM(MAX(P358:Q358),Q358),"")</f>
        <v>101</v>
      </c>
      <c r="X358" s="10" t="str">
        <f t="array" ref="X358">IF(AND(A358&lt;&gt;"",OR(ISNUMBER(S358),ISNUMBER(T358))),SUM(S358,T358),"")</f>
        <v/>
      </c>
      <c r="Y358" s="13">
        <v>1</v>
      </c>
      <c r="Z358" s="13">
        <f>IF(A358&lt;&gt;"",SUM(U358:Y358),"")</f>
        <v>296</v>
      </c>
      <c r="AA358" s="27">
        <f>IF(A358&lt;&gt;"",(Z358+Normalize_To_Add)/(Point_Total_So_Far)*100,"")</f>
        <v>97.049180327868854</v>
      </c>
      <c r="AB358" s="10">
        <f>IF(A358&lt;&gt;"",RANK(AA358,All_Student_XC),"")</f>
        <v>237</v>
      </c>
      <c r="AC358" s="32" t="str">
        <f>IF(A358&lt;&gt;"",CHOOSE(10-MIN(9,TRUNC((AA358+0.5)/10)),"A","B","C","D","F","F","F","F","F","F"),"")</f>
        <v>A</v>
      </c>
      <c r="AD358" s="31" t="str">
        <f>IF(A358&lt;&gt;"",IF(OR(AA358+0.5&gt;=93,AA358+0.5&lt;60),"",IF(MOD(AA358+0.5,10)&gt;=7,"+",IF(MOD(AA358+0.5,10)&lt;3,"-",""))),"")</f>
        <v/>
      </c>
      <c r="AE358" s="32">
        <f>IF(A358&lt;&gt;"",SUM(W358:X358,$W$8:$X$8)/SUM($W$2:$X$2)*100,"")</f>
        <v>101</v>
      </c>
      <c r="AF358" s="32" t="str">
        <f>IF(A358&lt;&gt;"",CHOOSE(10-MIN(9,TRUNC((AE358+0.5)/10)),"A","B","C","D","F","F","F","F","F","F"),"")</f>
        <v>A</v>
      </c>
      <c r="AG358" s="32" t="str">
        <f>IF(A358&lt;&gt;"",IF(OR(AE358+0.5&gt;=93,AE358+0.5&lt;60),"",IF(MOD(AE358+0.5,10)&gt;=7,"+",IF(MOD(AE358+0.5,10)&lt;3,"-",""))),"")</f>
        <v/>
      </c>
      <c r="AH358" s="36">
        <f>IF(A358&lt;&gt;"",MIN(MAX(AA358,AE358),AA358+$AH$8,AE358+$AH$8),"")</f>
        <v>101</v>
      </c>
      <c r="AI358" s="32" t="str">
        <f>IF(A358&lt;&gt;"",CHOOSE(10-MIN(9,TRUNC((AH358+0.5)/10)),"A","B","C","D","F","F","F","F","F","F"),"")</f>
        <v>A</v>
      </c>
      <c r="AJ358" s="32" t="str">
        <f>IF(A358&lt;&gt;"",IF(OR(AH358+0.5&gt;=93,AH358+0.5&lt;60),"",IF(MOD(AH358+0.5,10)&gt;=7,"+",IF(MOD(AH358+0.5,10)&lt;3,"-",""))),"")</f>
        <v/>
      </c>
      <c r="AK358" s="71" t="b">
        <f>IF(A358&lt;&gt;"",OR(AI358&lt;&gt;AC358,AJ358&lt;&gt;AD358),"")</f>
        <v>0</v>
      </c>
      <c r="AL358" s="86">
        <f>IF(AND(A358&lt;&gt;"",U358&lt;&gt;""),SUM(U358,$AL$8)/$AL$2*100,"")</f>
        <v>82.666666666666671</v>
      </c>
      <c r="AM358" s="71">
        <f>IF(AND(A358&lt;&gt;"",V358&lt;&gt;""),SUM(V358,$AM$8)/$AM$2*100,"")</f>
        <v>101.53846153846153</v>
      </c>
      <c r="AN358" s="71">
        <f>IF(AND(A358&lt;&gt;"",ISNUMBER(P358),P358&gt;=0),SUM(P358,$AN$8)/$AN$2*100,"")</f>
        <v>101</v>
      </c>
      <c r="AO358" s="71" t="str">
        <f>IF(AND(A358&lt;&gt;"",ISNUMBER(Q358),Q358&gt;=0),SUM(Q358,$AO$8)/$AO$2*100,"")</f>
        <v/>
      </c>
      <c r="AP358" s="24" t="str">
        <f>IF(AND(A358&lt;&gt;"",R358&lt;&gt;""),SUM(R358,$AP$8)/$AP$2*100,"")</f>
        <v/>
      </c>
      <c r="AQ358" s="24">
        <f>IF(AND(A358&lt;&gt;"",ISNUMBER(W358),W358&gt;=0),SUM(W358,$AQ$8)/$AQ$2*100,"")</f>
        <v>101</v>
      </c>
      <c r="AR358" s="24" t="str">
        <f>IF(AND(A358&lt;&gt;"",T358&gt;0,ISNUMBER(T358)),SUM(T358,$AR$8)/$AR$2*100,"")</f>
        <v/>
      </c>
      <c r="AS358" s="24" t="str">
        <f>IF(AND(A358&lt;&gt;"",X358&lt;&gt;""),SUM(X358,$AS$8)/$AS$2*100,"")</f>
        <v/>
      </c>
      <c r="AT358" s="89">
        <f>IF(AND(A358&lt;&gt;"",OR(ISNUMBER(W358),ISNUMBER(X358))),SUM(W358:X358,$AT$8)/$AT$2*100,"")</f>
        <v>101</v>
      </c>
      <c r="AU358" s="24">
        <f>AA358</f>
        <v>97.049180327868854</v>
      </c>
      <c r="AV358" s="71"/>
      <c r="AW358" s="27">
        <f>IF(A358&lt;&gt;"",AE358-AA358,"")</f>
        <v>3.9508196721311464</v>
      </c>
      <c r="AY358" s="27" t="b">
        <f>S358&gt;R358</f>
        <v>0</v>
      </c>
      <c r="BA358" s="27" t="e">
        <f>AND(AA358&gt;$BA$3,(W358+$W$8)/$W$2&lt;$BB$3,(X358+$X$8)/$X$2&lt;$BB$3)</f>
        <v>#VALUE!</v>
      </c>
      <c r="BB358" s="27" t="e">
        <f>AND(AA358&lt;$BA$3,AND(W358/$W$2&gt;$BB$3,X358/$X$2&gt;$BB$3))</f>
        <v>#VALUE!</v>
      </c>
      <c r="BC358" s="27" t="e">
        <f>AND(AA358&lt;$BA$3,OR(W358/$W$2&gt;$BB$3,X358/$X$2&gt;$BB$3))</f>
        <v>#VALUE!</v>
      </c>
      <c r="BE358" s="32" t="s">
        <v>85</v>
      </c>
    </row>
    <row r="359" spans="1:57" s="27" customFormat="1" ht="12.75" customHeight="1" x14ac:dyDescent="0.2">
      <c r="A359" s="10">
        <v>693186</v>
      </c>
      <c r="B359" s="2">
        <v>25</v>
      </c>
      <c r="C359" s="10">
        <v>25</v>
      </c>
      <c r="D359" s="10">
        <v>25</v>
      </c>
      <c r="E359" s="10"/>
      <c r="F359" s="10"/>
      <c r="G359" s="3"/>
      <c r="H359" s="10"/>
      <c r="I359" s="10"/>
      <c r="J359" s="2">
        <v>30</v>
      </c>
      <c r="K359" s="10">
        <v>52</v>
      </c>
      <c r="L359" s="10">
        <v>51</v>
      </c>
      <c r="M359" s="10"/>
      <c r="N359" s="10"/>
      <c r="O359" s="12"/>
      <c r="P359" s="7">
        <v>101</v>
      </c>
      <c r="Q359" s="7"/>
      <c r="R359" s="2"/>
      <c r="S359" s="10"/>
      <c r="T359" s="13"/>
      <c r="U359" s="35">
        <f t="array" ref="U359">IF(AND(A359&lt;&gt;"",OR(ISNUMBER(B359:I359))),SUM(B359:I359),"")</f>
        <v>75</v>
      </c>
      <c r="V359" s="10">
        <f t="array" ref="V359">IF(AND(A359&lt;&gt;"",OR(ISNUMBER(J359:O359))),SUM(J359:O359),"")</f>
        <v>133</v>
      </c>
      <c r="W359" s="10">
        <f t="array" ref="W359">IF(AND(A359&lt;&gt;"",OR(ISNUMBER(P359),ISNUMBER(Q359))),SUM(MAX(P359:Q359),Q359),"")</f>
        <v>101</v>
      </c>
      <c r="X359" s="10" t="str">
        <f t="array" ref="X359">IF(AND(A359&lt;&gt;"",OR(ISNUMBER(S359),ISNUMBER(T359))),SUM(S359,T359),"")</f>
        <v/>
      </c>
      <c r="Y359" s="13">
        <v>1</v>
      </c>
      <c r="Z359" s="13">
        <f>IF(A359&lt;&gt;"",SUM(U359:Y359),"")</f>
        <v>310</v>
      </c>
      <c r="AA359" s="27">
        <f>IF(A359&lt;&gt;"",(Z359+Normalize_To_Add)/(Point_Total_So_Far)*100,"")</f>
        <v>101.63934426229508</v>
      </c>
      <c r="AB359" s="10">
        <f>IF(A359&lt;&gt;"",RANK(AA359,All_Student_XC),"")</f>
        <v>19</v>
      </c>
      <c r="AC359" s="32" t="str">
        <f>IF(A359&lt;&gt;"",CHOOSE(10-MIN(9,TRUNC((AA359+0.5)/10)),"A","B","C","D","F","F","F","F","F","F"),"")</f>
        <v>A</v>
      </c>
      <c r="AD359" s="32" t="str">
        <f>IF(A359&lt;&gt;"",IF(OR(AA359+0.5&gt;=93,AA359+0.5&lt;60),"",IF(MOD(AA359+0.5,10)&gt;=7,"+",IF(MOD(AA359+0.5,10)&lt;3,"-",""))),"")</f>
        <v/>
      </c>
      <c r="AE359" s="32">
        <f>IF(A359&lt;&gt;"",SUM(W359:X359,$W$8:$X$8)/SUM($W$2:$X$2)*100,"")</f>
        <v>101</v>
      </c>
      <c r="AF359" s="32" t="str">
        <f>IF(A359&lt;&gt;"",CHOOSE(10-MIN(9,TRUNC((AE359+0.5)/10)),"A","B","C","D","F","F","F","F","F","F"),"")</f>
        <v>A</v>
      </c>
      <c r="AG359" s="32" t="str">
        <f>IF(A359&lt;&gt;"",IF(OR(AE359+0.5&gt;=93,AE359+0.5&lt;60),"",IF(MOD(AE359+0.5,10)&gt;=7,"+",IF(MOD(AE359+0.5,10)&lt;3,"-",""))),"")</f>
        <v/>
      </c>
      <c r="AH359" s="36">
        <f>IF(A359&lt;&gt;"",MIN(MAX(AA359,AE359),AA359+$AH$8,AE359+$AH$8),"")</f>
        <v>101.63934426229508</v>
      </c>
      <c r="AI359" s="32" t="str">
        <f>IF(A359&lt;&gt;"",CHOOSE(10-MIN(9,TRUNC((AH359+0.5)/10)),"A","B","C","D","F","F","F","F","F","F"),"")</f>
        <v>A</v>
      </c>
      <c r="AJ359" s="32" t="str">
        <f>IF(A359&lt;&gt;"",IF(OR(AH359+0.5&gt;=93,AH359+0.5&lt;60),"",IF(MOD(AH359+0.5,10)&gt;=7,"+",IF(MOD(AH359+0.5,10)&lt;3,"-",""))),"")</f>
        <v/>
      </c>
      <c r="AK359" s="32" t="b">
        <f>IF(A359&lt;&gt;"",OR(AI359&lt;&gt;AC359,AJ359&lt;&gt;AD359),"")</f>
        <v>0</v>
      </c>
      <c r="AL359" s="84">
        <f>IF(AND(A359&lt;&gt;"",U359&lt;&gt;""),SUM(U359,$AL$8)/$AL$2*100,"")</f>
        <v>100</v>
      </c>
      <c r="AM359" s="24">
        <f>IF(AND(A359&lt;&gt;"",V359&lt;&gt;""),SUM(V359,$AM$8)/$AM$2*100,"")</f>
        <v>102.30769230769229</v>
      </c>
      <c r="AN359" s="24">
        <f>IF(AND(A359&lt;&gt;"",ISNUMBER(P359),P359&gt;=0),SUM(P359,$AN$8)/$AN$2*100,"")</f>
        <v>101</v>
      </c>
      <c r="AO359" s="24" t="str">
        <f>IF(AND(A359&lt;&gt;"",ISNUMBER(Q359),Q359&gt;=0),SUM(Q359,$AO$8)/$AO$2*100,"")</f>
        <v/>
      </c>
      <c r="AP359" s="24" t="str">
        <f>IF(AND(A359&lt;&gt;"",R359&lt;&gt;""),SUM(R359,$AP$8)/$AP$2*100,"")</f>
        <v/>
      </c>
      <c r="AQ359" s="24">
        <f>IF(AND(A359&lt;&gt;"",ISNUMBER(W359),W359&gt;=0),SUM(W359,$AQ$8)/$AQ$2*100,"")</f>
        <v>101</v>
      </c>
      <c r="AR359" s="24" t="str">
        <f>IF(AND(A359&lt;&gt;"",T359&gt;0,ISNUMBER(T359)),SUM(T359,$AR$8)/$AR$2*100,"")</f>
        <v/>
      </c>
      <c r="AS359" s="24" t="str">
        <f>IF(AND(A359&lt;&gt;"",X359&lt;&gt;""),SUM(X359,$AS$8)/$AS$2*100,"")</f>
        <v/>
      </c>
      <c r="AT359" s="89">
        <f>IF(AND(A359&lt;&gt;"",OR(ISNUMBER(W359),ISNUMBER(X359))),SUM(W359:X359,$AT$8)/$AT$2*100,"")</f>
        <v>101</v>
      </c>
      <c r="AU359" s="24">
        <f>AA359</f>
        <v>101.63934426229508</v>
      </c>
      <c r="AV359" s="24"/>
      <c r="AW359" s="27">
        <f>IF(A359&lt;&gt;"",AE359-AA359,"")</f>
        <v>-0.6393442622950829</v>
      </c>
      <c r="AY359" s="27" t="b">
        <f>S359&gt;R359</f>
        <v>0</v>
      </c>
      <c r="BA359" s="27" t="e">
        <f>AND(AA359&gt;$BA$3,(W359+$W$8)/$W$2&lt;$BB$3,(X359+$X$8)/$X$2&lt;$BB$3)</f>
        <v>#VALUE!</v>
      </c>
      <c r="BB359" s="27" t="e">
        <f>AND(AA359&lt;$BA$3,AND(W359/$W$2&gt;$BB$3,X359/$X$2&gt;$BB$3))</f>
        <v>#VALUE!</v>
      </c>
      <c r="BC359" s="27" t="e">
        <f>AND(AA359&lt;$BA$3,OR(W359/$W$2&gt;$BB$3,X359/$X$2&gt;$BB$3))</f>
        <v>#VALUE!</v>
      </c>
      <c r="BE359" s="32">
        <v>32</v>
      </c>
    </row>
    <row r="360" spans="1:57" s="27" customFormat="1" ht="12.75" customHeight="1" x14ac:dyDescent="0.2">
      <c r="A360" s="10">
        <v>693212</v>
      </c>
      <c r="B360" s="2">
        <v>20</v>
      </c>
      <c r="C360" s="10">
        <v>24</v>
      </c>
      <c r="D360" s="10">
        <v>25</v>
      </c>
      <c r="E360" s="10"/>
      <c r="F360" s="10"/>
      <c r="G360" s="10"/>
      <c r="H360" s="10"/>
      <c r="I360" s="10"/>
      <c r="J360" s="2">
        <v>30</v>
      </c>
      <c r="K360" s="10">
        <v>52</v>
      </c>
      <c r="L360" s="10">
        <v>51</v>
      </c>
      <c r="M360" s="10"/>
      <c r="N360" s="93"/>
      <c r="O360" s="13"/>
      <c r="P360" s="10">
        <v>100</v>
      </c>
      <c r="Q360" s="10"/>
      <c r="R360" s="2"/>
      <c r="S360" s="10"/>
      <c r="T360" s="13"/>
      <c r="U360" s="7">
        <f t="array" ref="U360">IF(AND(A360&lt;&gt;"",OR(ISNUMBER(B360:I360))),SUM(B360:I360),"")</f>
        <v>69</v>
      </c>
      <c r="V360" s="10">
        <f t="array" ref="V360">IF(AND(A360&lt;&gt;"",OR(ISNUMBER(J360:O360))),SUM(J360:O360),"")</f>
        <v>133</v>
      </c>
      <c r="W360" s="10">
        <f t="array" ref="W360">IF(AND(A360&lt;&gt;"",OR(ISNUMBER(P360),ISNUMBER(Q360))),SUM(MAX(P360:Q360),Q360),"")</f>
        <v>100</v>
      </c>
      <c r="X360" s="10" t="str">
        <f t="array" ref="X360">IF(AND(A360&lt;&gt;"",OR(ISNUMBER(S360),ISNUMBER(T360))),SUM(S360,T360),"")</f>
        <v/>
      </c>
      <c r="Y360" s="13">
        <v>1</v>
      </c>
      <c r="Z360" s="13">
        <f>IF(A360&lt;&gt;"",SUM(U360:Y360),"")</f>
        <v>303</v>
      </c>
      <c r="AA360" s="27">
        <f>IF(A360&lt;&gt;"",(Z360+Normalize_To_Add)/(Point_Total_So_Far)*100,"")</f>
        <v>99.344262295081961</v>
      </c>
      <c r="AB360" s="10">
        <f>IF(A360&lt;&gt;"",RANK(AA360,All_Student_XC),"")</f>
        <v>145</v>
      </c>
      <c r="AC360" s="32" t="str">
        <f>IF(A360&lt;&gt;"",CHOOSE(10-MIN(9,TRUNC((AA360+0.5)/10)),"A","B","C","D","F","F","F","F","F","F"),"")</f>
        <v>A</v>
      </c>
      <c r="AD360" s="31" t="str">
        <f>IF(A360&lt;&gt;"",IF(OR(AA360+0.5&gt;=93,AA360+0.5&lt;60),"",IF(MOD(AA360+0.5,10)&gt;=7,"+",IF(MOD(AA360+0.5,10)&lt;3,"-",""))),"")</f>
        <v/>
      </c>
      <c r="AE360" s="32">
        <f>IF(A360&lt;&gt;"",SUM(W360:X360,$W$8:$X$8)/SUM($W$2:$X$2)*100,"")</f>
        <v>100</v>
      </c>
      <c r="AF360" s="32" t="str">
        <f>IF(A360&lt;&gt;"",CHOOSE(10-MIN(9,TRUNC((AE360+0.5)/10)),"A","B","C","D","F","F","F","F","F","F"),"")</f>
        <v>A</v>
      </c>
      <c r="AG360" s="32" t="str">
        <f>IF(A360&lt;&gt;"",IF(OR(AE360+0.5&gt;=93,AE360+0.5&lt;60),"",IF(MOD(AE360+0.5,10)&gt;=7,"+",IF(MOD(AE360+0.5,10)&lt;3,"-",""))),"")</f>
        <v/>
      </c>
      <c r="AH360" s="36">
        <f>IF(A360&lt;&gt;"",MIN(MAX(AA360,AE360),AA360+$AH$8,AE360+$AH$8),"")</f>
        <v>100</v>
      </c>
      <c r="AI360" s="32" t="str">
        <f>IF(A360&lt;&gt;"",CHOOSE(10-MIN(9,TRUNC((AH360+0.5)/10)),"A","B","C","D","F","F","F","F","F","F"),"")</f>
        <v>A</v>
      </c>
      <c r="AJ360" s="32" t="str">
        <f>IF(A360&lt;&gt;"",IF(OR(AH360+0.5&gt;=93,AH360+0.5&lt;60),"",IF(MOD(AH360+0.5,10)&gt;=7,"+",IF(MOD(AH360+0.5,10)&lt;3,"-",""))),"")</f>
        <v/>
      </c>
      <c r="AK360" s="71" t="b">
        <f>IF(A360&lt;&gt;"",OR(AI360&lt;&gt;AC360,AJ360&lt;&gt;AD360),"")</f>
        <v>0</v>
      </c>
      <c r="AL360" s="86">
        <f>IF(AND(A360&lt;&gt;"",U360&lt;&gt;""),SUM(U360,$AL$8)/$AL$2*100,"")</f>
        <v>92</v>
      </c>
      <c r="AM360" s="71">
        <f>IF(AND(A360&lt;&gt;"",V360&lt;&gt;""),SUM(V360,$AM$8)/$AM$2*100,"")</f>
        <v>102.30769230769229</v>
      </c>
      <c r="AN360" s="71">
        <f>IF(AND(A360&lt;&gt;"",ISNUMBER(P360),P360&gt;=0),SUM(P360,$AN$8)/$AN$2*100,"")</f>
        <v>100</v>
      </c>
      <c r="AO360" s="71" t="str">
        <f>IF(AND(A360&lt;&gt;"",ISNUMBER(Q360),Q360&gt;=0),SUM(Q360,$AO$8)/$AO$2*100,"")</f>
        <v/>
      </c>
      <c r="AP360" s="24" t="str">
        <f>IF(AND(A360&lt;&gt;"",R360&lt;&gt;""),SUM(R360,$AP$8)/$AP$2*100,"")</f>
        <v/>
      </c>
      <c r="AQ360" s="24">
        <f>IF(AND(A360&lt;&gt;"",ISNUMBER(W360),W360&gt;=0),SUM(W360,$AQ$8)/$AQ$2*100,"")</f>
        <v>100</v>
      </c>
      <c r="AR360" s="24" t="str">
        <f>IF(AND(A360&lt;&gt;"",T360&gt;0,ISNUMBER(T360)),SUM(T360,$AR$8)/$AR$2*100,"")</f>
        <v/>
      </c>
      <c r="AS360" s="24" t="str">
        <f>IF(AND(A360&lt;&gt;"",X360&lt;&gt;""),SUM(X360,$AS$8)/$AS$2*100,"")</f>
        <v/>
      </c>
      <c r="AT360" s="89">
        <f>IF(AND(A360&lt;&gt;"",OR(ISNUMBER(W360),ISNUMBER(X360))),SUM(W360:X360,$AT$8)/$AT$2*100,"")</f>
        <v>100</v>
      </c>
      <c r="AU360" s="24">
        <f>AA360</f>
        <v>99.344262295081961</v>
      </c>
      <c r="AV360" s="71"/>
      <c r="AW360" s="27">
        <f>IF(A360&lt;&gt;"",AE360-AA360,"")</f>
        <v>0.65573770491803884</v>
      </c>
      <c r="AY360" s="27" t="b">
        <f>S360&gt;R360</f>
        <v>0</v>
      </c>
      <c r="BA360" s="27" t="e">
        <f>AND(AA360&gt;$BA$3,(W360+$W$8)/$W$2&lt;$BB$3,(X360+$X$8)/$X$2&lt;$BB$3)</f>
        <v>#VALUE!</v>
      </c>
      <c r="BB360" s="27" t="e">
        <f>AND(AA360&lt;$BA$3,AND(W360/$W$2&gt;$BB$3,X360/$X$2&gt;$BB$3))</f>
        <v>#VALUE!</v>
      </c>
      <c r="BC360" s="27" t="e">
        <f>AND(AA360&lt;$BA$3,OR(W360/$W$2&gt;$BB$3,X360/$X$2&gt;$BB$3))</f>
        <v>#VALUE!</v>
      </c>
      <c r="BE360" s="32" t="s">
        <v>84</v>
      </c>
    </row>
    <row r="361" spans="1:57" s="27" customFormat="1" ht="12.75" customHeight="1" x14ac:dyDescent="0.2">
      <c r="A361" s="10">
        <v>693564</v>
      </c>
      <c r="B361" s="2">
        <v>5</v>
      </c>
      <c r="C361" s="10">
        <v>22</v>
      </c>
      <c r="D361" s="10">
        <v>25</v>
      </c>
      <c r="E361" s="10"/>
      <c r="F361" s="10"/>
      <c r="G361" s="10"/>
      <c r="H361" s="10"/>
      <c r="I361" s="10"/>
      <c r="J361" s="2">
        <v>30</v>
      </c>
      <c r="K361" s="10">
        <v>49</v>
      </c>
      <c r="L361" s="10">
        <v>51</v>
      </c>
      <c r="M361" s="10"/>
      <c r="N361" s="93"/>
      <c r="O361" s="13"/>
      <c r="P361" s="10">
        <v>101</v>
      </c>
      <c r="Q361" s="10"/>
      <c r="R361" s="2"/>
      <c r="S361" s="10"/>
      <c r="T361" s="13"/>
      <c r="U361" s="7">
        <f t="array" ref="U361">IF(AND(A361&lt;&gt;"",OR(ISNUMBER(B361:I361))),SUM(B361:I361),"")</f>
        <v>52</v>
      </c>
      <c r="V361" s="10">
        <f t="array" ref="V361">IF(AND(A361&lt;&gt;"",OR(ISNUMBER(J361:O361))),SUM(J361:O361),"")</f>
        <v>130</v>
      </c>
      <c r="W361" s="10">
        <f t="array" ref="W361">IF(AND(A361&lt;&gt;"",OR(ISNUMBER(P361),ISNUMBER(Q361))),SUM(MAX(P361:Q361),Q361),"")</f>
        <v>101</v>
      </c>
      <c r="X361" s="10" t="str">
        <f t="array" ref="X361">IF(AND(A361&lt;&gt;"",OR(ISNUMBER(S361),ISNUMBER(T361))),SUM(S361,T361),"")</f>
        <v/>
      </c>
      <c r="Y361" s="13">
        <v>1</v>
      </c>
      <c r="Z361" s="13">
        <f>IF(A361&lt;&gt;"",SUM(U361:Y361),"")</f>
        <v>284</v>
      </c>
      <c r="AA361" s="27">
        <f>IF(A361&lt;&gt;"",(Z361+Normalize_To_Add)/(Point_Total_So_Far)*100,"")</f>
        <v>93.114754098360649</v>
      </c>
      <c r="AB361" s="10">
        <f>IF(A361&lt;&gt;"",RANK(AA361,All_Student_XC),"")</f>
        <v>297</v>
      </c>
      <c r="AC361" s="32" t="str">
        <f>IF(A361&lt;&gt;"",CHOOSE(10-MIN(9,TRUNC((AA361+0.5)/10)),"A","B","C","D","F","F","F","F","F","F"),"")</f>
        <v>A</v>
      </c>
      <c r="AD361" s="31" t="str">
        <f>IF(A361&lt;&gt;"",IF(OR(AA361+0.5&gt;=93,AA361+0.5&lt;60),"",IF(MOD(AA361+0.5,10)&gt;=7,"+",IF(MOD(AA361+0.5,10)&lt;3,"-",""))),"")</f>
        <v/>
      </c>
      <c r="AE361" s="32">
        <f>IF(A361&lt;&gt;"",SUM(W361:X361,$W$8:$X$8)/SUM($W$2:$X$2)*100,"")</f>
        <v>101</v>
      </c>
      <c r="AF361" s="32" t="str">
        <f>IF(A361&lt;&gt;"",CHOOSE(10-MIN(9,TRUNC((AE361+0.5)/10)),"A","B","C","D","F","F","F","F","F","F"),"")</f>
        <v>A</v>
      </c>
      <c r="AG361" s="32" t="str">
        <f>IF(A361&lt;&gt;"",IF(OR(AE361+0.5&gt;=93,AE361+0.5&lt;60),"",IF(MOD(AE361+0.5,10)&gt;=7,"+",IF(MOD(AE361+0.5,10)&lt;3,"-",""))),"")</f>
        <v/>
      </c>
      <c r="AH361" s="36">
        <f>IF(A361&lt;&gt;"",MIN(MAX(AA361,AE361),AA361+$AH$8,AE361+$AH$8),"")</f>
        <v>101</v>
      </c>
      <c r="AI361" s="32" t="str">
        <f>IF(A361&lt;&gt;"",CHOOSE(10-MIN(9,TRUNC((AH361+0.5)/10)),"A","B","C","D","F","F","F","F","F","F"),"")</f>
        <v>A</v>
      </c>
      <c r="AJ361" s="32" t="str">
        <f>IF(A361&lt;&gt;"",IF(OR(AH361+0.5&gt;=93,AH361+0.5&lt;60),"",IF(MOD(AH361+0.5,10)&gt;=7,"+",IF(MOD(AH361+0.5,10)&lt;3,"-",""))),"")</f>
        <v/>
      </c>
      <c r="AK361" s="71" t="b">
        <f>IF(A361&lt;&gt;"",OR(AI361&lt;&gt;AC361,AJ361&lt;&gt;AD361),"")</f>
        <v>0</v>
      </c>
      <c r="AL361" s="86">
        <f>IF(AND(A361&lt;&gt;"",U361&lt;&gt;""),SUM(U361,$AL$8)/$AL$2*100,"")</f>
        <v>69.333333333333343</v>
      </c>
      <c r="AM361" s="71">
        <f>IF(AND(A361&lt;&gt;"",V361&lt;&gt;""),SUM(V361,$AM$8)/$AM$2*100,"")</f>
        <v>100</v>
      </c>
      <c r="AN361" s="71">
        <f>IF(AND(A361&lt;&gt;"",ISNUMBER(P361),P361&gt;=0),SUM(P361,$AN$8)/$AN$2*100,"")</f>
        <v>101</v>
      </c>
      <c r="AO361" s="71" t="str">
        <f>IF(AND(A361&lt;&gt;"",ISNUMBER(Q361),Q361&gt;=0),SUM(Q361,$AO$8)/$AO$2*100,"")</f>
        <v/>
      </c>
      <c r="AP361" s="24" t="str">
        <f>IF(AND(A361&lt;&gt;"",R361&lt;&gt;""),SUM(R361,$AP$8)/$AP$2*100,"")</f>
        <v/>
      </c>
      <c r="AQ361" s="24">
        <f>IF(AND(A361&lt;&gt;"",ISNUMBER(W361),W361&gt;=0),SUM(W361,$AQ$8)/$AQ$2*100,"")</f>
        <v>101</v>
      </c>
      <c r="AR361" s="24" t="str">
        <f>IF(AND(A361&lt;&gt;"",T361&gt;0,ISNUMBER(T361)),SUM(T361,$AR$8)/$AR$2*100,"")</f>
        <v/>
      </c>
      <c r="AS361" s="24" t="str">
        <f>IF(AND(A361&lt;&gt;"",X361&lt;&gt;""),SUM(X361,$AS$8)/$AS$2*100,"")</f>
        <v/>
      </c>
      <c r="AT361" s="89">
        <f>IF(AND(A361&lt;&gt;"",OR(ISNUMBER(W361),ISNUMBER(X361))),SUM(W361:X361,$AT$8)/$AT$2*100,"")</f>
        <v>101</v>
      </c>
      <c r="AU361" s="24">
        <f>AA361</f>
        <v>93.114754098360649</v>
      </c>
      <c r="AV361" s="71"/>
      <c r="AW361" s="27">
        <f>IF(A361&lt;&gt;"",AE361-AA361,"")</f>
        <v>7.885245901639351</v>
      </c>
      <c r="AY361" s="27" t="b">
        <f>S361&gt;R361</f>
        <v>0</v>
      </c>
      <c r="BA361" s="27" t="e">
        <f>AND(AA361&gt;$BA$3,(W361+$W$8)/$W$2&lt;$BB$3,(X361+$X$8)/$X$2&lt;$BB$3)</f>
        <v>#VALUE!</v>
      </c>
      <c r="BB361" s="27" t="e">
        <f>AND(AA361&lt;$BA$3,AND(W361/$W$2&gt;$BB$3,X361/$X$2&gt;$BB$3))</f>
        <v>#VALUE!</v>
      </c>
      <c r="BC361" s="27" t="e">
        <f>AND(AA361&lt;$BA$3,OR(W361/$W$2&gt;$BB$3,X361/$X$2&gt;$BB$3))</f>
        <v>#VALUE!</v>
      </c>
      <c r="BE361" s="32" t="s">
        <v>84</v>
      </c>
    </row>
    <row r="362" spans="1:57" s="27" customFormat="1" ht="12.75" customHeight="1" x14ac:dyDescent="0.2">
      <c r="A362" s="10">
        <v>695035</v>
      </c>
      <c r="B362" s="2">
        <v>21</v>
      </c>
      <c r="C362" s="10">
        <v>20</v>
      </c>
      <c r="D362" s="10">
        <v>25</v>
      </c>
      <c r="E362" s="10"/>
      <c r="F362" s="10"/>
      <c r="G362" s="10"/>
      <c r="H362" s="10"/>
      <c r="I362" s="10"/>
      <c r="J362" s="2">
        <v>30</v>
      </c>
      <c r="K362" s="10">
        <v>51</v>
      </c>
      <c r="L362" s="10">
        <v>50</v>
      </c>
      <c r="M362" s="10"/>
      <c r="N362" s="93"/>
      <c r="O362" s="13"/>
      <c r="P362" s="10">
        <v>101</v>
      </c>
      <c r="Q362" s="10"/>
      <c r="R362" s="2"/>
      <c r="S362" s="10"/>
      <c r="T362" s="13"/>
      <c r="U362" s="7">
        <f t="array" ref="U362">IF(AND(A362&lt;&gt;"",OR(ISNUMBER(B362:I362))),SUM(B362:I362),"")</f>
        <v>66</v>
      </c>
      <c r="V362" s="10">
        <f t="array" ref="V362">IF(AND(A362&lt;&gt;"",OR(ISNUMBER(J362:O362))),SUM(J362:O362),"")</f>
        <v>131</v>
      </c>
      <c r="W362" s="10">
        <f t="array" ref="W362">IF(AND(A362&lt;&gt;"",OR(ISNUMBER(P362),ISNUMBER(Q362))),SUM(MAX(P362:Q362),Q362),"")</f>
        <v>101</v>
      </c>
      <c r="X362" s="10" t="str">
        <f t="array" ref="X362">IF(AND(A362&lt;&gt;"",OR(ISNUMBER(S362),ISNUMBER(T362))),SUM(S362,T362),"")</f>
        <v/>
      </c>
      <c r="Y362" s="13">
        <v>1</v>
      </c>
      <c r="Z362" s="13">
        <f>IF(A362&lt;&gt;"",SUM(U362:Y362),"")</f>
        <v>299</v>
      </c>
      <c r="AA362" s="27">
        <f>IF(A362&lt;&gt;"",(Z362+Normalize_To_Add)/(Point_Total_So_Far)*100,"")</f>
        <v>98.032786885245898</v>
      </c>
      <c r="AB362" s="10">
        <f>IF(A362&lt;&gt;"",RANK(AA362,All_Student_XC),"")</f>
        <v>195</v>
      </c>
      <c r="AC362" s="32" t="str">
        <f>IF(A362&lt;&gt;"",CHOOSE(10-MIN(9,TRUNC((AA362+0.5)/10)),"A","B","C","D","F","F","F","F","F","F"),"")</f>
        <v>A</v>
      </c>
      <c r="AD362" s="31" t="str">
        <f>IF(A362&lt;&gt;"",IF(OR(AA362+0.5&gt;=93,AA362+0.5&lt;60),"",IF(MOD(AA362+0.5,10)&gt;=7,"+",IF(MOD(AA362+0.5,10)&lt;3,"-",""))),"")</f>
        <v/>
      </c>
      <c r="AE362" s="32">
        <f>IF(A362&lt;&gt;"",SUM(W362:X362,$W$8:$X$8)/SUM($W$2:$X$2)*100,"")</f>
        <v>101</v>
      </c>
      <c r="AF362" s="32" t="str">
        <f>IF(A362&lt;&gt;"",CHOOSE(10-MIN(9,TRUNC((AE362+0.5)/10)),"A","B","C","D","F","F","F","F","F","F"),"")</f>
        <v>A</v>
      </c>
      <c r="AG362" s="32" t="str">
        <f>IF(A362&lt;&gt;"",IF(OR(AE362+0.5&gt;=93,AE362+0.5&lt;60),"",IF(MOD(AE362+0.5,10)&gt;=7,"+",IF(MOD(AE362+0.5,10)&lt;3,"-",""))),"")</f>
        <v/>
      </c>
      <c r="AH362" s="36">
        <f>IF(A362&lt;&gt;"",MIN(MAX(AA362,AE362),AA362+$AH$8,AE362+$AH$8),"")</f>
        <v>101</v>
      </c>
      <c r="AI362" s="32" t="str">
        <f>IF(A362&lt;&gt;"",CHOOSE(10-MIN(9,TRUNC((AH362+0.5)/10)),"A","B","C","D","F","F","F","F","F","F"),"")</f>
        <v>A</v>
      </c>
      <c r="AJ362" s="32" t="str">
        <f>IF(A362&lt;&gt;"",IF(OR(AH362+0.5&gt;=93,AH362+0.5&lt;60),"",IF(MOD(AH362+0.5,10)&gt;=7,"+",IF(MOD(AH362+0.5,10)&lt;3,"-",""))),"")</f>
        <v/>
      </c>
      <c r="AK362" s="71" t="b">
        <f>IF(A362&lt;&gt;"",OR(AI362&lt;&gt;AC362,AJ362&lt;&gt;AD362),"")</f>
        <v>0</v>
      </c>
      <c r="AL362" s="86">
        <f>IF(AND(A362&lt;&gt;"",U362&lt;&gt;""),SUM(U362,$AL$8)/$AL$2*100,"")</f>
        <v>88</v>
      </c>
      <c r="AM362" s="71">
        <f>IF(AND(A362&lt;&gt;"",V362&lt;&gt;""),SUM(V362,$AM$8)/$AM$2*100,"")</f>
        <v>100.76923076923077</v>
      </c>
      <c r="AN362" s="71">
        <f>IF(AND(A362&lt;&gt;"",ISNUMBER(P362),P362&gt;=0),SUM(P362,$AN$8)/$AN$2*100,"")</f>
        <v>101</v>
      </c>
      <c r="AO362" s="71" t="str">
        <f>IF(AND(A362&lt;&gt;"",ISNUMBER(Q362),Q362&gt;=0),SUM(Q362,$AO$8)/$AO$2*100,"")</f>
        <v/>
      </c>
      <c r="AP362" s="24" t="str">
        <f>IF(AND(A362&lt;&gt;"",R362&lt;&gt;""),SUM(R362,$AP$8)/$AP$2*100,"")</f>
        <v/>
      </c>
      <c r="AQ362" s="24">
        <f>IF(AND(A362&lt;&gt;"",ISNUMBER(W362),W362&gt;=0),SUM(W362,$AQ$8)/$AQ$2*100,"")</f>
        <v>101</v>
      </c>
      <c r="AR362" s="24" t="str">
        <f>IF(AND(A362&lt;&gt;"",T362&gt;0,ISNUMBER(T362)),SUM(T362,$AR$8)/$AR$2*100,"")</f>
        <v/>
      </c>
      <c r="AS362" s="24" t="str">
        <f>IF(AND(A362&lt;&gt;"",X362&lt;&gt;""),SUM(X362,$AS$8)/$AS$2*100,"")</f>
        <v/>
      </c>
      <c r="AT362" s="89">
        <f>IF(AND(A362&lt;&gt;"",OR(ISNUMBER(W362),ISNUMBER(X362))),SUM(W362:X362,$AT$8)/$AT$2*100,"")</f>
        <v>101</v>
      </c>
      <c r="AU362" s="24">
        <f>AA362</f>
        <v>98.032786885245898</v>
      </c>
      <c r="AV362" s="71"/>
      <c r="AW362" s="27">
        <f>IF(A362&lt;&gt;"",AE362-AA362,"")</f>
        <v>2.9672131147541023</v>
      </c>
      <c r="AY362" s="27" t="b">
        <f>S362&gt;R362</f>
        <v>0</v>
      </c>
      <c r="BA362" s="27" t="e">
        <f>AND(AA362&gt;$BA$3,(W362+$W$8)/$W$2&lt;$BB$3,(X362+$X$8)/$X$2&lt;$BB$3)</f>
        <v>#VALUE!</v>
      </c>
      <c r="BB362" s="27" t="e">
        <f>AND(AA362&lt;$BA$3,AND(W362/$W$2&gt;$BB$3,X362/$X$2&gt;$BB$3))</f>
        <v>#VALUE!</v>
      </c>
      <c r="BC362" s="27" t="e">
        <f>AND(AA362&lt;$BA$3,OR(W362/$W$2&gt;$BB$3,X362/$X$2&gt;$BB$3))</f>
        <v>#VALUE!</v>
      </c>
      <c r="BE362" s="32" t="s">
        <v>84</v>
      </c>
    </row>
    <row r="363" spans="1:57" s="27" customFormat="1" ht="12.75" customHeight="1" x14ac:dyDescent="0.2">
      <c r="A363" s="10">
        <v>697185</v>
      </c>
      <c r="B363" s="2">
        <v>25</v>
      </c>
      <c r="C363" s="10">
        <v>25</v>
      </c>
      <c r="D363" s="10">
        <v>25</v>
      </c>
      <c r="E363" s="10"/>
      <c r="F363" s="10"/>
      <c r="G363" s="3"/>
      <c r="H363" s="10"/>
      <c r="I363" s="10"/>
      <c r="J363" s="2">
        <v>30</v>
      </c>
      <c r="K363" s="10">
        <v>38</v>
      </c>
      <c r="L363" s="10">
        <v>50</v>
      </c>
      <c r="M363" s="10"/>
      <c r="N363" s="10"/>
      <c r="O363" s="12"/>
      <c r="P363" s="7">
        <v>101</v>
      </c>
      <c r="Q363" s="7"/>
      <c r="R363" s="2"/>
      <c r="S363" s="10"/>
      <c r="T363" s="13"/>
      <c r="U363" s="35">
        <f t="array" ref="U363">IF(AND(A363&lt;&gt;"",OR(ISNUMBER(B363:I363))),SUM(B363:I363),"")</f>
        <v>75</v>
      </c>
      <c r="V363" s="10">
        <f t="array" ref="V363">IF(AND(A363&lt;&gt;"",OR(ISNUMBER(J363:O363))),SUM(J363:O363),"")</f>
        <v>118</v>
      </c>
      <c r="W363" s="10">
        <f t="array" ref="W363">IF(AND(A363&lt;&gt;"",OR(ISNUMBER(P363),ISNUMBER(Q363))),SUM(MAX(P363:Q363),Q363),"")</f>
        <v>101</v>
      </c>
      <c r="X363" s="10" t="str">
        <f t="array" ref="X363">IF(AND(A363&lt;&gt;"",OR(ISNUMBER(S363),ISNUMBER(T363))),SUM(S363,T363),"")</f>
        <v/>
      </c>
      <c r="Y363" s="13">
        <v>1</v>
      </c>
      <c r="Z363" s="13">
        <f>IF(A363&lt;&gt;"",SUM(U363:Y363),"")</f>
        <v>295</v>
      </c>
      <c r="AA363" s="27">
        <f>IF(A363&lt;&gt;"",(Z363+Normalize_To_Add)/(Point_Total_So_Far)*100,"")</f>
        <v>96.721311475409834</v>
      </c>
      <c r="AB363" s="10">
        <f>IF(A363&lt;&gt;"",RANK(AA363,All_Student_XC),"")</f>
        <v>243</v>
      </c>
      <c r="AC363" s="32" t="str">
        <f>IF(A363&lt;&gt;"",CHOOSE(10-MIN(9,TRUNC((AA363+0.5)/10)),"A","B","C","D","F","F","F","F","F","F"),"")</f>
        <v>A</v>
      </c>
      <c r="AD363" s="32" t="str">
        <f>IF(A363&lt;&gt;"",IF(OR(AA363+0.5&gt;=93,AA363+0.5&lt;60),"",IF(MOD(AA363+0.5,10)&gt;=7,"+",IF(MOD(AA363+0.5,10)&lt;3,"-",""))),"")</f>
        <v/>
      </c>
      <c r="AE363" s="32">
        <f>IF(A363&lt;&gt;"",SUM(W363:X363,$W$8:$X$8)/SUM($W$2:$X$2)*100,"")</f>
        <v>101</v>
      </c>
      <c r="AF363" s="32" t="str">
        <f>IF(A363&lt;&gt;"",CHOOSE(10-MIN(9,TRUNC((AE363+0.5)/10)),"A","B","C","D","F","F","F","F","F","F"),"")</f>
        <v>A</v>
      </c>
      <c r="AG363" s="32" t="str">
        <f>IF(A363&lt;&gt;"",IF(OR(AE363+0.5&gt;=93,AE363+0.5&lt;60),"",IF(MOD(AE363+0.5,10)&gt;=7,"+",IF(MOD(AE363+0.5,10)&lt;3,"-",""))),"")</f>
        <v/>
      </c>
      <c r="AH363" s="36">
        <f>IF(A363&lt;&gt;"",MIN(MAX(AA363,AE363),AA363+$AH$8,AE363+$AH$8),"")</f>
        <v>101</v>
      </c>
      <c r="AI363" s="32" t="str">
        <f>IF(A363&lt;&gt;"",CHOOSE(10-MIN(9,TRUNC((AH363+0.5)/10)),"A","B","C","D","F","F","F","F","F","F"),"")</f>
        <v>A</v>
      </c>
      <c r="AJ363" s="32" t="str">
        <f>IF(A363&lt;&gt;"",IF(OR(AH363+0.5&gt;=93,AH363+0.5&lt;60),"",IF(MOD(AH363+0.5,10)&gt;=7,"+",IF(MOD(AH363+0.5,10)&lt;3,"-",""))),"")</f>
        <v/>
      </c>
      <c r="AK363" s="32" t="b">
        <f>IF(A363&lt;&gt;"",OR(AI363&lt;&gt;AC363,AJ363&lt;&gt;AD363),"")</f>
        <v>0</v>
      </c>
      <c r="AL363" s="84">
        <f>IF(AND(A363&lt;&gt;"",U363&lt;&gt;""),SUM(U363,$AL$8)/$AL$2*100,"")</f>
        <v>100</v>
      </c>
      <c r="AM363" s="24">
        <f>IF(AND(A363&lt;&gt;"",V363&lt;&gt;""),SUM(V363,$AM$8)/$AM$2*100,"")</f>
        <v>90.769230769230774</v>
      </c>
      <c r="AN363" s="24">
        <f>IF(AND(A363&lt;&gt;"",ISNUMBER(P363),P363&gt;=0),SUM(P363,$AN$8)/$AN$2*100,"")</f>
        <v>101</v>
      </c>
      <c r="AO363" s="24" t="str">
        <f>IF(AND(A363&lt;&gt;"",ISNUMBER(Q363),Q363&gt;=0),SUM(Q363,$AO$8)/$AO$2*100,"")</f>
        <v/>
      </c>
      <c r="AP363" s="24" t="str">
        <f>IF(AND(A363&lt;&gt;"",R363&lt;&gt;""),SUM(R363,$AP$8)/$AP$2*100,"")</f>
        <v/>
      </c>
      <c r="AQ363" s="24">
        <f>IF(AND(A363&lt;&gt;"",ISNUMBER(W363),W363&gt;=0),SUM(W363,$AQ$8)/$AQ$2*100,"")</f>
        <v>101</v>
      </c>
      <c r="AR363" s="24" t="str">
        <f>IF(AND(A363&lt;&gt;"",T363&gt;0,ISNUMBER(T363)),SUM(T363,$AR$8)/$AR$2*100,"")</f>
        <v/>
      </c>
      <c r="AS363" s="24" t="str">
        <f>IF(AND(A363&lt;&gt;"",X363&lt;&gt;""),SUM(X363,$AS$8)/$AS$2*100,"")</f>
        <v/>
      </c>
      <c r="AT363" s="89">
        <f>IF(AND(A363&lt;&gt;"",OR(ISNUMBER(W363),ISNUMBER(X363))),SUM(W363:X363,$AT$8)/$AT$2*100,"")</f>
        <v>101</v>
      </c>
      <c r="AU363" s="24">
        <f>AA363</f>
        <v>96.721311475409834</v>
      </c>
      <c r="AV363" s="24"/>
      <c r="AW363" s="27">
        <f>IF(A363&lt;&gt;"",AE363-AA363,"")</f>
        <v>4.2786885245901658</v>
      </c>
      <c r="AY363" s="27" t="b">
        <f>S363&gt;R363</f>
        <v>0</v>
      </c>
      <c r="BA363" s="27" t="e">
        <f>AND(AA363&gt;$BA$3,(W363+$W$8)/$W$2&lt;$BB$3,(X363+$X$8)/$X$2&lt;$BB$3)</f>
        <v>#VALUE!</v>
      </c>
      <c r="BB363" s="27" t="e">
        <f>AND(AA363&lt;$BA$3,AND(W363/$W$2&gt;$BB$3,X363/$X$2&gt;$BB$3))</f>
        <v>#VALUE!</v>
      </c>
      <c r="BC363" s="27" t="e">
        <f>AND(AA363&lt;$BA$3,OR(W363/$W$2&gt;$BB$3,X363/$X$2&gt;$BB$3))</f>
        <v>#VALUE!</v>
      </c>
      <c r="BE363" s="32" t="s">
        <v>85</v>
      </c>
    </row>
    <row r="364" spans="1:57" s="27" customFormat="1" ht="12.75" customHeight="1" x14ac:dyDescent="0.2">
      <c r="A364" s="10">
        <v>698287</v>
      </c>
      <c r="B364" s="2">
        <v>20</v>
      </c>
      <c r="C364" s="10">
        <v>13</v>
      </c>
      <c r="D364" s="10">
        <v>5</v>
      </c>
      <c r="E364" s="10"/>
      <c r="F364" s="10"/>
      <c r="G364" s="10"/>
      <c r="H364" s="10"/>
      <c r="I364" s="10"/>
      <c r="J364" s="2">
        <v>28</v>
      </c>
      <c r="K364" s="10">
        <v>35</v>
      </c>
      <c r="L364" s="10">
        <v>49</v>
      </c>
      <c r="M364" s="10"/>
      <c r="N364" s="93"/>
      <c r="O364" s="13"/>
      <c r="P364" s="10">
        <v>101</v>
      </c>
      <c r="Q364" s="10"/>
      <c r="R364" s="2"/>
      <c r="S364" s="10"/>
      <c r="T364" s="13"/>
      <c r="U364" s="7">
        <f t="array" ref="U364">IF(AND(A364&lt;&gt;"",OR(ISNUMBER(B364:I364))),SUM(B364:I364),"")</f>
        <v>38</v>
      </c>
      <c r="V364" s="10">
        <f t="array" ref="V364">IF(AND(A364&lt;&gt;"",OR(ISNUMBER(J364:O364))),SUM(J364:O364),"")</f>
        <v>112</v>
      </c>
      <c r="W364" s="10">
        <f t="array" ref="W364">IF(AND(A364&lt;&gt;"",OR(ISNUMBER(P364),ISNUMBER(Q364))),SUM(MAX(P364:Q364),Q364),"")</f>
        <v>101</v>
      </c>
      <c r="X364" s="10" t="str">
        <f t="array" ref="X364">IF(AND(A364&lt;&gt;"",OR(ISNUMBER(S364),ISNUMBER(T364))),SUM(S364,T364),"")</f>
        <v/>
      </c>
      <c r="Y364" s="13">
        <v>1</v>
      </c>
      <c r="Z364" s="13">
        <f>IF(A364&lt;&gt;"",SUM(U364:Y364),"")</f>
        <v>252</v>
      </c>
      <c r="AA364" s="27">
        <f>IF(A364&lt;&gt;"",(Z364+Normalize_To_Add)/(Point_Total_So_Far)*100,"")</f>
        <v>82.622950819672141</v>
      </c>
      <c r="AB364" s="10">
        <f>IF(A364&lt;&gt;"",RANK(AA364,All_Student_XC),"")</f>
        <v>393</v>
      </c>
      <c r="AC364" s="32" t="str">
        <f>IF(A364&lt;&gt;"",CHOOSE(10-MIN(9,TRUNC((AA364+0.5)/10)),"A","B","C","D","F","F","F","F","F","F"),"")</f>
        <v>B</v>
      </c>
      <c r="AD364" s="31" t="str">
        <f>IF(A364&lt;&gt;"",IF(OR(AA364+0.5&gt;=93,AA364+0.5&lt;60),"",IF(MOD(AA364+0.5,10)&gt;=7,"+",IF(MOD(AA364+0.5,10)&lt;3,"-",""))),"")</f>
        <v/>
      </c>
      <c r="AE364" s="32">
        <f>IF(A364&lt;&gt;"",SUM(W364:X364,$W$8:$X$8)/SUM($W$2:$X$2)*100,"")</f>
        <v>101</v>
      </c>
      <c r="AF364" s="32" t="str">
        <f>IF(A364&lt;&gt;"",CHOOSE(10-MIN(9,TRUNC((AE364+0.5)/10)),"A","B","C","D","F","F","F","F","F","F"),"")</f>
        <v>A</v>
      </c>
      <c r="AG364" s="32" t="str">
        <f>IF(A364&lt;&gt;"",IF(OR(AE364+0.5&gt;=93,AE364+0.5&lt;60),"",IF(MOD(AE364+0.5,10)&gt;=7,"+",IF(MOD(AE364+0.5,10)&lt;3,"-",""))),"")</f>
        <v/>
      </c>
      <c r="AH364" s="36">
        <f>IF(A364&lt;&gt;"",MIN(MAX(AA364,AE364),AA364+$AH$8,AE364+$AH$8),"")</f>
        <v>101</v>
      </c>
      <c r="AI364" s="32" t="str">
        <f>IF(A364&lt;&gt;"",CHOOSE(10-MIN(9,TRUNC((AH364+0.5)/10)),"A","B","C","D","F","F","F","F","F","F"),"")</f>
        <v>A</v>
      </c>
      <c r="AJ364" s="32" t="str">
        <f>IF(A364&lt;&gt;"",IF(OR(AH364+0.5&gt;=93,AH364+0.5&lt;60),"",IF(MOD(AH364+0.5,10)&gt;=7,"+",IF(MOD(AH364+0.5,10)&lt;3,"-",""))),"")</f>
        <v/>
      </c>
      <c r="AK364" s="71" t="b">
        <f>IF(A364&lt;&gt;"",OR(AI364&lt;&gt;AC364,AJ364&lt;&gt;AD364),"")</f>
        <v>1</v>
      </c>
      <c r="AL364" s="86">
        <f>IF(AND(A364&lt;&gt;"",U364&lt;&gt;""),SUM(U364,$AL$8)/$AL$2*100,"")</f>
        <v>50.666666666666671</v>
      </c>
      <c r="AM364" s="71">
        <f>IF(AND(A364&lt;&gt;"",V364&lt;&gt;""),SUM(V364,$AM$8)/$AM$2*100,"")</f>
        <v>86.15384615384616</v>
      </c>
      <c r="AN364" s="71">
        <f>IF(AND(A364&lt;&gt;"",ISNUMBER(P364),P364&gt;=0),SUM(P364,$AN$8)/$AN$2*100,"")</f>
        <v>101</v>
      </c>
      <c r="AO364" s="71" t="str">
        <f>IF(AND(A364&lt;&gt;"",ISNUMBER(Q364),Q364&gt;=0),SUM(Q364,$AO$8)/$AO$2*100,"")</f>
        <v/>
      </c>
      <c r="AP364" s="24" t="str">
        <f>IF(AND(A364&lt;&gt;"",R364&lt;&gt;""),SUM(R364,$AP$8)/$AP$2*100,"")</f>
        <v/>
      </c>
      <c r="AQ364" s="24">
        <f>IF(AND(A364&lt;&gt;"",ISNUMBER(W364),W364&gt;=0),SUM(W364,$AQ$8)/$AQ$2*100,"")</f>
        <v>101</v>
      </c>
      <c r="AR364" s="24" t="str">
        <f>IF(AND(A364&lt;&gt;"",T364&gt;0,ISNUMBER(T364)),SUM(T364,$AR$8)/$AR$2*100,"")</f>
        <v/>
      </c>
      <c r="AS364" s="24" t="str">
        <f>IF(AND(A364&lt;&gt;"",X364&lt;&gt;""),SUM(X364,$AS$8)/$AS$2*100,"")</f>
        <v/>
      </c>
      <c r="AT364" s="89">
        <f>IF(AND(A364&lt;&gt;"",OR(ISNUMBER(W364),ISNUMBER(X364))),SUM(W364:X364,$AT$8)/$AT$2*100,"")</f>
        <v>101</v>
      </c>
      <c r="AU364" s="24">
        <f>AA364</f>
        <v>82.622950819672141</v>
      </c>
      <c r="AV364" s="71"/>
      <c r="AW364" s="27">
        <f>IF(A364&lt;&gt;"",AE364-AA364,"")</f>
        <v>18.377049180327859</v>
      </c>
      <c r="AY364" s="27" t="b">
        <f>S364&gt;R364</f>
        <v>0</v>
      </c>
      <c r="BA364" s="27" t="e">
        <f>AND(AA364&gt;$BA$3,(W364+$W$8)/$W$2&lt;$BB$3,(X364+$X$8)/$X$2&lt;$BB$3)</f>
        <v>#VALUE!</v>
      </c>
      <c r="BB364" s="27" t="e">
        <f>AND(AA364&lt;$BA$3,AND(W364/$W$2&gt;$BB$3,X364/$X$2&gt;$BB$3))</f>
        <v>#VALUE!</v>
      </c>
      <c r="BC364" s="27" t="e">
        <f>AND(AA364&lt;$BA$3,OR(W364/$W$2&gt;$BB$3,X364/$X$2&gt;$BB$3))</f>
        <v>#VALUE!</v>
      </c>
      <c r="BE364" s="32" t="s">
        <v>85</v>
      </c>
    </row>
    <row r="365" spans="1:57" s="27" customFormat="1" ht="12.75" customHeight="1" x14ac:dyDescent="0.2">
      <c r="A365" s="10">
        <v>698901</v>
      </c>
      <c r="B365" s="2">
        <v>10</v>
      </c>
      <c r="C365" s="10">
        <v>21</v>
      </c>
      <c r="D365" s="10">
        <v>25</v>
      </c>
      <c r="E365" s="10"/>
      <c r="F365" s="10"/>
      <c r="G365" s="3"/>
      <c r="H365" s="10"/>
      <c r="I365" s="10"/>
      <c r="J365" s="2" t="s">
        <v>67</v>
      </c>
      <c r="K365" s="10">
        <v>19</v>
      </c>
      <c r="L365" s="10">
        <v>43</v>
      </c>
      <c r="M365" s="10"/>
      <c r="N365" s="10"/>
      <c r="O365" s="12"/>
      <c r="P365" s="41">
        <v>99</v>
      </c>
      <c r="Q365" s="41"/>
      <c r="R365" s="2"/>
      <c r="S365" s="10"/>
      <c r="T365" s="13"/>
      <c r="U365" s="7">
        <f t="array" ref="U365">IF(AND(A365&lt;&gt;"",OR(ISNUMBER(B365:I365))),SUM(B365:I365),"")</f>
        <v>56</v>
      </c>
      <c r="V365" s="10">
        <f t="array" ref="V365">IF(AND(A365&lt;&gt;"",OR(ISNUMBER(J365:O365))),SUM(J365:O365),"")</f>
        <v>62</v>
      </c>
      <c r="W365" s="10">
        <f t="array" ref="W365">IF(AND(A365&lt;&gt;"",OR(ISNUMBER(P365),ISNUMBER(Q365))),SUM(MAX(P365:Q365),Q365),"")</f>
        <v>99</v>
      </c>
      <c r="X365" s="10" t="str">
        <f t="array" ref="X365">IF(AND(A365&lt;&gt;"",OR(ISNUMBER(S365),ISNUMBER(T365))),SUM(S365,T365),"")</f>
        <v/>
      </c>
      <c r="Y365" s="13"/>
      <c r="Z365" s="13">
        <f>IF(A365&lt;&gt;"",SUM(U365:Y365),"")</f>
        <v>217</v>
      </c>
      <c r="AA365" s="27">
        <f>IF(A365&lt;&gt;"",(Z365+Normalize_To_Add)/(Point_Total_So_Far)*100,"")</f>
        <v>71.147540983606561</v>
      </c>
      <c r="AB365" s="10">
        <f>IF(A365&lt;&gt;"",RANK(AA365,All_Student_XC),"")</f>
        <v>456</v>
      </c>
      <c r="AC365" s="32" t="str">
        <f>IF(A365&lt;&gt;"",CHOOSE(10-MIN(9,TRUNC((AA365+0.5)/10)),"A","B","C","D","F","F","F","F","F","F"),"")</f>
        <v>C</v>
      </c>
      <c r="AD365" s="32" t="str">
        <f>IF(A365&lt;&gt;"",IF(OR(AA365+0.5&gt;=93,AA365+0.5&lt;60),"",IF(MOD(AA365+0.5,10)&gt;=7,"+",IF(MOD(AA365+0.5,10)&lt;3,"-",""))),"")</f>
        <v>-</v>
      </c>
      <c r="AE365" s="32">
        <f>IF(A365&lt;&gt;"",SUM(W365:X365,$W$8:$X$8)/SUM($W$2:$X$2)*100,"")</f>
        <v>99</v>
      </c>
      <c r="AF365" s="32" t="str">
        <f>IF(A365&lt;&gt;"",CHOOSE(10-MIN(9,TRUNC((AE365+0.5)/10)),"A","B","C","D","F","F","F","F","F","F"),"")</f>
        <v>A</v>
      </c>
      <c r="AG365" s="32" t="str">
        <f>IF(A365&lt;&gt;"",IF(OR(AE365+0.5&gt;=93,AE365+0.5&lt;60),"",IF(MOD(AE365+0.5,10)&gt;=7,"+",IF(MOD(AE365+0.5,10)&lt;3,"-",""))),"")</f>
        <v/>
      </c>
      <c r="AH365" s="36">
        <f>IF(A365&lt;&gt;"",MIN(MAX(AA365,AE365),AA365+$AH$8,AE365+$AH$8),"")</f>
        <v>99</v>
      </c>
      <c r="AI365" s="32" t="str">
        <f>IF(A365&lt;&gt;"",CHOOSE(10-MIN(9,TRUNC((AH365+0.5)/10)),"A","B","C","D","F","F","F","F","F","F"),"")</f>
        <v>A</v>
      </c>
      <c r="AJ365" s="32" t="str">
        <f>IF(A365&lt;&gt;"",IF(OR(AH365+0.5&gt;=93,AH365+0.5&lt;60),"",IF(MOD(AH365+0.5,10)&gt;=7,"+",IF(MOD(AH365+0.5,10)&lt;3,"-",""))),"")</f>
        <v/>
      </c>
      <c r="AK365" s="32" t="b">
        <f>IF(A365&lt;&gt;"",OR(AI365&lt;&gt;AC365,AJ365&lt;&gt;AD365),"")</f>
        <v>1</v>
      </c>
      <c r="AL365" s="84">
        <f>IF(AND(A365&lt;&gt;"",U365&lt;&gt;""),SUM(U365,$AL$8)/$AL$2*100,"")</f>
        <v>74.666666666666671</v>
      </c>
      <c r="AM365" s="24">
        <f>IF(AND(A365&lt;&gt;"",V365&lt;&gt;""),SUM(V365,$AM$8)/$AM$2*100,"")</f>
        <v>47.692307692307693</v>
      </c>
      <c r="AN365" s="24">
        <f>IF(AND(A365&lt;&gt;"",ISNUMBER(P365),P365&gt;=0),SUM(P365,$AN$8)/$AN$2*100,"")</f>
        <v>99</v>
      </c>
      <c r="AO365" s="24" t="str">
        <f>IF(AND(A365&lt;&gt;"",ISNUMBER(Q365),Q365&gt;=0),SUM(Q365,$AO$8)/$AO$2*100,"")</f>
        <v/>
      </c>
      <c r="AP365" s="24" t="str">
        <f>IF(AND(A365&lt;&gt;"",R365&lt;&gt;""),SUM(R365,$AP$8)/$AP$2*100,"")</f>
        <v/>
      </c>
      <c r="AQ365" s="24">
        <f>IF(AND(A365&lt;&gt;"",ISNUMBER(W365),W365&gt;=0),SUM(W365,$AQ$8)/$AQ$2*100,"")</f>
        <v>99</v>
      </c>
      <c r="AR365" s="24" t="str">
        <f>IF(AND(A365&lt;&gt;"",T365&gt;0,ISNUMBER(T365)),SUM(T365,$AR$8)/$AR$2*100,"")</f>
        <v/>
      </c>
      <c r="AS365" s="24" t="str">
        <f>IF(AND(A365&lt;&gt;"",X365&lt;&gt;""),SUM(X365,$AS$8)/$AS$2*100,"")</f>
        <v/>
      </c>
      <c r="AT365" s="89">
        <f>IF(AND(A365&lt;&gt;"",OR(ISNUMBER(W365),ISNUMBER(X365))),SUM(W365:X365,$AT$8)/$AT$2*100,"")</f>
        <v>99</v>
      </c>
      <c r="AU365" s="24">
        <f>AA365</f>
        <v>71.147540983606561</v>
      </c>
      <c r="AV365" s="24"/>
      <c r="AW365" s="27">
        <f>IF(A365&lt;&gt;"",AE365-AA365,"")</f>
        <v>27.852459016393439</v>
      </c>
      <c r="AY365" s="27" t="b">
        <f>S365&gt;R365</f>
        <v>0</v>
      </c>
      <c r="BA365" s="27" t="e">
        <f>AND(AA365&gt;$BA$3,(W365+$W$8)/$W$2&lt;$BB$3,(X365+$X$8)/$X$2&lt;$BB$3)</f>
        <v>#VALUE!</v>
      </c>
      <c r="BB365" s="27" t="e">
        <f>AND(AA365&lt;$BA$3,AND(W365/$W$2&gt;$BB$3,X365/$X$2&gt;$BB$3))</f>
        <v>#VALUE!</v>
      </c>
      <c r="BC365" s="27" t="e">
        <f>AND(AA365&lt;$BA$3,OR(W365/$W$2&gt;$BB$3,X365/$X$2&gt;$BB$3))</f>
        <v>#VALUE!</v>
      </c>
      <c r="BE365" s="32">
        <v>32</v>
      </c>
    </row>
    <row r="366" spans="1:57" s="27" customFormat="1" ht="12.75" customHeight="1" x14ac:dyDescent="0.2">
      <c r="A366" s="10">
        <v>701624</v>
      </c>
      <c r="B366" s="2">
        <v>24</v>
      </c>
      <c r="C366" s="10">
        <v>20</v>
      </c>
      <c r="D366" s="10">
        <v>25</v>
      </c>
      <c r="E366" s="10"/>
      <c r="F366" s="10"/>
      <c r="G366" s="10"/>
      <c r="H366" s="10"/>
      <c r="I366" s="10"/>
      <c r="J366" s="2">
        <v>28</v>
      </c>
      <c r="K366" s="10">
        <v>50</v>
      </c>
      <c r="L366" s="10">
        <v>51</v>
      </c>
      <c r="M366" s="10"/>
      <c r="N366" s="93"/>
      <c r="O366" s="13"/>
      <c r="P366" s="10">
        <v>100</v>
      </c>
      <c r="Q366" s="10"/>
      <c r="R366" s="2"/>
      <c r="S366" s="10"/>
      <c r="T366" s="13"/>
      <c r="U366" s="7">
        <f t="array" ref="U366">IF(AND(A366&lt;&gt;"",OR(ISNUMBER(B366:I366))),SUM(B366:I366),"")</f>
        <v>69</v>
      </c>
      <c r="V366" s="10">
        <f t="array" ref="V366">IF(AND(A366&lt;&gt;"",OR(ISNUMBER(J366:O366))),SUM(J366:O366),"")</f>
        <v>129</v>
      </c>
      <c r="W366" s="10">
        <f t="array" ref="W366">IF(AND(A366&lt;&gt;"",OR(ISNUMBER(P366),ISNUMBER(Q366))),SUM(MAX(P366:Q366),Q366),"")</f>
        <v>100</v>
      </c>
      <c r="X366" s="10" t="str">
        <f t="array" ref="X366">IF(AND(A366&lt;&gt;"",OR(ISNUMBER(S366),ISNUMBER(T366))),SUM(S366,T366),"")</f>
        <v/>
      </c>
      <c r="Y366" s="13">
        <v>1</v>
      </c>
      <c r="Z366" s="13">
        <f>IF(A366&lt;&gt;"",SUM(U366:Y366),"")</f>
        <v>299</v>
      </c>
      <c r="AA366" s="27">
        <f>IF(A366&lt;&gt;"",(Z366+Normalize_To_Add)/(Point_Total_So_Far)*100,"")</f>
        <v>98.032786885245898</v>
      </c>
      <c r="AB366" s="10">
        <f>IF(A366&lt;&gt;"",RANK(AA366,All_Student_XC),"")</f>
        <v>195</v>
      </c>
      <c r="AC366" s="32" t="str">
        <f>IF(A366&lt;&gt;"",CHOOSE(10-MIN(9,TRUNC((AA366+0.5)/10)),"A","B","C","D","F","F","F","F","F","F"),"")</f>
        <v>A</v>
      </c>
      <c r="AD366" s="31" t="str">
        <f>IF(A366&lt;&gt;"",IF(OR(AA366+0.5&gt;=93,AA366+0.5&lt;60),"",IF(MOD(AA366+0.5,10)&gt;=7,"+",IF(MOD(AA366+0.5,10)&lt;3,"-",""))),"")</f>
        <v/>
      </c>
      <c r="AE366" s="32">
        <f>IF(A366&lt;&gt;"",SUM(W366:X366,$W$8:$X$8)/SUM($W$2:$X$2)*100,"")</f>
        <v>100</v>
      </c>
      <c r="AF366" s="32" t="str">
        <f>IF(A366&lt;&gt;"",CHOOSE(10-MIN(9,TRUNC((AE366+0.5)/10)),"A","B","C","D","F","F","F","F","F","F"),"")</f>
        <v>A</v>
      </c>
      <c r="AG366" s="32" t="str">
        <f>IF(A366&lt;&gt;"",IF(OR(AE366+0.5&gt;=93,AE366+0.5&lt;60),"",IF(MOD(AE366+0.5,10)&gt;=7,"+",IF(MOD(AE366+0.5,10)&lt;3,"-",""))),"")</f>
        <v/>
      </c>
      <c r="AH366" s="36">
        <f>IF(A366&lt;&gt;"",MIN(MAX(AA366,AE366),AA366+$AH$8,AE366+$AH$8),"")</f>
        <v>100</v>
      </c>
      <c r="AI366" s="32" t="str">
        <f>IF(A366&lt;&gt;"",CHOOSE(10-MIN(9,TRUNC((AH366+0.5)/10)),"A","B","C","D","F","F","F","F","F","F"),"")</f>
        <v>A</v>
      </c>
      <c r="AJ366" s="32" t="str">
        <f>IF(A366&lt;&gt;"",IF(OR(AH366+0.5&gt;=93,AH366+0.5&lt;60),"",IF(MOD(AH366+0.5,10)&gt;=7,"+",IF(MOD(AH366+0.5,10)&lt;3,"-",""))),"")</f>
        <v/>
      </c>
      <c r="AK366" s="71" t="b">
        <f>IF(A366&lt;&gt;"",OR(AI366&lt;&gt;AC366,AJ366&lt;&gt;AD366),"")</f>
        <v>0</v>
      </c>
      <c r="AL366" s="86">
        <f>IF(AND(A366&lt;&gt;"",U366&lt;&gt;""),SUM(U366,$AL$8)/$AL$2*100,"")</f>
        <v>92</v>
      </c>
      <c r="AM366" s="71">
        <f>IF(AND(A366&lt;&gt;"",V366&lt;&gt;""),SUM(V366,$AM$8)/$AM$2*100,"")</f>
        <v>99.230769230769226</v>
      </c>
      <c r="AN366" s="71">
        <f>IF(AND(A366&lt;&gt;"",ISNUMBER(P366),P366&gt;=0),SUM(P366,$AN$8)/$AN$2*100,"")</f>
        <v>100</v>
      </c>
      <c r="AO366" s="71" t="str">
        <f>IF(AND(A366&lt;&gt;"",ISNUMBER(Q366),Q366&gt;=0),SUM(Q366,$AO$8)/$AO$2*100,"")</f>
        <v/>
      </c>
      <c r="AP366" s="24" t="str">
        <f>IF(AND(A366&lt;&gt;"",R366&lt;&gt;""),SUM(R366,$AP$8)/$AP$2*100,"")</f>
        <v/>
      </c>
      <c r="AQ366" s="24">
        <f>IF(AND(A366&lt;&gt;"",ISNUMBER(W366),W366&gt;=0),SUM(W366,$AQ$8)/$AQ$2*100,"")</f>
        <v>100</v>
      </c>
      <c r="AR366" s="24" t="str">
        <f>IF(AND(A366&lt;&gt;"",T366&gt;0,ISNUMBER(T366)),SUM(T366,$AR$8)/$AR$2*100,"")</f>
        <v/>
      </c>
      <c r="AS366" s="24" t="str">
        <f>IF(AND(A366&lt;&gt;"",X366&lt;&gt;""),SUM(X366,$AS$8)/$AS$2*100,"")</f>
        <v/>
      </c>
      <c r="AT366" s="89">
        <f>IF(AND(A366&lt;&gt;"",OR(ISNUMBER(W366),ISNUMBER(X366))),SUM(W366:X366,$AT$8)/$AT$2*100,"")</f>
        <v>100</v>
      </c>
      <c r="AU366" s="24">
        <f>AA366</f>
        <v>98.032786885245898</v>
      </c>
      <c r="AV366" s="71"/>
      <c r="AW366" s="27">
        <f>IF(A366&lt;&gt;"",AE366-AA366,"")</f>
        <v>1.9672131147541023</v>
      </c>
      <c r="AY366" s="27" t="b">
        <f>S366&gt;R366</f>
        <v>0</v>
      </c>
      <c r="BA366" s="27" t="e">
        <f>AND(AA366&gt;$BA$3,(W366+$W$8)/$W$2&lt;$BB$3,(X366+$X$8)/$X$2&lt;$BB$3)</f>
        <v>#VALUE!</v>
      </c>
      <c r="BB366" s="27" t="e">
        <f>AND(AA366&lt;$BA$3,AND(W366/$W$2&gt;$BB$3,X366/$X$2&gt;$BB$3))</f>
        <v>#VALUE!</v>
      </c>
      <c r="BC366" s="27" t="e">
        <f>AND(AA366&lt;$BA$3,OR(W366/$W$2&gt;$BB$3,X366/$X$2&gt;$BB$3))</f>
        <v>#VALUE!</v>
      </c>
      <c r="BE366" s="32">
        <v>32</v>
      </c>
    </row>
    <row r="367" spans="1:57" s="27" customFormat="1" ht="12.75" customHeight="1" x14ac:dyDescent="0.2">
      <c r="A367" s="10">
        <v>704582</v>
      </c>
      <c r="B367" s="2">
        <v>22</v>
      </c>
      <c r="C367" s="10">
        <v>23</v>
      </c>
      <c r="D367" s="10">
        <v>25</v>
      </c>
      <c r="E367" s="10"/>
      <c r="F367" s="10"/>
      <c r="G367" s="3"/>
      <c r="H367" s="10"/>
      <c r="I367" s="10"/>
      <c r="J367" s="2">
        <v>30</v>
      </c>
      <c r="K367" s="10">
        <v>51</v>
      </c>
      <c r="L367" s="10">
        <v>52</v>
      </c>
      <c r="M367" s="10"/>
      <c r="N367" s="10"/>
      <c r="O367" s="12"/>
      <c r="P367" s="7">
        <v>101</v>
      </c>
      <c r="Q367" s="7"/>
      <c r="R367" s="2"/>
      <c r="S367" s="10"/>
      <c r="T367" s="13"/>
      <c r="U367" s="35">
        <f t="array" ref="U367">IF(AND(A367&lt;&gt;"",OR(ISNUMBER(B367:I367))),SUM(B367:I367),"")</f>
        <v>70</v>
      </c>
      <c r="V367" s="10">
        <f t="array" ref="V367">IF(AND(A367&lt;&gt;"",OR(ISNUMBER(J367:O367))),SUM(J367:O367),"")</f>
        <v>133</v>
      </c>
      <c r="W367" s="10">
        <f t="array" ref="W367">IF(AND(A367&lt;&gt;"",OR(ISNUMBER(P367),ISNUMBER(Q367))),SUM(MAX(P367:Q367),Q367),"")</f>
        <v>101</v>
      </c>
      <c r="X367" s="10" t="str">
        <f t="array" ref="X367">IF(AND(A367&lt;&gt;"",OR(ISNUMBER(S367),ISNUMBER(T367))),SUM(S367,T367),"")</f>
        <v/>
      </c>
      <c r="Y367" s="13">
        <v>1</v>
      </c>
      <c r="Z367" s="13">
        <f>IF(A367&lt;&gt;"",SUM(U367:Y367),"")</f>
        <v>305</v>
      </c>
      <c r="AA367" s="27">
        <f>IF(A367&lt;&gt;"",(Z367+Normalize_To_Add)/(Point_Total_So_Far)*100,"")</f>
        <v>100</v>
      </c>
      <c r="AB367" s="10">
        <f>IF(A367&lt;&gt;"",RANK(AA367,All_Student_XC),"")</f>
        <v>109</v>
      </c>
      <c r="AC367" s="32" t="str">
        <f>IF(A367&lt;&gt;"",CHOOSE(10-MIN(9,TRUNC((AA367+0.5)/10)),"A","B","C","D","F","F","F","F","F","F"),"")</f>
        <v>A</v>
      </c>
      <c r="AD367" s="32" t="str">
        <f>IF(A367&lt;&gt;"",IF(OR(AA367+0.5&gt;=93,AA367+0.5&lt;60),"",IF(MOD(AA367+0.5,10)&gt;=7,"+",IF(MOD(AA367+0.5,10)&lt;3,"-",""))),"")</f>
        <v/>
      </c>
      <c r="AE367" s="32">
        <f>IF(A367&lt;&gt;"",SUM(W367:X367,$W$8:$X$8)/SUM($W$2:$X$2)*100,"")</f>
        <v>101</v>
      </c>
      <c r="AF367" s="32" t="str">
        <f>IF(A367&lt;&gt;"",CHOOSE(10-MIN(9,TRUNC((AE367+0.5)/10)),"A","B","C","D","F","F","F","F","F","F"),"")</f>
        <v>A</v>
      </c>
      <c r="AG367" s="32" t="str">
        <f>IF(A367&lt;&gt;"",IF(OR(AE367+0.5&gt;=93,AE367+0.5&lt;60),"",IF(MOD(AE367+0.5,10)&gt;=7,"+",IF(MOD(AE367+0.5,10)&lt;3,"-",""))),"")</f>
        <v/>
      </c>
      <c r="AH367" s="36">
        <f>IF(A367&lt;&gt;"",MIN(MAX(AA367,AE367),AA367+$AH$8,AE367+$AH$8),"")</f>
        <v>101</v>
      </c>
      <c r="AI367" s="32" t="str">
        <f>IF(A367&lt;&gt;"",CHOOSE(10-MIN(9,TRUNC((AH367+0.5)/10)),"A","B","C","D","F","F","F","F","F","F"),"")</f>
        <v>A</v>
      </c>
      <c r="AJ367" s="32" t="str">
        <f>IF(A367&lt;&gt;"",IF(OR(AH367+0.5&gt;=93,AH367+0.5&lt;60),"",IF(MOD(AH367+0.5,10)&gt;=7,"+",IF(MOD(AH367+0.5,10)&lt;3,"-",""))),"")</f>
        <v/>
      </c>
      <c r="AK367" s="32" t="b">
        <f>IF(A367&lt;&gt;"",OR(AI367&lt;&gt;AC367,AJ367&lt;&gt;AD367),"")</f>
        <v>0</v>
      </c>
      <c r="AL367" s="84">
        <f>IF(AND(A367&lt;&gt;"",U367&lt;&gt;""),SUM(U367,$AL$8)/$AL$2*100,"")</f>
        <v>93.333333333333329</v>
      </c>
      <c r="AM367" s="24">
        <f>IF(AND(A367&lt;&gt;"",V367&lt;&gt;""),SUM(V367,$AM$8)/$AM$2*100,"")</f>
        <v>102.30769230769229</v>
      </c>
      <c r="AN367" s="24">
        <f>IF(AND(A367&lt;&gt;"",ISNUMBER(P367),P367&gt;=0),SUM(P367,$AN$8)/$AN$2*100,"")</f>
        <v>101</v>
      </c>
      <c r="AO367" s="24" t="str">
        <f>IF(AND(A367&lt;&gt;"",ISNUMBER(Q367),Q367&gt;=0),SUM(Q367,$AO$8)/$AO$2*100,"")</f>
        <v/>
      </c>
      <c r="AP367" s="24" t="str">
        <f>IF(AND(A367&lt;&gt;"",R367&lt;&gt;""),SUM(R367,$AP$8)/$AP$2*100,"")</f>
        <v/>
      </c>
      <c r="AQ367" s="24">
        <f>IF(AND(A367&lt;&gt;"",ISNUMBER(W367),W367&gt;=0),SUM(W367,$AQ$8)/$AQ$2*100,"")</f>
        <v>101</v>
      </c>
      <c r="AR367" s="24" t="str">
        <f>IF(AND(A367&lt;&gt;"",T367&gt;0,ISNUMBER(T367)),SUM(T367,$AR$8)/$AR$2*100,"")</f>
        <v/>
      </c>
      <c r="AS367" s="24" t="str">
        <f>IF(AND(A367&lt;&gt;"",X367&lt;&gt;""),SUM(X367,$AS$8)/$AS$2*100,"")</f>
        <v/>
      </c>
      <c r="AT367" s="89">
        <f>IF(AND(A367&lt;&gt;"",OR(ISNUMBER(W367),ISNUMBER(X367))),SUM(W367:X367,$AT$8)/$AT$2*100,"")</f>
        <v>101</v>
      </c>
      <c r="AU367" s="24">
        <f>AA367</f>
        <v>100</v>
      </c>
      <c r="AV367" s="24"/>
      <c r="AW367" s="27">
        <f>IF(A367&lt;&gt;"",AE367-AA367,"")</f>
        <v>1</v>
      </c>
      <c r="AY367" s="27" t="b">
        <f>S367&gt;R367</f>
        <v>0</v>
      </c>
      <c r="BA367" s="27" t="e">
        <f>AND(AA367&gt;$BA$3,(W367+$W$8)/$W$2&lt;$BB$3,(X367+$X$8)/$X$2&lt;$BB$3)</f>
        <v>#VALUE!</v>
      </c>
      <c r="BB367" s="27" t="e">
        <f>AND(AA367&lt;$BA$3,AND(W367/$W$2&gt;$BB$3,X367/$X$2&gt;$BB$3))</f>
        <v>#VALUE!</v>
      </c>
      <c r="BC367" s="27" t="e">
        <f>AND(AA367&lt;$BA$3,OR(W367/$W$2&gt;$BB$3,X367/$X$2&gt;$BB$3))</f>
        <v>#VALUE!</v>
      </c>
      <c r="BE367" s="32" t="s">
        <v>84</v>
      </c>
    </row>
    <row r="368" spans="1:57" s="27" customFormat="1" ht="12" customHeight="1" x14ac:dyDescent="0.2">
      <c r="A368" s="10">
        <v>705632</v>
      </c>
      <c r="B368" s="2">
        <v>22</v>
      </c>
      <c r="C368" s="10">
        <v>16</v>
      </c>
      <c r="D368" s="10">
        <v>25</v>
      </c>
      <c r="E368" s="10"/>
      <c r="F368" s="10"/>
      <c r="G368" s="10"/>
      <c r="H368" s="10"/>
      <c r="I368" s="10"/>
      <c r="J368" s="2">
        <v>28</v>
      </c>
      <c r="K368" s="10">
        <v>51</v>
      </c>
      <c r="L368" s="10">
        <v>51</v>
      </c>
      <c r="M368" s="10"/>
      <c r="N368" s="93"/>
      <c r="O368" s="13"/>
      <c r="P368" s="10">
        <v>101</v>
      </c>
      <c r="Q368" s="10"/>
      <c r="R368" s="2"/>
      <c r="S368" s="10"/>
      <c r="T368" s="13"/>
      <c r="U368" s="7">
        <f t="array" ref="U368">IF(AND(A368&lt;&gt;"",OR(ISNUMBER(B368:I368))),SUM(B368:I368),"")</f>
        <v>63</v>
      </c>
      <c r="V368" s="10">
        <f t="array" ref="V368">IF(AND(A368&lt;&gt;"",OR(ISNUMBER(J368:O368))),SUM(J368:O368),"")</f>
        <v>130</v>
      </c>
      <c r="W368" s="10">
        <f t="array" ref="W368">IF(AND(A368&lt;&gt;"",OR(ISNUMBER(P368),ISNUMBER(Q368))),SUM(MAX(P368:Q368),Q368),"")</f>
        <v>101</v>
      </c>
      <c r="X368" s="10" t="str">
        <f t="array" ref="X368">IF(AND(A368&lt;&gt;"",OR(ISNUMBER(S368),ISNUMBER(T368))),SUM(S368,T368),"")</f>
        <v/>
      </c>
      <c r="Y368" s="13">
        <v>1</v>
      </c>
      <c r="Z368" s="13">
        <f>IF(A368&lt;&gt;"",SUM(U368:Y368),"")</f>
        <v>295</v>
      </c>
      <c r="AA368" s="27">
        <f>IF(A368&lt;&gt;"",(Z368+Normalize_To_Add)/(Point_Total_So_Far)*100,"")</f>
        <v>96.721311475409834</v>
      </c>
      <c r="AB368" s="10">
        <f>IF(A368&lt;&gt;"",RANK(AA368,All_Student_XC),"")</f>
        <v>243</v>
      </c>
      <c r="AC368" s="32" t="str">
        <f>IF(A368&lt;&gt;"",CHOOSE(10-MIN(9,TRUNC((AA368+0.5)/10)),"A","B","C","D","F","F","F","F","F","F"),"")</f>
        <v>A</v>
      </c>
      <c r="AD368" s="31" t="str">
        <f>IF(A368&lt;&gt;"",IF(OR(AA368+0.5&gt;=93,AA368+0.5&lt;60),"",IF(MOD(AA368+0.5,10)&gt;=7,"+",IF(MOD(AA368+0.5,10)&lt;3,"-",""))),"")</f>
        <v/>
      </c>
      <c r="AE368" s="32">
        <f>IF(A368&lt;&gt;"",SUM(W368:X368,$W$8:$X$8)/SUM($W$2:$X$2)*100,"")</f>
        <v>101</v>
      </c>
      <c r="AF368" s="32" t="str">
        <f>IF(A368&lt;&gt;"",CHOOSE(10-MIN(9,TRUNC((AE368+0.5)/10)),"A","B","C","D","F","F","F","F","F","F"),"")</f>
        <v>A</v>
      </c>
      <c r="AG368" s="32" t="str">
        <f>IF(A368&lt;&gt;"",IF(OR(AE368+0.5&gt;=93,AE368+0.5&lt;60),"",IF(MOD(AE368+0.5,10)&gt;=7,"+",IF(MOD(AE368+0.5,10)&lt;3,"-",""))),"")</f>
        <v/>
      </c>
      <c r="AH368" s="36">
        <f>IF(A368&lt;&gt;"",MIN(MAX(AA368,AE368),AA368+$AH$8,AE368+$AH$8),"")</f>
        <v>101</v>
      </c>
      <c r="AI368" s="32" t="str">
        <f>IF(A368&lt;&gt;"",CHOOSE(10-MIN(9,TRUNC((AH368+0.5)/10)),"A","B","C","D","F","F","F","F","F","F"),"")</f>
        <v>A</v>
      </c>
      <c r="AJ368" s="32" t="str">
        <f>IF(A368&lt;&gt;"",IF(OR(AH368+0.5&gt;=93,AH368+0.5&lt;60),"",IF(MOD(AH368+0.5,10)&gt;=7,"+",IF(MOD(AH368+0.5,10)&lt;3,"-",""))),"")</f>
        <v/>
      </c>
      <c r="AK368" s="71" t="b">
        <f>IF(A368&lt;&gt;"",OR(AI368&lt;&gt;AC368,AJ368&lt;&gt;AD368),"")</f>
        <v>0</v>
      </c>
      <c r="AL368" s="86">
        <f>IF(AND(A368&lt;&gt;"",U368&lt;&gt;""),SUM(U368,$AL$8)/$AL$2*100,"")</f>
        <v>84</v>
      </c>
      <c r="AM368" s="71">
        <f>IF(AND(A368&lt;&gt;"",V368&lt;&gt;""),SUM(V368,$AM$8)/$AM$2*100,"")</f>
        <v>100</v>
      </c>
      <c r="AN368" s="71">
        <f>IF(AND(A368&lt;&gt;"",ISNUMBER(P368),P368&gt;=0),SUM(P368,$AN$8)/$AN$2*100,"")</f>
        <v>101</v>
      </c>
      <c r="AO368" s="71" t="str">
        <f>IF(AND(A368&lt;&gt;"",ISNUMBER(Q368),Q368&gt;=0),SUM(Q368,$AO$8)/$AO$2*100,"")</f>
        <v/>
      </c>
      <c r="AP368" s="24" t="str">
        <f>IF(AND(A368&lt;&gt;"",R368&lt;&gt;""),SUM(R368,$AP$8)/$AP$2*100,"")</f>
        <v/>
      </c>
      <c r="AQ368" s="24">
        <f>IF(AND(A368&lt;&gt;"",ISNUMBER(W368),W368&gt;=0),SUM(W368,$AQ$8)/$AQ$2*100,"")</f>
        <v>101</v>
      </c>
      <c r="AR368" s="24" t="str">
        <f>IF(AND(A368&lt;&gt;"",T368&gt;0,ISNUMBER(T368)),SUM(T368,$AR$8)/$AR$2*100,"")</f>
        <v/>
      </c>
      <c r="AS368" s="24" t="str">
        <f>IF(AND(A368&lt;&gt;"",X368&lt;&gt;""),SUM(X368,$AS$8)/$AS$2*100,"")</f>
        <v/>
      </c>
      <c r="AT368" s="89">
        <f>IF(AND(A368&lt;&gt;"",OR(ISNUMBER(W368),ISNUMBER(X368))),SUM(W368:X368,$AT$8)/$AT$2*100,"")</f>
        <v>101</v>
      </c>
      <c r="AU368" s="24">
        <f>AA368</f>
        <v>96.721311475409834</v>
      </c>
      <c r="AV368" s="71"/>
      <c r="AW368" s="27">
        <f>IF(A368&lt;&gt;"",AE368-AA368,"")</f>
        <v>4.2786885245901658</v>
      </c>
      <c r="AY368" s="27" t="b">
        <f>S368&gt;R368</f>
        <v>0</v>
      </c>
      <c r="BA368" s="27" t="e">
        <f>AND(AA368&gt;$BA$3,(W368+$W$8)/$W$2&lt;$BB$3,(X368+$X$8)/$X$2&lt;$BB$3)</f>
        <v>#VALUE!</v>
      </c>
      <c r="BB368" s="27" t="e">
        <f>AND(AA368&lt;$BA$3,AND(W368/$W$2&gt;$BB$3,X368/$X$2&gt;$BB$3))</f>
        <v>#VALUE!</v>
      </c>
      <c r="BC368" s="27" t="e">
        <f>AND(AA368&lt;$BA$3,OR(W368/$W$2&gt;$BB$3,X368/$X$2&gt;$BB$3))</f>
        <v>#VALUE!</v>
      </c>
      <c r="BE368" s="32" t="s">
        <v>84</v>
      </c>
    </row>
    <row r="369" spans="1:57" s="27" customFormat="1" ht="12.75" customHeight="1" x14ac:dyDescent="0.2">
      <c r="A369" s="10">
        <v>707191</v>
      </c>
      <c r="B369" s="2">
        <v>25</v>
      </c>
      <c r="C369" s="10">
        <v>23</v>
      </c>
      <c r="D369" s="10">
        <v>25</v>
      </c>
      <c r="E369" s="10"/>
      <c r="F369" s="10"/>
      <c r="G369" s="10"/>
      <c r="H369" s="10"/>
      <c r="I369" s="10"/>
      <c r="J369" s="2">
        <v>31</v>
      </c>
      <c r="K369" s="10">
        <v>52</v>
      </c>
      <c r="L369" s="10">
        <v>50</v>
      </c>
      <c r="M369" s="10"/>
      <c r="N369" s="93"/>
      <c r="O369" s="13"/>
      <c r="P369" s="10">
        <v>101</v>
      </c>
      <c r="Q369" s="10"/>
      <c r="R369" s="2"/>
      <c r="S369" s="10"/>
      <c r="T369" s="13"/>
      <c r="U369" s="7">
        <f t="array" ref="U369">IF(AND(A369&lt;&gt;"",OR(ISNUMBER(B369:I369))),SUM(B369:I369),"")</f>
        <v>73</v>
      </c>
      <c r="V369" s="10">
        <f t="array" ref="V369">IF(AND(A369&lt;&gt;"",OR(ISNUMBER(J369:O369))),SUM(J369:O369),"")</f>
        <v>133</v>
      </c>
      <c r="W369" s="10">
        <f t="array" ref="W369">IF(AND(A369&lt;&gt;"",OR(ISNUMBER(P369),ISNUMBER(Q369))),SUM(MAX(P369:Q369),Q369),"")</f>
        <v>101</v>
      </c>
      <c r="X369" s="10" t="str">
        <f t="array" ref="X369">IF(AND(A369&lt;&gt;"",OR(ISNUMBER(S369),ISNUMBER(T369))),SUM(S369,T369),"")</f>
        <v/>
      </c>
      <c r="Y369" s="13">
        <v>1</v>
      </c>
      <c r="Z369" s="13">
        <f>IF(A369&lt;&gt;"",SUM(U369:Y369),"")</f>
        <v>308</v>
      </c>
      <c r="AA369" s="27">
        <f>IF(A369&lt;&gt;"",(Z369+Normalize_To_Add)/(Point_Total_So_Far)*100,"")</f>
        <v>100.98360655737706</v>
      </c>
      <c r="AB369" s="10">
        <f>IF(A369&lt;&gt;"",RANK(AA369,All_Student_XC),"")</f>
        <v>57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/>
      </c>
      <c r="AE369" s="32">
        <f>IF(A369&lt;&gt;"",SUM(W369:X369,$W$8:$X$8)/SUM($W$2:$X$2)*100,"")</f>
        <v>101</v>
      </c>
      <c r="AF369" s="32" t="str">
        <f>IF(A369&lt;&gt;"",CHOOSE(10-MIN(9,TRUNC((AE369+0.5)/10)),"A","B","C","D","F","F","F","F","F","F"),"")</f>
        <v>A</v>
      </c>
      <c r="AG369" s="32" t="str">
        <f>IF(A369&lt;&gt;"",IF(OR(AE369+0.5&gt;=93,AE369+0.5&lt;60),"",IF(MOD(AE369+0.5,10)&gt;=7,"+",IF(MOD(AE369+0.5,10)&lt;3,"-",""))),"")</f>
        <v/>
      </c>
      <c r="AH369" s="36">
        <f>IF(A369&lt;&gt;"",MIN(MAX(AA369,AE369),AA369+$AH$8,AE369+$AH$8),"")</f>
        <v>101</v>
      </c>
      <c r="AI369" s="32" t="str">
        <f>IF(A369&lt;&gt;"",CHOOSE(10-MIN(9,TRUNC((AH369+0.5)/10)),"A","B","C","D","F","F","F","F","F","F"),"")</f>
        <v>A</v>
      </c>
      <c r="AJ369" s="32" t="str">
        <f>IF(A369&lt;&gt;"",IF(OR(AH369+0.5&gt;=93,AH369+0.5&lt;60),"",IF(MOD(AH369+0.5,10)&gt;=7,"+",IF(MOD(AH369+0.5,10)&lt;3,"-",""))),"")</f>
        <v/>
      </c>
      <c r="AK369" s="71" t="b">
        <f>IF(A369&lt;&gt;"",OR(AI369&lt;&gt;AC369,AJ369&lt;&gt;AD369),"")</f>
        <v>0</v>
      </c>
      <c r="AL369" s="86">
        <f>IF(AND(A369&lt;&gt;"",U369&lt;&gt;""),SUM(U369,$AL$8)/$AL$2*100,"")</f>
        <v>97.333333333333343</v>
      </c>
      <c r="AM369" s="71">
        <f>IF(AND(A369&lt;&gt;"",V369&lt;&gt;""),SUM(V369,$AM$8)/$AM$2*100,"")</f>
        <v>102.30769230769229</v>
      </c>
      <c r="AN369" s="71">
        <f>IF(AND(A369&lt;&gt;"",ISNUMBER(P369),P369&gt;=0),SUM(P369,$AN$8)/$AN$2*100,"")</f>
        <v>101</v>
      </c>
      <c r="AO369" s="71" t="str">
        <f>IF(AND(A369&lt;&gt;"",ISNUMBER(Q369),Q369&gt;=0),SUM(Q369,$AO$8)/$AO$2*100,"")</f>
        <v/>
      </c>
      <c r="AP369" s="24" t="str">
        <f>IF(AND(A369&lt;&gt;"",R369&lt;&gt;""),SUM(R369,$AP$8)/$AP$2*100,"")</f>
        <v/>
      </c>
      <c r="AQ369" s="24">
        <f>IF(AND(A369&lt;&gt;"",ISNUMBER(W369),W369&gt;=0),SUM(W369,$AQ$8)/$AQ$2*100,"")</f>
        <v>101</v>
      </c>
      <c r="AR369" s="24" t="str">
        <f>IF(AND(A369&lt;&gt;"",T369&gt;0,ISNUMBER(T369)),SUM(T369,$AR$8)/$AR$2*100,"")</f>
        <v/>
      </c>
      <c r="AS369" s="24" t="str">
        <f>IF(AND(A369&lt;&gt;"",X369&lt;&gt;""),SUM(X369,$AS$8)/$AS$2*100,"")</f>
        <v/>
      </c>
      <c r="AT369" s="89">
        <f>IF(AND(A369&lt;&gt;"",OR(ISNUMBER(W369),ISNUMBER(X369))),SUM(W369:X369,$AT$8)/$AT$2*100,"")</f>
        <v>101</v>
      </c>
      <c r="AU369" s="24">
        <f>AA369</f>
        <v>100.98360655737706</v>
      </c>
      <c r="AV369" s="71"/>
      <c r="AW369" s="27">
        <f>IF(A369&lt;&gt;"",AE369-AA369,"")</f>
        <v>1.6393442622941734E-2</v>
      </c>
      <c r="AY369" s="27" t="b">
        <f>S369&gt;R369</f>
        <v>0</v>
      </c>
      <c r="BA369" s="27" t="e">
        <f>AND(AA369&gt;$BA$3,(W369+$W$8)/$W$2&lt;$BB$3,(X369+$X$8)/$X$2&lt;$BB$3)</f>
        <v>#VALUE!</v>
      </c>
      <c r="BB369" s="27" t="e">
        <f>AND(AA369&lt;$BA$3,AND(W369/$W$2&gt;$BB$3,X369/$X$2&gt;$BB$3))</f>
        <v>#VALUE!</v>
      </c>
      <c r="BC369" s="27" t="e">
        <f>AND(AA369&lt;$BA$3,OR(W369/$W$2&gt;$BB$3,X369/$X$2&gt;$BB$3))</f>
        <v>#VALUE!</v>
      </c>
      <c r="BE369" s="32" t="s">
        <v>84</v>
      </c>
    </row>
    <row r="370" spans="1:57" s="99" customFormat="1" ht="12.75" customHeight="1" x14ac:dyDescent="0.2">
      <c r="A370" s="78">
        <v>707997</v>
      </c>
      <c r="B370" s="97">
        <v>17</v>
      </c>
      <c r="C370" s="78">
        <v>20</v>
      </c>
      <c r="D370" s="78">
        <v>20</v>
      </c>
      <c r="E370" s="78"/>
      <c r="F370" s="78"/>
      <c r="G370" s="78"/>
      <c r="H370" s="78"/>
      <c r="I370" s="78"/>
      <c r="J370" s="97">
        <v>24</v>
      </c>
      <c r="K370" s="78">
        <v>36</v>
      </c>
      <c r="L370" s="78">
        <v>47</v>
      </c>
      <c r="M370" s="78"/>
      <c r="N370" s="78"/>
      <c r="O370" s="108"/>
      <c r="P370" s="79">
        <v>80</v>
      </c>
      <c r="Q370" s="79"/>
      <c r="R370" s="97"/>
      <c r="S370" s="78"/>
      <c r="T370" s="98"/>
      <c r="U370" s="117">
        <f t="array" ref="U370">IF(AND(A370&lt;&gt;"",OR(ISNUMBER(B370:I370))),SUM(B370:I370),"")</f>
        <v>57</v>
      </c>
      <c r="V370" s="78">
        <f t="array" ref="V370">IF(AND(A370&lt;&gt;"",OR(ISNUMBER(J370:O370))),SUM(J370:O370),"")</f>
        <v>107</v>
      </c>
      <c r="W370" s="78">
        <f t="array" ref="W370">IF(AND(A370&lt;&gt;"",OR(ISNUMBER(P370),ISNUMBER(Q370))),SUM(MAX(P370:Q370),Q370),"")</f>
        <v>80</v>
      </c>
      <c r="X370" s="78" t="str">
        <f t="array" ref="X370">IF(AND(A370&lt;&gt;"",OR(ISNUMBER(S370),ISNUMBER(T370))),SUM(S370,T370),"")</f>
        <v/>
      </c>
      <c r="Y370" s="98">
        <v>1</v>
      </c>
      <c r="Z370" s="98">
        <f>IF(A370&lt;&gt;"",SUM(U370:Y370),"")</f>
        <v>245</v>
      </c>
      <c r="AA370" s="99">
        <f>IF(A370&lt;&gt;"",(Z370+Normalize_To_Add)/(Point_Total_So_Far)*100,"")</f>
        <v>80.327868852459019</v>
      </c>
      <c r="AB370" s="78">
        <f>IF(A370&lt;&gt;"",RANK(AA370,All_Student_XC),"")</f>
        <v>409</v>
      </c>
      <c r="AC370" s="100" t="str">
        <f>IF(A370&lt;&gt;"",CHOOSE(10-MIN(9,TRUNC((AA370+0.5)/10)),"A","B","C","D","F","F","F","F","F","F"),"")</f>
        <v>B</v>
      </c>
      <c r="AD370" s="100" t="str">
        <f>IF(A370&lt;&gt;"",IF(OR(AA370+0.5&gt;=93,AA370+0.5&lt;60),"",IF(MOD(AA370+0.5,10)&gt;=7,"+",IF(MOD(AA370+0.5,10)&lt;3,"-",""))),"")</f>
        <v>-</v>
      </c>
      <c r="AE370" s="100">
        <f>IF(A370&lt;&gt;"",SUM(W370:X370,$W$8:$X$8)/SUM($W$2:$X$2)*100,"")</f>
        <v>80</v>
      </c>
      <c r="AF370" s="100" t="str">
        <f>IF(A370&lt;&gt;"",CHOOSE(10-MIN(9,TRUNC((AE370+0.5)/10)),"A","B","C","D","F","F","F","F","F","F"),"")</f>
        <v>B</v>
      </c>
      <c r="AG370" s="100" t="str">
        <f>IF(A370&lt;&gt;"",IF(OR(AE370+0.5&gt;=93,AE370+0.5&lt;60),"",IF(MOD(AE370+0.5,10)&gt;=7,"+",IF(MOD(AE370+0.5,10)&lt;3,"-",""))),"")</f>
        <v>-</v>
      </c>
      <c r="AH370" s="101">
        <f>IF(A370&lt;&gt;"",MIN(MAX(AA370,AE370),AA370+$AH$8,AE370+$AH$8),"")</f>
        <v>80.327868852459019</v>
      </c>
      <c r="AI370" s="100" t="str">
        <f>IF(A370&lt;&gt;"",CHOOSE(10-MIN(9,TRUNC((AH370+0.5)/10)),"A","B","C","D","F","F","F","F","F","F"),"")</f>
        <v>B</v>
      </c>
      <c r="AJ370" s="100" t="str">
        <f>IF(A370&lt;&gt;"",IF(OR(AH370+0.5&gt;=93,AH370+0.5&lt;60),"",IF(MOD(AH370+0.5,10)&gt;=7,"+",IF(MOD(AH370+0.5,10)&lt;3,"-",""))),"")</f>
        <v>-</v>
      </c>
      <c r="AK370" s="100" t="b">
        <f>IF(A370&lt;&gt;"",OR(AI370&lt;&gt;AC370,AJ370&lt;&gt;AD370),"")</f>
        <v>0</v>
      </c>
      <c r="AL370" s="110">
        <f>IF(AND(A370&lt;&gt;"",U370&lt;&gt;""),SUM(U370,$AL$8)/$AL$2*100,"")</f>
        <v>76</v>
      </c>
      <c r="AM370" s="94">
        <f>IF(AND(A370&lt;&gt;"",V370&lt;&gt;""),SUM(V370,$AM$8)/$AM$2*100,"")</f>
        <v>82.307692307692307</v>
      </c>
      <c r="AN370" s="94">
        <f>IF(AND(A370&lt;&gt;"",ISNUMBER(P370),P370&gt;=0),SUM(P370,$AN$8)/$AN$2*100,"")</f>
        <v>80</v>
      </c>
      <c r="AO370" s="94" t="str">
        <f>IF(AND(A370&lt;&gt;"",ISNUMBER(Q370),Q370&gt;=0),SUM(Q370,$AO$8)/$AO$2*100,"")</f>
        <v/>
      </c>
      <c r="AP370" s="94" t="str">
        <f>IF(AND(A370&lt;&gt;"",R370&lt;&gt;""),SUM(R370,$AP$8)/$AP$2*100,"")</f>
        <v/>
      </c>
      <c r="AQ370" s="94">
        <f>IF(AND(A370&lt;&gt;"",ISNUMBER(W370),W370&gt;=0),SUM(W370,$AQ$8)/$AQ$2*100,"")</f>
        <v>80</v>
      </c>
      <c r="AR370" s="94" t="str">
        <f>IF(AND(A370&lt;&gt;"",T370&gt;0,ISNUMBER(T370)),SUM(T370,$AR$8)/$AR$2*100,"")</f>
        <v/>
      </c>
      <c r="AS370" s="94" t="str">
        <f>IF(AND(A370&lt;&gt;"",X370&lt;&gt;""),SUM(X370,$AS$8)/$AS$2*100,"")</f>
        <v/>
      </c>
      <c r="AT370" s="102">
        <f>IF(AND(A370&lt;&gt;"",OR(ISNUMBER(W370),ISNUMBER(X370))),SUM(W370:X370,$AT$8)/$AT$2*100,"")</f>
        <v>80</v>
      </c>
      <c r="AU370" s="94">
        <f>AA370</f>
        <v>80.327868852459019</v>
      </c>
      <c r="AV370" s="94"/>
      <c r="AW370" s="99">
        <f>IF(A370&lt;&gt;"",AE370-AA370,"")</f>
        <v>-0.32786885245901942</v>
      </c>
      <c r="AY370" s="99" t="b">
        <f>S370&gt;R370</f>
        <v>0</v>
      </c>
      <c r="BA370" s="99" t="e">
        <f>AND(AA370&gt;$BA$3,(W370+$W$8)/$W$2&lt;$BB$3,(X370+$X$8)/$X$2&lt;$BB$3)</f>
        <v>#VALUE!</v>
      </c>
      <c r="BB370" s="99" t="e">
        <f>AND(AA370&lt;$BA$3,AND(W370/$W$2&gt;$BB$3,X370/$X$2&gt;$BB$3))</f>
        <v>#VALUE!</v>
      </c>
      <c r="BC370" s="99" t="e">
        <f>AND(AA370&lt;$BA$3,OR(W370/$W$2&gt;$BB$3,X370/$X$2&gt;$BB$3))</f>
        <v>#VALUE!</v>
      </c>
      <c r="BE370" s="100" t="s">
        <v>84</v>
      </c>
    </row>
    <row r="371" spans="1:57" s="27" customFormat="1" ht="12.75" customHeight="1" x14ac:dyDescent="0.2">
      <c r="A371" s="10">
        <v>710235</v>
      </c>
      <c r="B371" s="2">
        <v>4</v>
      </c>
      <c r="C371" s="10">
        <v>20</v>
      </c>
      <c r="D371" s="10">
        <v>24</v>
      </c>
      <c r="E371" s="10"/>
      <c r="F371" s="10"/>
      <c r="G371" s="3"/>
      <c r="H371" s="10"/>
      <c r="I371" s="10"/>
      <c r="J371" s="2">
        <v>30</v>
      </c>
      <c r="K371" s="10">
        <v>49</v>
      </c>
      <c r="L371" s="10">
        <v>47</v>
      </c>
      <c r="M371" s="10"/>
      <c r="N371" s="10"/>
      <c r="O371" s="12"/>
      <c r="P371" s="41">
        <v>101</v>
      </c>
      <c r="Q371" s="41"/>
      <c r="R371" s="2"/>
      <c r="S371" s="10"/>
      <c r="T371" s="13"/>
      <c r="U371" s="7">
        <f t="array" ref="U371">IF(AND(A371&lt;&gt;"",OR(ISNUMBER(B371:I371))),SUM(B371:I371),"")</f>
        <v>48</v>
      </c>
      <c r="V371" s="10">
        <f t="array" ref="V371">IF(AND(A371&lt;&gt;"",OR(ISNUMBER(J371:O371))),SUM(J371:O371),"")</f>
        <v>126</v>
      </c>
      <c r="W371" s="10">
        <f t="array" ref="W371">IF(AND(A371&lt;&gt;"",OR(ISNUMBER(P371),ISNUMBER(Q371))),SUM(MAX(P371:Q371),Q371),"")</f>
        <v>101</v>
      </c>
      <c r="X371" s="10" t="str">
        <f t="array" ref="X371">IF(AND(A371&lt;&gt;"",OR(ISNUMBER(S371),ISNUMBER(T371))),SUM(S371,T371),"")</f>
        <v/>
      </c>
      <c r="Y371" s="13">
        <v>1</v>
      </c>
      <c r="Z371" s="13">
        <f>IF(A371&lt;&gt;"",SUM(U371:Y371),"")</f>
        <v>276</v>
      </c>
      <c r="AA371" s="27">
        <f>IF(A371&lt;&gt;"",(Z371+Normalize_To_Add)/(Point_Total_So_Far)*100,"")</f>
        <v>90.491803278688522</v>
      </c>
      <c r="AB371" s="10">
        <f>IF(A371&lt;&gt;"",RANK(AA371,All_Student_XC),"")</f>
        <v>330</v>
      </c>
      <c r="AC371" s="32" t="str">
        <f>IF(A371&lt;&gt;"",CHOOSE(10-MIN(9,TRUNC((AA371+0.5)/10)),"A","B","C","D","F","F","F","F","F","F"),"")</f>
        <v>A</v>
      </c>
      <c r="AD371" s="32" t="str">
        <f>IF(A371&lt;&gt;"",IF(OR(AA371+0.5&gt;=93,AA371+0.5&lt;60),"",IF(MOD(AA371+0.5,10)&gt;=7,"+",IF(MOD(AA371+0.5,10)&lt;3,"-",""))),"")</f>
        <v>-</v>
      </c>
      <c r="AE371" s="32">
        <f>IF(A371&lt;&gt;"",SUM(W371:X371,$W$8:$X$8)/SUM($W$2:$X$2)*100,"")</f>
        <v>101</v>
      </c>
      <c r="AF371" s="32" t="str">
        <f>IF(A371&lt;&gt;"",CHOOSE(10-MIN(9,TRUNC((AE371+0.5)/10)),"A","B","C","D","F","F","F","F","F","F"),"")</f>
        <v>A</v>
      </c>
      <c r="AG371" s="32" t="str">
        <f>IF(A371&lt;&gt;"",IF(OR(AE371+0.5&gt;=93,AE371+0.5&lt;60),"",IF(MOD(AE371+0.5,10)&gt;=7,"+",IF(MOD(AE371+0.5,10)&lt;3,"-",""))),"")</f>
        <v/>
      </c>
      <c r="AH371" s="36">
        <f>IF(A371&lt;&gt;"",MIN(MAX(AA371,AE371),AA371+$AH$8,AE371+$AH$8),"")</f>
        <v>101</v>
      </c>
      <c r="AI371" s="32" t="str">
        <f>IF(A371&lt;&gt;"",CHOOSE(10-MIN(9,TRUNC((AH371+0.5)/10)),"A","B","C","D","F","F","F","F","F","F"),"")</f>
        <v>A</v>
      </c>
      <c r="AJ371" s="32" t="str">
        <f>IF(A371&lt;&gt;"",IF(OR(AH371+0.5&gt;=93,AH371+0.5&lt;60),"",IF(MOD(AH371+0.5,10)&gt;=7,"+",IF(MOD(AH371+0.5,10)&lt;3,"-",""))),"")</f>
        <v/>
      </c>
      <c r="AK371" s="32" t="b">
        <f>IF(A371&lt;&gt;"",OR(AI371&lt;&gt;AC371,AJ371&lt;&gt;AD371),"")</f>
        <v>1</v>
      </c>
      <c r="AL371" s="84">
        <f>IF(AND(A371&lt;&gt;"",U371&lt;&gt;""),SUM(U371,$AL$8)/$AL$2*100,"")</f>
        <v>64</v>
      </c>
      <c r="AM371" s="24">
        <f>IF(AND(A371&lt;&gt;"",V371&lt;&gt;""),SUM(V371,$AM$8)/$AM$2*100,"")</f>
        <v>96.92307692307692</v>
      </c>
      <c r="AN371" s="24">
        <f>IF(AND(A371&lt;&gt;"",ISNUMBER(P371),P371&gt;=0),SUM(P371,$AN$8)/$AN$2*100,"")</f>
        <v>101</v>
      </c>
      <c r="AO371" s="24" t="str">
        <f>IF(AND(A371&lt;&gt;"",ISNUMBER(Q371),Q371&gt;=0),SUM(Q371,$AO$8)/$AO$2*100,"")</f>
        <v/>
      </c>
      <c r="AP371" s="24" t="str">
        <f>IF(AND(A371&lt;&gt;"",R371&lt;&gt;""),SUM(R371,$AP$8)/$AP$2*100,"")</f>
        <v/>
      </c>
      <c r="AQ371" s="24">
        <f>IF(AND(A371&lt;&gt;"",ISNUMBER(W371),W371&gt;=0),SUM(W371,$AQ$8)/$AQ$2*100,"")</f>
        <v>101</v>
      </c>
      <c r="AR371" s="24" t="str">
        <f>IF(AND(A371&lt;&gt;"",T371&gt;0,ISNUMBER(T371)),SUM(T371,$AR$8)/$AR$2*100,"")</f>
        <v/>
      </c>
      <c r="AS371" s="24" t="str">
        <f>IF(AND(A371&lt;&gt;"",X371&lt;&gt;""),SUM(X371,$AS$8)/$AS$2*100,"")</f>
        <v/>
      </c>
      <c r="AT371" s="89">
        <f>IF(AND(A371&lt;&gt;"",OR(ISNUMBER(W371),ISNUMBER(X371))),SUM(W371:X371,$AT$8)/$AT$2*100,"")</f>
        <v>101</v>
      </c>
      <c r="AU371" s="24">
        <f>AA371</f>
        <v>90.491803278688522</v>
      </c>
      <c r="AV371" s="24"/>
      <c r="AW371" s="27">
        <f>IF(A371&lt;&gt;"",AE371-AA371,"")</f>
        <v>10.508196721311478</v>
      </c>
      <c r="AY371" s="27" t="b">
        <f>S371&gt;R371</f>
        <v>0</v>
      </c>
      <c r="BA371" s="27" t="e">
        <f>AND(AA371&gt;$BA$3,(W371+$W$8)/$W$2&lt;$BB$3,(X371+$X$8)/$X$2&lt;$BB$3)</f>
        <v>#VALUE!</v>
      </c>
      <c r="BB371" s="27" t="e">
        <f>AND(AA371&lt;$BA$3,AND(W371/$W$2&gt;$BB$3,X371/$X$2&gt;$BB$3))</f>
        <v>#VALUE!</v>
      </c>
      <c r="BC371" s="27" t="e">
        <f>AND(AA371&lt;$BA$3,OR(W371/$W$2&gt;$BB$3,X371/$X$2&gt;$BB$3))</f>
        <v>#VALUE!</v>
      </c>
      <c r="BE371" s="32">
        <v>32</v>
      </c>
    </row>
    <row r="372" spans="1:57" s="27" customFormat="1" ht="12.75" customHeight="1" x14ac:dyDescent="0.2">
      <c r="A372" s="10">
        <v>711097</v>
      </c>
      <c r="B372" s="2">
        <v>23</v>
      </c>
      <c r="C372" s="10">
        <v>24</v>
      </c>
      <c r="D372" s="10">
        <v>25</v>
      </c>
      <c r="E372" s="10"/>
      <c r="F372" s="10"/>
      <c r="G372" s="3"/>
      <c r="H372" s="10"/>
      <c r="I372" s="10"/>
      <c r="J372" s="2">
        <v>29</v>
      </c>
      <c r="K372" s="10">
        <v>51</v>
      </c>
      <c r="L372" s="10">
        <v>50</v>
      </c>
      <c r="M372" s="10"/>
      <c r="N372" s="93"/>
      <c r="O372" s="13"/>
      <c r="P372" s="10">
        <v>101</v>
      </c>
      <c r="Q372" s="10"/>
      <c r="R372" s="2"/>
      <c r="S372" s="10"/>
      <c r="T372" s="13"/>
      <c r="U372" s="1">
        <f t="array" ref="U372">IF(AND(A372&lt;&gt;"",OR(ISNUMBER(B372:I372))),SUM(B372:I372),"")</f>
        <v>72</v>
      </c>
      <c r="V372" s="10">
        <f t="array" ref="V372">IF(AND(A372&lt;&gt;"",OR(ISNUMBER(J372:O372))),SUM(J372:O372),"")</f>
        <v>130</v>
      </c>
      <c r="W372" s="10">
        <f t="array" ref="W372">IF(AND(A372&lt;&gt;"",OR(ISNUMBER(P372),ISNUMBER(Q372))),SUM(MAX(P372:Q372),Q372),"")</f>
        <v>101</v>
      </c>
      <c r="X372" s="10" t="str">
        <f t="array" ref="X372">IF(AND(A372&lt;&gt;"",OR(ISNUMBER(S372),ISNUMBER(T372))),SUM(S372,T372),"")</f>
        <v/>
      </c>
      <c r="Y372" s="13">
        <v>1</v>
      </c>
      <c r="Z372" s="13">
        <f>IF(A372&lt;&gt;"",SUM(U372:Y372),"")</f>
        <v>304</v>
      </c>
      <c r="AA372" s="27">
        <f>IF(A372&lt;&gt;"",(Z372+Normalize_To_Add)/(Point_Total_So_Far)*100,"")</f>
        <v>99.672131147540995</v>
      </c>
      <c r="AB372" s="10">
        <f>IF(A372&lt;&gt;"",RANK(AA372,All_Student_XC),"")</f>
        <v>124</v>
      </c>
      <c r="AC372" s="32" t="str">
        <f>IF(A372&lt;&gt;"",CHOOSE(10-MIN(9,TRUNC((AA372+0.5)/10)),"A","B","C","D","F","F","F","F","F","F"),"")</f>
        <v>A</v>
      </c>
      <c r="AD372" s="31" t="str">
        <f>IF(A372&lt;&gt;"",IF(OR(AA372+0.5&gt;=93,AA372+0.5&lt;60),"",IF(MOD(AA372+0.5,10)&gt;=7,"+",IF(MOD(AA372+0.5,10)&lt;3,"-",""))),"")</f>
        <v/>
      </c>
      <c r="AE372" s="32">
        <f>IF(A372&lt;&gt;"",SUM(W372:X372,$W$8:$X$8)/SUM($W$2:$X$2)*100,"")</f>
        <v>101</v>
      </c>
      <c r="AF372" s="32" t="str">
        <f>IF(A372&lt;&gt;"",CHOOSE(10-MIN(9,TRUNC((AE372+0.5)/10)),"A","B","C","D","F","F","F","F","F","F"),"")</f>
        <v>A</v>
      </c>
      <c r="AG372" s="32" t="str">
        <f>IF(A372&lt;&gt;"",IF(OR(AE372+0.5&gt;=93,AE372+0.5&lt;60),"",IF(MOD(AE372+0.5,10)&gt;=7,"+",IF(MOD(AE372+0.5,10)&lt;3,"-",""))),"")</f>
        <v/>
      </c>
      <c r="AH372" s="36">
        <f>IF(A372&lt;&gt;"",MIN(MAX(AA372,AE372),AA372+$AH$8,AE372+$AH$8),"")</f>
        <v>101</v>
      </c>
      <c r="AI372" s="32" t="str">
        <f>IF(A372&lt;&gt;"",CHOOSE(10-MIN(9,TRUNC((AH372+0.5)/10)),"A","B","C","D","F","F","F","F","F","F"),"")</f>
        <v>A</v>
      </c>
      <c r="AJ372" s="32" t="str">
        <f>IF(A372&lt;&gt;"",IF(OR(AH372+0.5&gt;=93,AH372+0.5&lt;60),"",IF(MOD(AH372+0.5,10)&gt;=7,"+",IF(MOD(AH372+0.5,10)&lt;3,"-",""))),"")</f>
        <v/>
      </c>
      <c r="AK372" s="71" t="b">
        <f>IF(A372&lt;&gt;"",OR(AI372&lt;&gt;AC372,AJ372&lt;&gt;AD372),"")</f>
        <v>0</v>
      </c>
      <c r="AL372" s="86">
        <f>IF(AND(A372&lt;&gt;"",U372&lt;&gt;""),SUM(U372,$AL$8)/$AL$2*100,"")</f>
        <v>96</v>
      </c>
      <c r="AM372" s="71">
        <f>IF(AND(A372&lt;&gt;"",V372&lt;&gt;""),SUM(V372,$AM$8)/$AM$2*100,"")</f>
        <v>100</v>
      </c>
      <c r="AN372" s="71">
        <f>IF(AND(A372&lt;&gt;"",ISNUMBER(P372),P372&gt;=0),SUM(P372,$AN$8)/$AN$2*100,"")</f>
        <v>101</v>
      </c>
      <c r="AO372" s="71" t="str">
        <f>IF(AND(A372&lt;&gt;"",ISNUMBER(Q372),Q372&gt;=0),SUM(Q372,$AO$8)/$AO$2*100,"")</f>
        <v/>
      </c>
      <c r="AP372" s="24" t="str">
        <f>IF(AND(A372&lt;&gt;"",R372&lt;&gt;""),SUM(R372,$AP$8)/$AP$2*100,"")</f>
        <v/>
      </c>
      <c r="AQ372" s="24">
        <f>IF(AND(A372&lt;&gt;"",ISNUMBER(W372),W372&gt;=0),SUM(W372,$AQ$8)/$AQ$2*100,"")</f>
        <v>101</v>
      </c>
      <c r="AR372" s="24" t="str">
        <f>IF(AND(A372&lt;&gt;"",T372&gt;0,ISNUMBER(T372)),SUM(T372,$AR$8)/$AR$2*100,"")</f>
        <v/>
      </c>
      <c r="AS372" s="24" t="str">
        <f>IF(AND(A372&lt;&gt;"",X372&lt;&gt;""),SUM(X372,$AS$8)/$AS$2*100,"")</f>
        <v/>
      </c>
      <c r="AT372" s="89">
        <f>IF(AND(A372&lt;&gt;"",OR(ISNUMBER(W372),ISNUMBER(X372))),SUM(W372:X372,$AT$8)/$AT$2*100,"")</f>
        <v>101</v>
      </c>
      <c r="AU372" s="24">
        <f>AA372</f>
        <v>99.672131147540995</v>
      </c>
      <c r="AV372" s="71"/>
      <c r="AW372" s="27">
        <f>IF(A372&lt;&gt;"",AE372-AA372,"")</f>
        <v>1.3278688524590052</v>
      </c>
      <c r="AY372" s="27" t="b">
        <f>S372&gt;R372</f>
        <v>0</v>
      </c>
      <c r="BA372" s="27" t="e">
        <f>AND(AA372&gt;$BA$3,(W372+$W$8)/$W$2&lt;$BB$3,(X372+$X$8)/$X$2&lt;$BB$3)</f>
        <v>#VALUE!</v>
      </c>
      <c r="BB372" s="27" t="e">
        <f>AND(AA372&lt;$BA$3,AND(W372/$W$2&gt;$BB$3,X372/$X$2&gt;$BB$3))</f>
        <v>#VALUE!</v>
      </c>
      <c r="BC372" s="27" t="e">
        <f>AND(AA372&lt;$BA$3,OR(W372/$W$2&gt;$BB$3,X372/$X$2&gt;$BB$3))</f>
        <v>#VALUE!</v>
      </c>
      <c r="BE372" s="32" t="s">
        <v>84</v>
      </c>
    </row>
    <row r="373" spans="1:57" s="27" customFormat="1" ht="12.75" customHeight="1" x14ac:dyDescent="0.2">
      <c r="A373" s="10">
        <v>714236</v>
      </c>
      <c r="B373" s="55">
        <v>25</v>
      </c>
      <c r="C373" s="10">
        <v>23</v>
      </c>
      <c r="D373" s="10">
        <v>25</v>
      </c>
      <c r="E373" s="10"/>
      <c r="F373" s="10"/>
      <c r="G373" s="3"/>
      <c r="H373" s="10"/>
      <c r="I373" s="10"/>
      <c r="J373" s="2">
        <v>32</v>
      </c>
      <c r="K373" s="10">
        <v>52</v>
      </c>
      <c r="L373" s="10">
        <v>51</v>
      </c>
      <c r="M373" s="10"/>
      <c r="N373" s="10"/>
      <c r="O373" s="12"/>
      <c r="P373" s="41">
        <v>101</v>
      </c>
      <c r="Q373" s="41"/>
      <c r="R373" s="2"/>
      <c r="S373" s="10"/>
      <c r="T373" s="13"/>
      <c r="U373" s="7">
        <f t="array" ref="U373">IF(AND(A373&lt;&gt;"",OR(ISNUMBER(B373:I373))),SUM(B373:I373),"")</f>
        <v>73</v>
      </c>
      <c r="V373" s="10">
        <f t="array" ref="V373">IF(AND(A373&lt;&gt;"",OR(ISNUMBER(J373:O373))),SUM(J373:O373),"")</f>
        <v>135</v>
      </c>
      <c r="W373" s="10">
        <f t="array" ref="W373">IF(AND(A373&lt;&gt;"",OR(ISNUMBER(P373),ISNUMBER(Q373))),SUM(MAX(P373:Q373),Q373),"")</f>
        <v>101</v>
      </c>
      <c r="X373" s="10" t="str">
        <f t="array" ref="X373">IF(AND(A373&lt;&gt;"",OR(ISNUMBER(S373),ISNUMBER(T373))),SUM(S373,T373),"")</f>
        <v/>
      </c>
      <c r="Y373" s="13">
        <v>1</v>
      </c>
      <c r="Z373" s="13">
        <f>IF(A373&lt;&gt;"",SUM(U373:Y373),"")</f>
        <v>310</v>
      </c>
      <c r="AA373" s="27">
        <f>IF(A373&lt;&gt;"",(Z373+Normalize_To_Add)/(Point_Total_So_Far)*100,"")</f>
        <v>101.63934426229508</v>
      </c>
      <c r="AB373" s="10">
        <f>IF(A373&lt;&gt;"",RANK(AA373,All_Student_XC),"")</f>
        <v>19</v>
      </c>
      <c r="AC373" s="32" t="str">
        <f>IF(A373&lt;&gt;"",CHOOSE(10-MIN(9,TRUNC((AA373+0.5)/10)),"A","B","C","D","F","F","F","F","F","F"),"")</f>
        <v>A</v>
      </c>
      <c r="AD373" s="32" t="str">
        <f>IF(A373&lt;&gt;"",IF(OR(AA373+0.5&gt;=93,AA373+0.5&lt;60),"",IF(MOD(AA373+0.5,10)&gt;=7,"+",IF(MOD(AA373+0.5,10)&lt;3,"-",""))),"")</f>
        <v/>
      </c>
      <c r="AE373" s="32">
        <f>IF(A373&lt;&gt;"",SUM(W373:X373,$W$8:$X$8)/SUM($W$2:$X$2)*100,"")</f>
        <v>101</v>
      </c>
      <c r="AF373" s="32" t="str">
        <f>IF(A373&lt;&gt;"",CHOOSE(10-MIN(9,TRUNC((AE373+0.5)/10)),"A","B","C","D","F","F","F","F","F","F"),"")</f>
        <v>A</v>
      </c>
      <c r="AG373" s="32" t="str">
        <f>IF(A373&lt;&gt;"",IF(OR(AE373+0.5&gt;=93,AE373+0.5&lt;60),"",IF(MOD(AE373+0.5,10)&gt;=7,"+",IF(MOD(AE373+0.5,10)&lt;3,"-",""))),"")</f>
        <v/>
      </c>
      <c r="AH373" s="36">
        <f>IF(A373&lt;&gt;"",MIN(MAX(AA373,AE373),AA373+$AH$8,AE373+$AH$8),"")</f>
        <v>101.63934426229508</v>
      </c>
      <c r="AI373" s="32" t="str">
        <f>IF(A373&lt;&gt;"",CHOOSE(10-MIN(9,TRUNC((AH373+0.5)/10)),"A","B","C","D","F","F","F","F","F","F"),"")</f>
        <v>A</v>
      </c>
      <c r="AJ373" s="32" t="str">
        <f>IF(A373&lt;&gt;"",IF(OR(AH373+0.5&gt;=93,AH373+0.5&lt;60),"",IF(MOD(AH373+0.5,10)&gt;=7,"+",IF(MOD(AH373+0.5,10)&lt;3,"-",""))),"")</f>
        <v/>
      </c>
      <c r="AK373" s="32" t="b">
        <f>IF(A373&lt;&gt;"",OR(AI373&lt;&gt;AC373,AJ373&lt;&gt;AD373),"")</f>
        <v>0</v>
      </c>
      <c r="AL373" s="84">
        <f>IF(AND(A373&lt;&gt;"",U373&lt;&gt;""),SUM(U373,$AL$8)/$AL$2*100,"")</f>
        <v>97.333333333333343</v>
      </c>
      <c r="AM373" s="24">
        <f>IF(AND(A373&lt;&gt;"",V373&lt;&gt;""),SUM(V373,$AM$8)/$AM$2*100,"")</f>
        <v>103.84615384615385</v>
      </c>
      <c r="AN373" s="24">
        <f>IF(AND(A373&lt;&gt;"",ISNUMBER(P373),P373&gt;=0),SUM(P373,$AN$8)/$AN$2*100,"")</f>
        <v>101</v>
      </c>
      <c r="AO373" s="24" t="str">
        <f>IF(AND(A373&lt;&gt;"",ISNUMBER(Q373),Q373&gt;=0),SUM(Q373,$AO$8)/$AO$2*100,"")</f>
        <v/>
      </c>
      <c r="AP373" s="24" t="str">
        <f>IF(AND(A373&lt;&gt;"",R373&lt;&gt;""),SUM(R373,$AP$8)/$AP$2*100,"")</f>
        <v/>
      </c>
      <c r="AQ373" s="24">
        <f>IF(AND(A373&lt;&gt;"",ISNUMBER(W373),W373&gt;=0),SUM(W373,$AQ$8)/$AQ$2*100,"")</f>
        <v>101</v>
      </c>
      <c r="AR373" s="24" t="str">
        <f>IF(AND(A373&lt;&gt;"",T373&gt;0,ISNUMBER(T373)),SUM(T373,$AR$8)/$AR$2*100,"")</f>
        <v/>
      </c>
      <c r="AS373" s="24" t="str">
        <f>IF(AND(A373&lt;&gt;"",X373&lt;&gt;""),SUM(X373,$AS$8)/$AS$2*100,"")</f>
        <v/>
      </c>
      <c r="AT373" s="89">
        <f>IF(AND(A373&lt;&gt;"",OR(ISNUMBER(W373),ISNUMBER(X373))),SUM(W373:X373,$AT$8)/$AT$2*100,"")</f>
        <v>101</v>
      </c>
      <c r="AU373" s="24">
        <f>AA373</f>
        <v>101.63934426229508</v>
      </c>
      <c r="AV373" s="24"/>
      <c r="AW373" s="27">
        <f>IF(A373&lt;&gt;"",AE373-AA373,"")</f>
        <v>-0.6393442622950829</v>
      </c>
      <c r="AY373" s="27" t="b">
        <f>S373&gt;R373</f>
        <v>0</v>
      </c>
      <c r="BA373" s="27" t="e">
        <f>AND(AA373&gt;$BA$3,(W373+$W$8)/$W$2&lt;$BB$3,(X373+$X$8)/$X$2&lt;$BB$3)</f>
        <v>#VALUE!</v>
      </c>
      <c r="BB373" s="27" t="e">
        <f>AND(AA373&lt;$BA$3,AND(W373/$W$2&gt;$BB$3,X373/$X$2&gt;$BB$3))</f>
        <v>#VALUE!</v>
      </c>
      <c r="BC373" s="27" t="e">
        <f>AND(AA373&lt;$BA$3,OR(W373/$W$2&gt;$BB$3,X373/$X$2&gt;$BB$3))</f>
        <v>#VALUE!</v>
      </c>
      <c r="BE373" s="32">
        <v>32</v>
      </c>
    </row>
    <row r="374" spans="1:57" s="27" customFormat="1" ht="12.75" customHeight="1" x14ac:dyDescent="0.2">
      <c r="A374" s="10">
        <v>717434</v>
      </c>
      <c r="B374" s="2">
        <v>24</v>
      </c>
      <c r="C374" s="10">
        <v>10</v>
      </c>
      <c r="D374" s="10">
        <v>23</v>
      </c>
      <c r="E374" s="10"/>
      <c r="F374" s="10"/>
      <c r="G374" s="10"/>
      <c r="H374" s="10"/>
      <c r="I374" s="10"/>
      <c r="J374" s="2">
        <v>29</v>
      </c>
      <c r="K374" s="10">
        <v>46</v>
      </c>
      <c r="L374" s="10">
        <v>45</v>
      </c>
      <c r="M374" s="10"/>
      <c r="N374" s="93"/>
      <c r="O374" s="13"/>
      <c r="P374" s="10">
        <v>101</v>
      </c>
      <c r="Q374" s="10"/>
      <c r="R374" s="2"/>
      <c r="S374" s="10"/>
      <c r="T374" s="13"/>
      <c r="U374" s="7">
        <f t="array" ref="U374">IF(AND(A374&lt;&gt;"",OR(ISNUMBER(B374:I374))),SUM(B374:I374),"")</f>
        <v>57</v>
      </c>
      <c r="V374" s="10">
        <f t="array" ref="V374">IF(AND(A374&lt;&gt;"",OR(ISNUMBER(J374:O374))),SUM(J374:O374),"")</f>
        <v>120</v>
      </c>
      <c r="W374" s="10">
        <f t="array" ref="W374">IF(AND(A374&lt;&gt;"",OR(ISNUMBER(P374),ISNUMBER(Q374))),SUM(MAX(P374:Q374),Q374),"")</f>
        <v>101</v>
      </c>
      <c r="X374" s="10" t="str">
        <f t="array" ref="X374">IF(AND(A374&lt;&gt;"",OR(ISNUMBER(S374),ISNUMBER(T374))),SUM(S374,T374),"")</f>
        <v/>
      </c>
      <c r="Y374" s="13">
        <v>1</v>
      </c>
      <c r="Z374" s="13">
        <f>IF(A374&lt;&gt;"",SUM(U374:Y374),"")</f>
        <v>279</v>
      </c>
      <c r="AA374" s="27">
        <f>IF(A374&lt;&gt;"",(Z374+Normalize_To_Add)/(Point_Total_So_Far)*100,"")</f>
        <v>91.475409836065566</v>
      </c>
      <c r="AB374" s="10">
        <f>IF(A374&lt;&gt;"",RANK(AA374,All_Student_XC),"")</f>
        <v>315</v>
      </c>
      <c r="AC374" s="32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>-</v>
      </c>
      <c r="AE374" s="32">
        <f>IF(A374&lt;&gt;"",SUM(W374:X374,$W$8:$X$8)/SUM($W$2:$X$2)*100,"")</f>
        <v>101</v>
      </c>
      <c r="AF374" s="32" t="str">
        <f>IF(A374&lt;&gt;"",CHOOSE(10-MIN(9,TRUNC((AE374+0.5)/10)),"A","B","C","D","F","F","F","F","F","F"),"")</f>
        <v>A</v>
      </c>
      <c r="AG374" s="32" t="str">
        <f>IF(A374&lt;&gt;"",IF(OR(AE374+0.5&gt;=93,AE374+0.5&lt;60),"",IF(MOD(AE374+0.5,10)&gt;=7,"+",IF(MOD(AE374+0.5,10)&lt;3,"-",""))),"")</f>
        <v/>
      </c>
      <c r="AH374" s="36">
        <f>IF(A374&lt;&gt;"",MIN(MAX(AA374,AE374),AA374+$AH$8,AE374+$AH$8),"")</f>
        <v>101</v>
      </c>
      <c r="AI374" s="32" t="str">
        <f>IF(A374&lt;&gt;"",CHOOSE(10-MIN(9,TRUNC((AH374+0.5)/10)),"A","B","C","D","F","F","F","F","F","F"),"")</f>
        <v>A</v>
      </c>
      <c r="AJ374" s="32" t="str">
        <f>IF(A374&lt;&gt;"",IF(OR(AH374+0.5&gt;=93,AH374+0.5&lt;60),"",IF(MOD(AH374+0.5,10)&gt;=7,"+",IF(MOD(AH374+0.5,10)&lt;3,"-",""))),"")</f>
        <v/>
      </c>
      <c r="AK374" s="71" t="b">
        <f>IF(A374&lt;&gt;"",OR(AI374&lt;&gt;AC374,AJ374&lt;&gt;AD374),"")</f>
        <v>1</v>
      </c>
      <c r="AL374" s="86">
        <f>IF(AND(A374&lt;&gt;"",U374&lt;&gt;""),SUM(U374,$AL$8)/$AL$2*100,"")</f>
        <v>76</v>
      </c>
      <c r="AM374" s="71">
        <f>IF(AND(A374&lt;&gt;"",V374&lt;&gt;""),SUM(V374,$AM$8)/$AM$2*100,"")</f>
        <v>92.307692307692307</v>
      </c>
      <c r="AN374" s="71">
        <f>IF(AND(A374&lt;&gt;"",ISNUMBER(P374),P374&gt;=0),SUM(P374,$AN$8)/$AN$2*100,"")</f>
        <v>101</v>
      </c>
      <c r="AO374" s="71" t="str">
        <f>IF(AND(A374&lt;&gt;"",ISNUMBER(Q374),Q374&gt;=0),SUM(Q374,$AO$8)/$AO$2*100,"")</f>
        <v/>
      </c>
      <c r="AP374" s="24" t="str">
        <f>IF(AND(A374&lt;&gt;"",R374&lt;&gt;""),SUM(R374,$AP$8)/$AP$2*100,"")</f>
        <v/>
      </c>
      <c r="AQ374" s="24">
        <f>IF(AND(A374&lt;&gt;"",ISNUMBER(W374),W374&gt;=0),SUM(W374,$AQ$8)/$AQ$2*100,"")</f>
        <v>101</v>
      </c>
      <c r="AR374" s="24" t="str">
        <f>IF(AND(A374&lt;&gt;"",T374&gt;0,ISNUMBER(T374)),SUM(T374,$AR$8)/$AR$2*100,"")</f>
        <v/>
      </c>
      <c r="AS374" s="24" t="str">
        <f>IF(AND(A374&lt;&gt;"",X374&lt;&gt;""),SUM(X374,$AS$8)/$AS$2*100,"")</f>
        <v/>
      </c>
      <c r="AT374" s="89">
        <f>IF(AND(A374&lt;&gt;"",OR(ISNUMBER(W374),ISNUMBER(X374))),SUM(W374:X374,$AT$8)/$AT$2*100,"")</f>
        <v>101</v>
      </c>
      <c r="AU374" s="24">
        <f>AA374</f>
        <v>91.475409836065566</v>
      </c>
      <c r="AV374" s="71"/>
      <c r="AW374" s="27">
        <f>IF(A374&lt;&gt;"",AE374-AA374,"")</f>
        <v>9.5245901639344339</v>
      </c>
      <c r="AY374" s="27" t="b">
        <f>S374&gt;R374</f>
        <v>0</v>
      </c>
      <c r="BA374" s="27" t="e">
        <f>AND(AA374&gt;$BA$3,(W374+$W$8)/$W$2&lt;$BB$3,(X374+$X$8)/$X$2&lt;$BB$3)</f>
        <v>#VALUE!</v>
      </c>
      <c r="BB374" s="27" t="e">
        <f>AND(AA374&lt;$BA$3,AND(W374/$W$2&gt;$BB$3,X374/$X$2&gt;$BB$3))</f>
        <v>#VALUE!</v>
      </c>
      <c r="BC374" s="27" t="e">
        <f>AND(AA374&lt;$BA$3,OR(W374/$W$2&gt;$BB$3,X374/$X$2&gt;$BB$3))</f>
        <v>#VALUE!</v>
      </c>
      <c r="BE374" s="32" t="s">
        <v>84</v>
      </c>
    </row>
    <row r="375" spans="1:57" s="27" customFormat="1" ht="12.75" customHeight="1" x14ac:dyDescent="0.2">
      <c r="A375" s="10">
        <v>717464</v>
      </c>
      <c r="B375" s="2">
        <v>23</v>
      </c>
      <c r="C375" s="10">
        <v>23</v>
      </c>
      <c r="D375" s="10">
        <v>25</v>
      </c>
      <c r="E375" s="10"/>
      <c r="F375" s="10"/>
      <c r="G375" s="10"/>
      <c r="H375" s="10"/>
      <c r="I375" s="10"/>
      <c r="J375" s="2">
        <v>30</v>
      </c>
      <c r="K375" s="10">
        <v>52</v>
      </c>
      <c r="L375" s="10">
        <v>52</v>
      </c>
      <c r="M375" s="10"/>
      <c r="N375" s="93"/>
      <c r="O375" s="13"/>
      <c r="P375" s="10">
        <v>101</v>
      </c>
      <c r="Q375" s="10"/>
      <c r="R375" s="2"/>
      <c r="S375" s="10"/>
      <c r="T375" s="13"/>
      <c r="U375" s="7">
        <f t="array" ref="U375">IF(AND(A375&lt;&gt;"",OR(ISNUMBER(B375:I375))),SUM(B375:I375),"")</f>
        <v>71</v>
      </c>
      <c r="V375" s="10">
        <f t="array" ref="V375">IF(AND(A375&lt;&gt;"",OR(ISNUMBER(J375:O375))),SUM(J375:O375),"")</f>
        <v>134</v>
      </c>
      <c r="W375" s="10">
        <f t="array" ref="W375">IF(AND(A375&lt;&gt;"",OR(ISNUMBER(P375),ISNUMBER(Q375))),SUM(MAX(P375:Q375),Q375),"")</f>
        <v>101</v>
      </c>
      <c r="X375" s="10" t="str">
        <f t="array" ref="X375">IF(AND(A375&lt;&gt;"",OR(ISNUMBER(S375),ISNUMBER(T375))),SUM(S375,T375),"")</f>
        <v/>
      </c>
      <c r="Y375" s="13">
        <v>1</v>
      </c>
      <c r="Z375" s="13">
        <f>IF(A375&lt;&gt;"",SUM(U375:Y375),"")</f>
        <v>307</v>
      </c>
      <c r="AA375" s="27">
        <f>IF(A375&lt;&gt;"",(Z375+Normalize_To_Add)/(Point_Total_So_Far)*100,"")</f>
        <v>100.65573770491802</v>
      </c>
      <c r="AB375" s="10">
        <f>IF(A375&lt;&gt;"",RANK(AA375,All_Student_XC),"")</f>
        <v>72</v>
      </c>
      <c r="AC375" s="32" t="str">
        <f>IF(A375&lt;&gt;"",CHOOSE(10-MIN(9,TRUNC((AA375+0.5)/10)),"A","B","C","D","F","F","F","F","F","F"),"")</f>
        <v>A</v>
      </c>
      <c r="AD375" s="31" t="str">
        <f>IF(A375&lt;&gt;"",IF(OR(AA375+0.5&gt;=93,AA375+0.5&lt;60),"",IF(MOD(AA375+0.5,10)&gt;=7,"+",IF(MOD(AA375+0.5,10)&lt;3,"-",""))),"")</f>
        <v/>
      </c>
      <c r="AE375" s="32">
        <f>IF(A375&lt;&gt;"",SUM(W375:X375,$W$8:$X$8)/SUM($W$2:$X$2)*100,"")</f>
        <v>101</v>
      </c>
      <c r="AF375" s="32" t="str">
        <f>IF(A375&lt;&gt;"",CHOOSE(10-MIN(9,TRUNC((AE375+0.5)/10)),"A","B","C","D","F","F","F","F","F","F"),"")</f>
        <v>A</v>
      </c>
      <c r="AG375" s="32" t="str">
        <f>IF(A375&lt;&gt;"",IF(OR(AE375+0.5&gt;=93,AE375+0.5&lt;60),"",IF(MOD(AE375+0.5,10)&gt;=7,"+",IF(MOD(AE375+0.5,10)&lt;3,"-",""))),"")</f>
        <v/>
      </c>
      <c r="AH375" s="36">
        <f>IF(A375&lt;&gt;"",MIN(MAX(AA375,AE375),AA375+$AH$8,AE375+$AH$8),"")</f>
        <v>101</v>
      </c>
      <c r="AI375" s="32" t="str">
        <f>IF(A375&lt;&gt;"",CHOOSE(10-MIN(9,TRUNC((AH375+0.5)/10)),"A","B","C","D","F","F","F","F","F","F"),"")</f>
        <v>A</v>
      </c>
      <c r="AJ375" s="32" t="str">
        <f>IF(A375&lt;&gt;"",IF(OR(AH375+0.5&gt;=93,AH375+0.5&lt;60),"",IF(MOD(AH375+0.5,10)&gt;=7,"+",IF(MOD(AH375+0.5,10)&lt;3,"-",""))),"")</f>
        <v/>
      </c>
      <c r="AK375" s="71" t="b">
        <f>IF(A375&lt;&gt;"",OR(AI375&lt;&gt;AC375,AJ375&lt;&gt;AD375),"")</f>
        <v>0</v>
      </c>
      <c r="AL375" s="86">
        <f>IF(AND(A375&lt;&gt;"",U375&lt;&gt;""),SUM(U375,$AL$8)/$AL$2*100,"")</f>
        <v>94.666666666666671</v>
      </c>
      <c r="AM375" s="71">
        <f>IF(AND(A375&lt;&gt;"",V375&lt;&gt;""),SUM(V375,$AM$8)/$AM$2*100,"")</f>
        <v>103.07692307692307</v>
      </c>
      <c r="AN375" s="71">
        <f>IF(AND(A375&lt;&gt;"",ISNUMBER(P375),P375&gt;=0),SUM(P375,$AN$8)/$AN$2*100,"")</f>
        <v>101</v>
      </c>
      <c r="AO375" s="71" t="str">
        <f>IF(AND(A375&lt;&gt;"",ISNUMBER(Q375),Q375&gt;=0),SUM(Q375,$AO$8)/$AO$2*100,"")</f>
        <v/>
      </c>
      <c r="AP375" s="24" t="str">
        <f>IF(AND(A375&lt;&gt;"",R375&lt;&gt;""),SUM(R375,$AP$8)/$AP$2*100,"")</f>
        <v/>
      </c>
      <c r="AQ375" s="24">
        <f>IF(AND(A375&lt;&gt;"",ISNUMBER(W375),W375&gt;=0),SUM(W375,$AQ$8)/$AQ$2*100,"")</f>
        <v>101</v>
      </c>
      <c r="AR375" s="24" t="str">
        <f>IF(AND(A375&lt;&gt;"",T375&gt;0,ISNUMBER(T375)),SUM(T375,$AR$8)/$AR$2*100,"")</f>
        <v/>
      </c>
      <c r="AS375" s="24" t="str">
        <f>IF(AND(A375&lt;&gt;"",X375&lt;&gt;""),SUM(X375,$AS$8)/$AS$2*100,"")</f>
        <v/>
      </c>
      <c r="AT375" s="89">
        <f>IF(AND(A375&lt;&gt;"",OR(ISNUMBER(W375),ISNUMBER(X375))),SUM(W375:X375,$AT$8)/$AT$2*100,"")</f>
        <v>101</v>
      </c>
      <c r="AU375" s="24">
        <f>AA375</f>
        <v>100.65573770491802</v>
      </c>
      <c r="AV375" s="71"/>
      <c r="AW375" s="27">
        <f>IF(A375&lt;&gt;"",AE375-AA375,"")</f>
        <v>0.34426229508197537</v>
      </c>
      <c r="AY375" s="27" t="b">
        <f>S375&gt;R375</f>
        <v>0</v>
      </c>
      <c r="BA375" s="27" t="e">
        <f>AND(AA375&gt;$BA$3,(W375+$W$8)/$W$2&lt;$BB$3,(X375+$X$8)/$X$2&lt;$BB$3)</f>
        <v>#VALUE!</v>
      </c>
      <c r="BB375" s="27" t="e">
        <f>AND(AA375&lt;$BA$3,AND(W375/$W$2&gt;$BB$3,X375/$X$2&gt;$BB$3))</f>
        <v>#VALUE!</v>
      </c>
      <c r="BC375" s="27" t="e">
        <f>AND(AA375&lt;$BA$3,OR(W375/$W$2&gt;$BB$3,X375/$X$2&gt;$BB$3))</f>
        <v>#VALUE!</v>
      </c>
      <c r="BE375" s="32">
        <v>32</v>
      </c>
    </row>
    <row r="376" spans="1:57" s="27" customFormat="1" ht="12.75" customHeight="1" x14ac:dyDescent="0.2">
      <c r="A376" s="10">
        <v>717830</v>
      </c>
      <c r="B376" s="2">
        <v>24</v>
      </c>
      <c r="C376" s="10">
        <v>23</v>
      </c>
      <c r="D376" s="10">
        <v>25</v>
      </c>
      <c r="E376" s="10"/>
      <c r="F376" s="10"/>
      <c r="G376" s="10"/>
      <c r="H376" s="10"/>
      <c r="I376" s="10"/>
      <c r="J376" s="2">
        <v>32</v>
      </c>
      <c r="K376" s="10">
        <v>52</v>
      </c>
      <c r="L376" s="10">
        <v>52</v>
      </c>
      <c r="M376" s="10"/>
      <c r="N376" s="93"/>
      <c r="O376" s="13"/>
      <c r="P376" s="10">
        <v>101</v>
      </c>
      <c r="Q376" s="10"/>
      <c r="R376" s="2"/>
      <c r="S376" s="10"/>
      <c r="T376" s="13"/>
      <c r="U376" s="7">
        <f t="array" ref="U376">IF(AND(A376&lt;&gt;"",OR(ISNUMBER(B376:I376))),SUM(B376:I376),"")</f>
        <v>72</v>
      </c>
      <c r="V376" s="10">
        <f t="array" ref="V376">IF(AND(A376&lt;&gt;"",OR(ISNUMBER(J376:O376))),SUM(J376:O376),"")</f>
        <v>136</v>
      </c>
      <c r="W376" s="10">
        <f t="array" ref="W376">IF(AND(A376&lt;&gt;"",OR(ISNUMBER(P376),ISNUMBER(Q376))),SUM(MAX(P376:Q376),Q376),"")</f>
        <v>101</v>
      </c>
      <c r="X376" s="10" t="str">
        <f t="array" ref="X376">IF(AND(A376&lt;&gt;"",OR(ISNUMBER(S376),ISNUMBER(T376))),SUM(S376,T376),"")</f>
        <v/>
      </c>
      <c r="Y376" s="13">
        <v>1</v>
      </c>
      <c r="Z376" s="13">
        <f>IF(A376&lt;&gt;"",SUM(U376:Y376),"")</f>
        <v>310</v>
      </c>
      <c r="AA376" s="27">
        <f>IF(A376&lt;&gt;"",(Z376+Normalize_To_Add)/(Point_Total_So_Far)*100,"")</f>
        <v>101.63934426229508</v>
      </c>
      <c r="AB376" s="10">
        <f>IF(A376&lt;&gt;"",RANK(AA376,All_Student_XC),"")</f>
        <v>19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>
        <f>IF(A376&lt;&gt;"",SUM(W376:X376,$W$8:$X$8)/SUM($W$2:$X$2)*100,"")</f>
        <v>101</v>
      </c>
      <c r="AF376" s="32" t="str">
        <f>IF(A376&lt;&gt;"",CHOOSE(10-MIN(9,TRUNC((AE376+0.5)/10)),"A","B","C","D","F","F","F","F","F","F"),"")</f>
        <v>A</v>
      </c>
      <c r="AG376" s="32" t="str">
        <f>IF(A376&lt;&gt;"",IF(OR(AE376+0.5&gt;=93,AE376+0.5&lt;60),"",IF(MOD(AE376+0.5,10)&gt;=7,"+",IF(MOD(AE376+0.5,10)&lt;3,"-",""))),"")</f>
        <v/>
      </c>
      <c r="AH376" s="36">
        <f>IF(A376&lt;&gt;"",MIN(MAX(AA376,AE376),AA376+$AH$8,AE376+$AH$8),"")</f>
        <v>101.63934426229508</v>
      </c>
      <c r="AI376" s="32" t="str">
        <f>IF(A376&lt;&gt;"",CHOOSE(10-MIN(9,TRUNC((AH376+0.5)/10)),"A","B","C","D","F","F","F","F","F","F"),"")</f>
        <v>A</v>
      </c>
      <c r="AJ376" s="32" t="str">
        <f>IF(A376&lt;&gt;"",IF(OR(AH376+0.5&gt;=93,AH376+0.5&lt;60),"",IF(MOD(AH376+0.5,10)&gt;=7,"+",IF(MOD(AH376+0.5,10)&lt;3,"-",""))),"")</f>
        <v/>
      </c>
      <c r="AK376" s="71" t="b">
        <f>IF(A376&lt;&gt;"",OR(AI376&lt;&gt;AC376,AJ376&lt;&gt;AD376),"")</f>
        <v>0</v>
      </c>
      <c r="AL376" s="86">
        <f>IF(AND(A376&lt;&gt;"",U376&lt;&gt;""),SUM(U376,$AL$8)/$AL$2*100,"")</f>
        <v>96</v>
      </c>
      <c r="AM376" s="71">
        <f>IF(AND(A376&lt;&gt;"",V376&lt;&gt;""),SUM(V376,$AM$8)/$AM$2*100,"")</f>
        <v>104.61538461538463</v>
      </c>
      <c r="AN376" s="71">
        <f>IF(AND(A376&lt;&gt;"",ISNUMBER(P376),P376&gt;=0),SUM(P376,$AN$8)/$AN$2*100,"")</f>
        <v>101</v>
      </c>
      <c r="AO376" s="71" t="str">
        <f>IF(AND(A376&lt;&gt;"",ISNUMBER(Q376),Q376&gt;=0),SUM(Q376,$AO$8)/$AO$2*100,"")</f>
        <v/>
      </c>
      <c r="AP376" s="24" t="str">
        <f>IF(AND(A376&lt;&gt;"",R376&lt;&gt;""),SUM(R376,$AP$8)/$AP$2*100,"")</f>
        <v/>
      </c>
      <c r="AQ376" s="24">
        <f>IF(AND(A376&lt;&gt;"",ISNUMBER(W376),W376&gt;=0),SUM(W376,$AQ$8)/$AQ$2*100,"")</f>
        <v>101</v>
      </c>
      <c r="AR376" s="24" t="str">
        <f>IF(AND(A376&lt;&gt;"",T376&gt;0,ISNUMBER(T376)),SUM(T376,$AR$8)/$AR$2*100,"")</f>
        <v/>
      </c>
      <c r="AS376" s="24" t="str">
        <f>IF(AND(A376&lt;&gt;"",X376&lt;&gt;""),SUM(X376,$AS$8)/$AS$2*100,"")</f>
        <v/>
      </c>
      <c r="AT376" s="89">
        <f>IF(AND(A376&lt;&gt;"",OR(ISNUMBER(W376),ISNUMBER(X376))),SUM(W376:X376,$AT$8)/$AT$2*100,"")</f>
        <v>101</v>
      </c>
      <c r="AU376" s="24">
        <f>AA376</f>
        <v>101.63934426229508</v>
      </c>
      <c r="AV376" s="71"/>
      <c r="AW376" s="27">
        <f>IF(A376&lt;&gt;"",AE376-AA376,"")</f>
        <v>-0.6393442622950829</v>
      </c>
      <c r="AY376" s="27" t="b">
        <f>S376&gt;R376</f>
        <v>0</v>
      </c>
      <c r="BA376" s="27" t="e">
        <f>AND(AA376&gt;$BA$3,(W376+$W$8)/$W$2&lt;$BB$3,(X376+$X$8)/$X$2&lt;$BB$3)</f>
        <v>#VALUE!</v>
      </c>
      <c r="BB376" s="27" t="e">
        <f>AND(AA376&lt;$BA$3,AND(W376/$W$2&gt;$BB$3,X376/$X$2&gt;$BB$3))</f>
        <v>#VALUE!</v>
      </c>
      <c r="BC376" s="27" t="e">
        <f>AND(AA376&lt;$BA$3,OR(W376/$W$2&gt;$BB$3,X376/$X$2&gt;$BB$3))</f>
        <v>#VALUE!</v>
      </c>
      <c r="BE376" s="32" t="s">
        <v>84</v>
      </c>
    </row>
    <row r="377" spans="1:57" s="27" customFormat="1" ht="12.75" customHeight="1" x14ac:dyDescent="0.2">
      <c r="A377" s="10">
        <v>718700</v>
      </c>
      <c r="B377" s="2">
        <v>24</v>
      </c>
      <c r="C377" s="10">
        <v>20</v>
      </c>
      <c r="D377" s="10">
        <v>25</v>
      </c>
      <c r="E377" s="10"/>
      <c r="F377" s="10"/>
      <c r="G377" s="10"/>
      <c r="H377" s="10"/>
      <c r="I377" s="10"/>
      <c r="J377" s="2">
        <v>31</v>
      </c>
      <c r="K377" s="10">
        <v>50</v>
      </c>
      <c r="L377" s="10">
        <v>52</v>
      </c>
      <c r="M377" s="10"/>
      <c r="N377" s="93"/>
      <c r="O377" s="13"/>
      <c r="P377" s="10">
        <v>20</v>
      </c>
      <c r="Q377" s="10"/>
      <c r="R377" s="2"/>
      <c r="S377" s="10"/>
      <c r="T377" s="13"/>
      <c r="U377" s="7">
        <f t="array" ref="U377">IF(AND(A377&lt;&gt;"",OR(ISNUMBER(B377:I377))),SUM(B377:I377),"")</f>
        <v>69</v>
      </c>
      <c r="V377" s="10">
        <f t="array" ref="V377">IF(AND(A377&lt;&gt;"",OR(ISNUMBER(J377:O377))),SUM(J377:O377),"")</f>
        <v>133</v>
      </c>
      <c r="W377" s="10">
        <f t="array" ref="W377">IF(AND(A377&lt;&gt;"",OR(ISNUMBER(P377),ISNUMBER(Q377))),SUM(MAX(P377:Q377),Q377),"")</f>
        <v>20</v>
      </c>
      <c r="X377" s="10" t="str">
        <f t="array" ref="X377">IF(AND(A377&lt;&gt;"",OR(ISNUMBER(S377),ISNUMBER(T377))),SUM(S377,T377),"")</f>
        <v/>
      </c>
      <c r="Y377" s="13">
        <v>1</v>
      </c>
      <c r="Z377" s="13">
        <f>IF(A377&lt;&gt;"",SUM(U377:Y377),"")</f>
        <v>223</v>
      </c>
      <c r="AA377" s="27">
        <f>IF(A377&lt;&gt;"",(Z377+Normalize_To_Add)/(Point_Total_So_Far)*100,"")</f>
        <v>73.114754098360663</v>
      </c>
      <c r="AB377" s="10">
        <f>IF(A377&lt;&gt;"",RANK(AA377,All_Student_XC),"")</f>
        <v>442</v>
      </c>
      <c r="AC377" s="32" t="str">
        <f>IF(A377&lt;&gt;"",CHOOSE(10-MIN(9,TRUNC((AA377+0.5)/10)),"A","B","C","D","F","F","F","F","F","F"),"")</f>
        <v>C</v>
      </c>
      <c r="AD377" s="31" t="str">
        <f>IF(A377&lt;&gt;"",IF(OR(AA377+0.5&gt;=93,AA377+0.5&lt;60),"",IF(MOD(AA377+0.5,10)&gt;=7,"+",IF(MOD(AA377+0.5,10)&lt;3,"-",""))),"")</f>
        <v/>
      </c>
      <c r="AE377" s="32">
        <f>IF(A377&lt;&gt;"",SUM(W377:X377,$W$8:$X$8)/SUM($W$2:$X$2)*100,"")</f>
        <v>20</v>
      </c>
      <c r="AF377" s="32" t="str">
        <f>IF(A377&lt;&gt;"",CHOOSE(10-MIN(9,TRUNC((AE377+0.5)/10)),"A","B","C","D","F","F","F","F","F","F"),"")</f>
        <v>F</v>
      </c>
      <c r="AG377" s="32" t="str">
        <f>IF(A377&lt;&gt;"",IF(OR(AE377+0.5&gt;=93,AE377+0.5&lt;60),"",IF(MOD(AE377+0.5,10)&gt;=7,"+",IF(MOD(AE377+0.5,10)&lt;3,"-",""))),"")</f>
        <v/>
      </c>
      <c r="AH377" s="36">
        <f>IF(A377&lt;&gt;"",MIN(MAX(AA377,AE377),AA377+$AH$8,AE377+$AH$8),"")</f>
        <v>73.114754098360663</v>
      </c>
      <c r="AI377" s="32" t="str">
        <f>IF(A377&lt;&gt;"",CHOOSE(10-MIN(9,TRUNC((AH377+0.5)/10)),"A","B","C","D","F","F","F","F","F","F"),"")</f>
        <v>C</v>
      </c>
      <c r="AJ377" s="32" t="str">
        <f>IF(A377&lt;&gt;"",IF(OR(AH377+0.5&gt;=93,AH377+0.5&lt;60),"",IF(MOD(AH377+0.5,10)&gt;=7,"+",IF(MOD(AH377+0.5,10)&lt;3,"-",""))),"")</f>
        <v/>
      </c>
      <c r="AK377" s="71" t="b">
        <f>IF(A377&lt;&gt;"",OR(AI377&lt;&gt;AC377,AJ377&lt;&gt;AD377),"")</f>
        <v>0</v>
      </c>
      <c r="AL377" s="86">
        <f>IF(AND(A377&lt;&gt;"",U377&lt;&gt;""),SUM(U377,$AL$8)/$AL$2*100,"")</f>
        <v>92</v>
      </c>
      <c r="AM377" s="71">
        <f>IF(AND(A377&lt;&gt;"",V377&lt;&gt;""),SUM(V377,$AM$8)/$AM$2*100,"")</f>
        <v>102.30769230769229</v>
      </c>
      <c r="AN377" s="71">
        <f>IF(AND(A377&lt;&gt;"",ISNUMBER(P377),P377&gt;=0),SUM(P377,$AN$8)/$AN$2*100,"")</f>
        <v>20</v>
      </c>
      <c r="AO377" s="71" t="str">
        <f>IF(AND(A377&lt;&gt;"",ISNUMBER(Q377),Q377&gt;=0),SUM(Q377,$AO$8)/$AO$2*100,"")</f>
        <v/>
      </c>
      <c r="AP377" s="24" t="str">
        <f>IF(AND(A377&lt;&gt;"",R377&lt;&gt;""),SUM(R377,$AP$8)/$AP$2*100,"")</f>
        <v/>
      </c>
      <c r="AQ377" s="24">
        <f>IF(AND(A377&lt;&gt;"",ISNUMBER(W377),W377&gt;=0),SUM(W377,$AQ$8)/$AQ$2*100,"")</f>
        <v>20</v>
      </c>
      <c r="AR377" s="24" t="str">
        <f>IF(AND(A377&lt;&gt;"",T377&gt;0,ISNUMBER(T377)),SUM(T377,$AR$8)/$AR$2*100,"")</f>
        <v/>
      </c>
      <c r="AS377" s="24" t="str">
        <f>IF(AND(A377&lt;&gt;"",X377&lt;&gt;""),SUM(X377,$AS$8)/$AS$2*100,"")</f>
        <v/>
      </c>
      <c r="AT377" s="89">
        <f>IF(AND(A377&lt;&gt;"",OR(ISNUMBER(W377),ISNUMBER(X377))),SUM(W377:X377,$AT$8)/$AT$2*100,"")</f>
        <v>20</v>
      </c>
      <c r="AU377" s="24">
        <f>AA377</f>
        <v>73.114754098360663</v>
      </c>
      <c r="AV377" s="71"/>
      <c r="AW377" s="27">
        <f>IF(A377&lt;&gt;"",AE377-AA377,"")</f>
        <v>-53.114754098360663</v>
      </c>
      <c r="AY377" s="27" t="b">
        <f>S377&gt;R377</f>
        <v>0</v>
      </c>
      <c r="BA377" s="27" t="e">
        <f>AND(AA377&gt;$BA$3,(W377+$W$8)/$W$2&lt;$BB$3,(X377+$X$8)/$X$2&lt;$BB$3)</f>
        <v>#VALUE!</v>
      </c>
      <c r="BB377" s="27" t="e">
        <f>AND(AA377&lt;$BA$3,AND(W377/$W$2&gt;$BB$3,X377/$X$2&gt;$BB$3))</f>
        <v>#VALUE!</v>
      </c>
      <c r="BC377" s="27" t="e">
        <f>AND(AA377&lt;$BA$3,OR(W377/$W$2&gt;$BB$3,X377/$X$2&gt;$BB$3))</f>
        <v>#VALUE!</v>
      </c>
      <c r="BE377" s="32" t="s">
        <v>84</v>
      </c>
    </row>
    <row r="378" spans="1:57" s="27" customFormat="1" ht="12.75" customHeight="1" x14ac:dyDescent="0.2">
      <c r="A378" s="10">
        <v>719806</v>
      </c>
      <c r="B378" s="2">
        <v>22</v>
      </c>
      <c r="C378" s="10">
        <v>24</v>
      </c>
      <c r="D378" s="10">
        <v>25</v>
      </c>
      <c r="E378" s="10"/>
      <c r="F378" s="10"/>
      <c r="G378" s="10"/>
      <c r="H378" s="10"/>
      <c r="I378" s="10"/>
      <c r="J378" s="2">
        <v>32</v>
      </c>
      <c r="K378" s="10">
        <v>52</v>
      </c>
      <c r="L378" s="10">
        <v>43</v>
      </c>
      <c r="M378" s="10"/>
      <c r="N378" s="93"/>
      <c r="O378" s="13"/>
      <c r="P378" s="7">
        <v>101</v>
      </c>
      <c r="Q378" s="10"/>
      <c r="R378" s="2"/>
      <c r="S378" s="10"/>
      <c r="T378" s="13"/>
      <c r="U378" s="7">
        <f t="array" ref="U378">IF(AND(A378&lt;&gt;"",OR(ISNUMBER(B378:I378))),SUM(B378:I378),"")</f>
        <v>71</v>
      </c>
      <c r="V378" s="10">
        <f t="array" ref="V378">IF(AND(A378&lt;&gt;"",OR(ISNUMBER(J378:O378))),SUM(J378:O378),"")</f>
        <v>127</v>
      </c>
      <c r="W378" s="10">
        <f t="array" ref="W378">IF(AND(A378&lt;&gt;"",OR(ISNUMBER(P378),ISNUMBER(Q378))),SUM(MAX(P378:Q378),Q378),"")</f>
        <v>101</v>
      </c>
      <c r="X378" s="10" t="str">
        <f t="array" ref="X378">IF(AND(A378&lt;&gt;"",OR(ISNUMBER(S378),ISNUMBER(T378))),SUM(S378,T378),"")</f>
        <v/>
      </c>
      <c r="Y378" s="13">
        <v>1</v>
      </c>
      <c r="Z378" s="13">
        <f>IF(A378&lt;&gt;"",SUM(U378:Y378),"")</f>
        <v>300</v>
      </c>
      <c r="AA378" s="27">
        <f>IF(A378&lt;&gt;"",(Z378+Normalize_To_Add)/(Point_Total_So_Far)*100,"")</f>
        <v>98.360655737704917</v>
      </c>
      <c r="AB378" s="10">
        <f>IF(A378&lt;&gt;"",RANK(AA378,All_Student_XC),"")</f>
        <v>186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>
        <f>IF(A378&lt;&gt;"",SUM(W378:X378,$W$8:$X$8)/SUM($W$2:$X$2)*100,"")</f>
        <v>101</v>
      </c>
      <c r="AF378" s="32" t="str">
        <f>IF(A378&lt;&gt;"",CHOOSE(10-MIN(9,TRUNC((AE378+0.5)/10)),"A","B","C","D","F","F","F","F","F","F"),"")</f>
        <v>A</v>
      </c>
      <c r="AG378" s="32" t="str">
        <f>IF(A378&lt;&gt;"",IF(OR(AE378+0.5&gt;=93,AE378+0.5&lt;60),"",IF(MOD(AE378+0.5,10)&gt;=7,"+",IF(MOD(AE378+0.5,10)&lt;3,"-",""))),"")</f>
        <v/>
      </c>
      <c r="AH378" s="36">
        <f>IF(A378&lt;&gt;"",MIN(MAX(AA378,AE378),AA378+$AH$8,AE378+$AH$8),"")</f>
        <v>101</v>
      </c>
      <c r="AI378" s="32" t="str">
        <f>IF(A378&lt;&gt;"",CHOOSE(10-MIN(9,TRUNC((AH378+0.5)/10)),"A","B","C","D","F","F","F","F","F","F"),"")</f>
        <v>A</v>
      </c>
      <c r="AJ378" s="32" t="str">
        <f>IF(A378&lt;&gt;"",IF(OR(AH378+0.5&gt;=93,AH378+0.5&lt;60),"",IF(MOD(AH378+0.5,10)&gt;=7,"+",IF(MOD(AH378+0.5,10)&lt;3,"-",""))),"")</f>
        <v/>
      </c>
      <c r="AK378" s="71" t="b">
        <f>IF(A378&lt;&gt;"",OR(AI378&lt;&gt;AC378,AJ378&lt;&gt;AD378),"")</f>
        <v>0</v>
      </c>
      <c r="AL378" s="86">
        <f>IF(AND(A378&lt;&gt;"",U378&lt;&gt;""),SUM(U378,$AL$8)/$AL$2*100,"")</f>
        <v>94.666666666666671</v>
      </c>
      <c r="AM378" s="71">
        <f>IF(AND(A378&lt;&gt;"",V378&lt;&gt;""),SUM(V378,$AM$8)/$AM$2*100,"")</f>
        <v>97.692307692307693</v>
      </c>
      <c r="AN378" s="71">
        <f>IF(AND(A378&lt;&gt;"",ISNUMBER(P378),P378&gt;=0),SUM(P378,$AN$8)/$AN$2*100,"")</f>
        <v>101</v>
      </c>
      <c r="AO378" s="71" t="str">
        <f>IF(AND(A378&lt;&gt;"",ISNUMBER(Q378),Q378&gt;=0),SUM(Q378,$AO$8)/$AO$2*100,"")</f>
        <v/>
      </c>
      <c r="AP378" s="24" t="str">
        <f>IF(AND(A378&lt;&gt;"",R378&lt;&gt;""),SUM(R378,$AP$8)/$AP$2*100,"")</f>
        <v/>
      </c>
      <c r="AQ378" s="24">
        <f>IF(AND(A378&lt;&gt;"",ISNUMBER(W378),W378&gt;=0),SUM(W378,$AQ$8)/$AQ$2*100,"")</f>
        <v>101</v>
      </c>
      <c r="AR378" s="24" t="str">
        <f>IF(AND(A378&lt;&gt;"",T378&gt;0,ISNUMBER(T378)),SUM(T378,$AR$8)/$AR$2*100,"")</f>
        <v/>
      </c>
      <c r="AS378" s="24" t="str">
        <f>IF(AND(A378&lt;&gt;"",X378&lt;&gt;""),SUM(X378,$AS$8)/$AS$2*100,"")</f>
        <v/>
      </c>
      <c r="AT378" s="89">
        <f>IF(AND(A378&lt;&gt;"",OR(ISNUMBER(W378),ISNUMBER(X378))),SUM(W378:X378,$AT$8)/$AT$2*100,"")</f>
        <v>101</v>
      </c>
      <c r="AU378" s="24">
        <f>AA378</f>
        <v>98.360655737704917</v>
      </c>
      <c r="AV378" s="71"/>
      <c r="AW378" s="27">
        <f>IF(A378&lt;&gt;"",AE378-AA378,"")</f>
        <v>2.6393442622950829</v>
      </c>
      <c r="AY378" s="27" t="b">
        <f>S378&gt;R378</f>
        <v>0</v>
      </c>
      <c r="BA378" s="27" t="e">
        <f>AND(AA378&gt;$BA$3,(W378+$W$8)/$W$2&lt;$BB$3,(X378+$X$8)/$X$2&lt;$BB$3)</f>
        <v>#VALUE!</v>
      </c>
      <c r="BB378" s="27" t="e">
        <f>AND(AA378&lt;$BA$3,AND(W378/$W$2&gt;$BB$3,X378/$X$2&gt;$BB$3))</f>
        <v>#VALUE!</v>
      </c>
      <c r="BC378" s="27" t="e">
        <f>AND(AA378&lt;$BA$3,OR(W378/$W$2&gt;$BB$3,X378/$X$2&gt;$BB$3))</f>
        <v>#VALUE!</v>
      </c>
      <c r="BE378" s="32">
        <v>32</v>
      </c>
    </row>
    <row r="379" spans="1:57" s="27" customFormat="1" ht="12.75" customHeight="1" x14ac:dyDescent="0.2">
      <c r="A379" s="10">
        <v>720198</v>
      </c>
      <c r="B379" s="2">
        <v>23</v>
      </c>
      <c r="C379" s="10">
        <v>21</v>
      </c>
      <c r="D379" s="10">
        <v>22</v>
      </c>
      <c r="E379" s="10"/>
      <c r="F379" s="10"/>
      <c r="G379" s="10"/>
      <c r="H379" s="10"/>
      <c r="I379" s="10"/>
      <c r="J379" s="2">
        <v>17</v>
      </c>
      <c r="K379" s="10">
        <v>50</v>
      </c>
      <c r="L379" s="10">
        <v>50</v>
      </c>
      <c r="M379" s="10"/>
      <c r="N379" s="93"/>
      <c r="O379" s="13"/>
      <c r="P379" s="10">
        <v>101</v>
      </c>
      <c r="Q379" s="10"/>
      <c r="R379" s="2"/>
      <c r="S379" s="10"/>
      <c r="T379" s="13"/>
      <c r="U379" s="7">
        <f t="array" ref="U379">IF(AND(A379&lt;&gt;"",OR(ISNUMBER(B379:I379))),SUM(B379:I379),"")</f>
        <v>66</v>
      </c>
      <c r="V379" s="10">
        <f t="array" ref="V379">IF(AND(A379&lt;&gt;"",OR(ISNUMBER(J379:O379))),SUM(J379:O379),"")</f>
        <v>117</v>
      </c>
      <c r="W379" s="10">
        <f t="array" ref="W379">IF(AND(A379&lt;&gt;"",OR(ISNUMBER(P379),ISNUMBER(Q379))),SUM(MAX(P379:Q379),Q379),"")</f>
        <v>101</v>
      </c>
      <c r="X379" s="10" t="str">
        <f t="array" ref="X379">IF(AND(A379&lt;&gt;"",OR(ISNUMBER(S379),ISNUMBER(T379))),SUM(S379,T379),"")</f>
        <v/>
      </c>
      <c r="Y379" s="13">
        <v>1</v>
      </c>
      <c r="Z379" s="13">
        <f>IF(A379&lt;&gt;"",SUM(U379:Y379),"")</f>
        <v>285</v>
      </c>
      <c r="AA379" s="27">
        <f>IF(A379&lt;&gt;"",(Z379+Normalize_To_Add)/(Point_Total_So_Far)*100,"")</f>
        <v>93.442622950819683</v>
      </c>
      <c r="AB379" s="10">
        <f>IF(A379&lt;&gt;"",RANK(AA379,All_Student_XC),"")</f>
        <v>293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/>
      </c>
      <c r="AE379" s="32">
        <f>IF(A379&lt;&gt;"",SUM(W379:X379,$W$8:$X$8)/SUM($W$2:$X$2)*100,"")</f>
        <v>101</v>
      </c>
      <c r="AF379" s="32" t="str">
        <f>IF(A379&lt;&gt;"",CHOOSE(10-MIN(9,TRUNC((AE379+0.5)/10)),"A","B","C","D","F","F","F","F","F","F"),"")</f>
        <v>A</v>
      </c>
      <c r="AG379" s="32" t="str">
        <f>IF(A379&lt;&gt;"",IF(OR(AE379+0.5&gt;=93,AE379+0.5&lt;60),"",IF(MOD(AE379+0.5,10)&gt;=7,"+",IF(MOD(AE379+0.5,10)&lt;3,"-",""))),"")</f>
        <v/>
      </c>
      <c r="AH379" s="36">
        <f>IF(A379&lt;&gt;"",MIN(MAX(AA379,AE379),AA379+$AH$8,AE379+$AH$8),"")</f>
        <v>101</v>
      </c>
      <c r="AI379" s="32" t="str">
        <f>IF(A379&lt;&gt;"",CHOOSE(10-MIN(9,TRUNC((AH379+0.5)/10)),"A","B","C","D","F","F","F","F","F","F"),"")</f>
        <v>A</v>
      </c>
      <c r="AJ379" s="32" t="str">
        <f>IF(A379&lt;&gt;"",IF(OR(AH379+0.5&gt;=93,AH379+0.5&lt;60),"",IF(MOD(AH379+0.5,10)&gt;=7,"+",IF(MOD(AH379+0.5,10)&lt;3,"-",""))),"")</f>
        <v/>
      </c>
      <c r="AK379" s="71" t="b">
        <f>IF(A379&lt;&gt;"",OR(AI379&lt;&gt;AC379,AJ379&lt;&gt;AD379),"")</f>
        <v>0</v>
      </c>
      <c r="AL379" s="86">
        <f>IF(AND(A379&lt;&gt;"",U379&lt;&gt;""),SUM(U379,$AL$8)/$AL$2*100,"")</f>
        <v>88</v>
      </c>
      <c r="AM379" s="71">
        <f>IF(AND(A379&lt;&gt;"",V379&lt;&gt;""),SUM(V379,$AM$8)/$AM$2*100,"")</f>
        <v>90</v>
      </c>
      <c r="AN379" s="71">
        <f>IF(AND(A379&lt;&gt;"",ISNUMBER(P379),P379&gt;=0),SUM(P379,$AN$8)/$AN$2*100,"")</f>
        <v>101</v>
      </c>
      <c r="AO379" s="71" t="str">
        <f>IF(AND(A379&lt;&gt;"",ISNUMBER(Q379),Q379&gt;=0),SUM(Q379,$AO$8)/$AO$2*100,"")</f>
        <v/>
      </c>
      <c r="AP379" s="24" t="str">
        <f>IF(AND(A379&lt;&gt;"",R379&lt;&gt;""),SUM(R379,$AP$8)/$AP$2*100,"")</f>
        <v/>
      </c>
      <c r="AQ379" s="24">
        <f>IF(AND(A379&lt;&gt;"",ISNUMBER(W379),W379&gt;=0),SUM(W379,$AQ$8)/$AQ$2*100,"")</f>
        <v>101</v>
      </c>
      <c r="AR379" s="24" t="str">
        <f>IF(AND(A379&lt;&gt;"",T379&gt;0,ISNUMBER(T379)),SUM(T379,$AR$8)/$AR$2*100,"")</f>
        <v/>
      </c>
      <c r="AS379" s="24" t="str">
        <f>IF(AND(A379&lt;&gt;"",X379&lt;&gt;""),SUM(X379,$AS$8)/$AS$2*100,"")</f>
        <v/>
      </c>
      <c r="AT379" s="89">
        <f>IF(AND(A379&lt;&gt;"",OR(ISNUMBER(W379),ISNUMBER(X379))),SUM(W379:X379,$AT$8)/$AT$2*100,"")</f>
        <v>101</v>
      </c>
      <c r="AU379" s="24">
        <f>AA379</f>
        <v>93.442622950819683</v>
      </c>
      <c r="AV379" s="71"/>
      <c r="AW379" s="27">
        <f>IF(A379&lt;&gt;"",AE379-AA379,"")</f>
        <v>7.5573770491803174</v>
      </c>
      <c r="AY379" s="27" t="b">
        <f>S379&gt;R379</f>
        <v>0</v>
      </c>
      <c r="BA379" s="27" t="e">
        <f>AND(AA379&gt;$BA$3,(W379+$W$8)/$W$2&lt;$BB$3,(X379+$X$8)/$X$2&lt;$BB$3)</f>
        <v>#VALUE!</v>
      </c>
      <c r="BB379" s="27" t="e">
        <f>AND(AA379&lt;$BA$3,AND(W379/$W$2&gt;$BB$3,X379/$X$2&gt;$BB$3))</f>
        <v>#VALUE!</v>
      </c>
      <c r="BC379" s="27" t="e">
        <f>AND(AA379&lt;$BA$3,OR(W379/$W$2&gt;$BB$3,X379/$X$2&gt;$BB$3))</f>
        <v>#VALUE!</v>
      </c>
      <c r="BE379" s="32" t="s">
        <v>85</v>
      </c>
    </row>
    <row r="380" spans="1:57" s="27" customFormat="1" ht="12.75" customHeight="1" x14ac:dyDescent="0.2">
      <c r="A380" s="10">
        <v>721903</v>
      </c>
      <c r="B380" s="2">
        <v>23</v>
      </c>
      <c r="C380" s="10">
        <v>25</v>
      </c>
      <c r="D380" s="10">
        <v>25</v>
      </c>
      <c r="E380" s="10"/>
      <c r="F380" s="10"/>
      <c r="G380" s="3"/>
      <c r="H380" s="10"/>
      <c r="I380" s="10"/>
      <c r="J380" s="2">
        <v>30</v>
      </c>
      <c r="K380" s="10">
        <v>52</v>
      </c>
      <c r="L380" s="10">
        <v>52</v>
      </c>
      <c r="M380" s="10"/>
      <c r="N380" s="10"/>
      <c r="O380" s="12"/>
      <c r="P380" s="41">
        <v>101</v>
      </c>
      <c r="Q380" s="41"/>
      <c r="R380" s="2"/>
      <c r="S380" s="10"/>
      <c r="T380" s="13"/>
      <c r="U380" s="7">
        <f t="array" ref="U380">IF(AND(A380&lt;&gt;"",OR(ISNUMBER(B380:I380))),SUM(B380:I380),"")</f>
        <v>73</v>
      </c>
      <c r="V380" s="10">
        <f t="array" ref="V380">IF(AND(A380&lt;&gt;"",OR(ISNUMBER(J380:O380))),SUM(J380:O380),"")</f>
        <v>134</v>
      </c>
      <c r="W380" s="10">
        <f t="array" ref="W380">IF(AND(A380&lt;&gt;"",OR(ISNUMBER(P380),ISNUMBER(Q380))),SUM(MAX(P380:Q380),Q380),"")</f>
        <v>101</v>
      </c>
      <c r="X380" s="10" t="str">
        <f t="array" ref="X380">IF(AND(A380&lt;&gt;"",OR(ISNUMBER(S380),ISNUMBER(T380))),SUM(S380,T380),"")</f>
        <v/>
      </c>
      <c r="Y380" s="13">
        <v>1</v>
      </c>
      <c r="Z380" s="13">
        <f>IF(A380&lt;&gt;"",SUM(U380:Y380),"")</f>
        <v>309</v>
      </c>
      <c r="AA380" s="27">
        <f>IF(A380&lt;&gt;"",(Z380+Normalize_To_Add)/(Point_Total_So_Far)*100,"")</f>
        <v>101.31147540983608</v>
      </c>
      <c r="AB380" s="10">
        <f>IF(A380&lt;&gt;"",RANK(AA380,All_Student_XC),"")</f>
        <v>35</v>
      </c>
      <c r="AC380" s="32" t="str">
        <f>IF(A380&lt;&gt;"",CHOOSE(10-MIN(9,TRUNC((AA380+0.5)/10)),"A","B","C","D","F","F","F","F","F","F"),"")</f>
        <v>A</v>
      </c>
      <c r="AD380" s="32" t="str">
        <f>IF(A380&lt;&gt;"",IF(OR(AA380+0.5&gt;=93,AA380+0.5&lt;60),"",IF(MOD(AA380+0.5,10)&gt;=7,"+",IF(MOD(AA380+0.5,10)&lt;3,"-",""))),"")</f>
        <v/>
      </c>
      <c r="AE380" s="32">
        <f>IF(A380&lt;&gt;"",SUM(W380:X380,$W$8:$X$8)/SUM($W$2:$X$2)*100,"")</f>
        <v>101</v>
      </c>
      <c r="AF380" s="32" t="str">
        <f>IF(A380&lt;&gt;"",CHOOSE(10-MIN(9,TRUNC((AE380+0.5)/10)),"A","B","C","D","F","F","F","F","F","F"),"")</f>
        <v>A</v>
      </c>
      <c r="AG380" s="32" t="str">
        <f>IF(A380&lt;&gt;"",IF(OR(AE380+0.5&gt;=93,AE380+0.5&lt;60),"",IF(MOD(AE380+0.5,10)&gt;=7,"+",IF(MOD(AE380+0.5,10)&lt;3,"-",""))),"")</f>
        <v/>
      </c>
      <c r="AH380" s="36">
        <f>IF(A380&lt;&gt;"",MIN(MAX(AA380,AE380),AA380+$AH$8,AE380+$AH$8),"")</f>
        <v>101.31147540983608</v>
      </c>
      <c r="AI380" s="32" t="str">
        <f>IF(A380&lt;&gt;"",CHOOSE(10-MIN(9,TRUNC((AH380+0.5)/10)),"A","B","C","D","F","F","F","F","F","F"),"")</f>
        <v>A</v>
      </c>
      <c r="AJ380" s="32" t="str">
        <f>IF(A380&lt;&gt;"",IF(OR(AH380+0.5&gt;=93,AH380+0.5&lt;60),"",IF(MOD(AH380+0.5,10)&gt;=7,"+",IF(MOD(AH380+0.5,10)&lt;3,"-",""))),"")</f>
        <v/>
      </c>
      <c r="AK380" s="32" t="b">
        <f>IF(A380&lt;&gt;"",OR(AI380&lt;&gt;AC380,AJ380&lt;&gt;AD380),"")</f>
        <v>0</v>
      </c>
      <c r="AL380" s="84">
        <f>IF(AND(A380&lt;&gt;"",U380&lt;&gt;""),SUM(U380,$AL$8)/$AL$2*100,"")</f>
        <v>97.333333333333343</v>
      </c>
      <c r="AM380" s="24">
        <f>IF(AND(A380&lt;&gt;"",V380&lt;&gt;""),SUM(V380,$AM$8)/$AM$2*100,"")</f>
        <v>103.07692307692307</v>
      </c>
      <c r="AN380" s="24">
        <f>IF(AND(A380&lt;&gt;"",ISNUMBER(P380),P380&gt;=0),SUM(P380,$AN$8)/$AN$2*100,"")</f>
        <v>101</v>
      </c>
      <c r="AO380" s="24" t="str">
        <f>IF(AND(A380&lt;&gt;"",ISNUMBER(Q380),Q380&gt;=0),SUM(Q380,$AO$8)/$AO$2*100,"")</f>
        <v/>
      </c>
      <c r="AP380" s="24" t="str">
        <f>IF(AND(A380&lt;&gt;"",R380&lt;&gt;""),SUM(R380,$AP$8)/$AP$2*100,"")</f>
        <v/>
      </c>
      <c r="AQ380" s="24">
        <f>IF(AND(A380&lt;&gt;"",ISNUMBER(W380),W380&gt;=0),SUM(W380,$AQ$8)/$AQ$2*100,"")</f>
        <v>101</v>
      </c>
      <c r="AR380" s="24" t="str">
        <f>IF(AND(A380&lt;&gt;"",T380&gt;0,ISNUMBER(T380)),SUM(T380,$AR$8)/$AR$2*100,"")</f>
        <v/>
      </c>
      <c r="AS380" s="24" t="str">
        <f>IF(AND(A380&lt;&gt;"",X380&lt;&gt;""),SUM(X380,$AS$8)/$AS$2*100,"")</f>
        <v/>
      </c>
      <c r="AT380" s="89">
        <f>IF(AND(A380&lt;&gt;"",OR(ISNUMBER(W380),ISNUMBER(X380))),SUM(W380:X380,$AT$8)/$AT$2*100,"")</f>
        <v>101</v>
      </c>
      <c r="AU380" s="24">
        <f>AA380</f>
        <v>101.31147540983608</v>
      </c>
      <c r="AV380" s="24"/>
      <c r="AW380" s="27">
        <f>IF(A380&lt;&gt;"",AE380-AA380,"")</f>
        <v>-0.31147540983607769</v>
      </c>
      <c r="AY380" s="27" t="b">
        <f>S380&gt;R380</f>
        <v>0</v>
      </c>
      <c r="BA380" s="27" t="e">
        <f>AND(AA380&gt;$BA$3,(W380+$W$8)/$W$2&lt;$BB$3,(X380+$X$8)/$X$2&lt;$BB$3)</f>
        <v>#VALUE!</v>
      </c>
      <c r="BB380" s="27" t="e">
        <f>AND(AA380&lt;$BA$3,AND(W380/$W$2&gt;$BB$3,X380/$X$2&gt;$BB$3))</f>
        <v>#VALUE!</v>
      </c>
      <c r="BC380" s="27" t="e">
        <f>AND(AA380&lt;$BA$3,OR(W380/$W$2&gt;$BB$3,X380/$X$2&gt;$BB$3))</f>
        <v>#VALUE!</v>
      </c>
      <c r="BE380" s="32">
        <v>32</v>
      </c>
    </row>
    <row r="381" spans="1:57" s="27" customFormat="1" ht="12.75" customHeight="1" x14ac:dyDescent="0.2">
      <c r="A381" s="10">
        <v>722086</v>
      </c>
      <c r="B381" s="2">
        <v>21</v>
      </c>
      <c r="C381" s="10">
        <v>25</v>
      </c>
      <c r="D381" s="10">
        <v>22</v>
      </c>
      <c r="E381" s="10"/>
      <c r="F381" s="10"/>
      <c r="G381" s="3"/>
      <c r="H381" s="10"/>
      <c r="I381" s="10"/>
      <c r="J381" s="2">
        <v>29</v>
      </c>
      <c r="K381" s="10">
        <v>38</v>
      </c>
      <c r="L381" s="10">
        <v>50</v>
      </c>
      <c r="M381" s="10"/>
      <c r="N381" s="93"/>
      <c r="O381" s="12"/>
      <c r="P381" s="10">
        <v>70</v>
      </c>
      <c r="Q381" s="41"/>
      <c r="R381" s="2"/>
      <c r="S381" s="10"/>
      <c r="T381" s="13"/>
      <c r="U381" s="35">
        <f t="array" ref="U381">IF(AND(A381&lt;&gt;"",OR(ISNUMBER(B381:I381))),SUM(B381:I381),"")</f>
        <v>68</v>
      </c>
      <c r="V381" s="10">
        <f t="array" ref="V381">IF(AND(A381&lt;&gt;"",OR(ISNUMBER(J381:O381))),SUM(J381:O381),"")</f>
        <v>117</v>
      </c>
      <c r="W381" s="10">
        <f t="array" ref="W381">IF(AND(A381&lt;&gt;"",OR(ISNUMBER(P381),ISNUMBER(Q381))),SUM(MAX(P381:Q381),Q381),"")</f>
        <v>70</v>
      </c>
      <c r="X381" s="10" t="str">
        <f t="array" ref="X381">IF(AND(A381&lt;&gt;"",OR(ISNUMBER(S381),ISNUMBER(T381))),SUM(S381,T381),"")</f>
        <v/>
      </c>
      <c r="Y381" s="13">
        <v>1</v>
      </c>
      <c r="Z381" s="13">
        <f>IF(A381&lt;&gt;"",SUM(U381:Y381),"")</f>
        <v>256</v>
      </c>
      <c r="AA381" s="27">
        <f>IF(A381&lt;&gt;"",(Z381+Normalize_To_Add)/(Point_Total_So_Far)*100,"")</f>
        <v>83.93442622950819</v>
      </c>
      <c r="AB381" s="10">
        <f>IF(A381&lt;&gt;"",RANK(AA381,All_Student_XC),"")</f>
        <v>381</v>
      </c>
      <c r="AC381" s="32" t="str">
        <f>IF(A381&lt;&gt;"",CHOOSE(10-MIN(9,TRUNC((AA381+0.5)/10)),"A","B","C","D","F","F","F","F","F","F"),"")</f>
        <v>B</v>
      </c>
      <c r="AD381" s="32" t="str">
        <f>IF(A381&lt;&gt;"",IF(OR(AA381+0.5&gt;=93,AA381+0.5&lt;60),"",IF(MOD(AA381+0.5,10)&gt;=7,"+",IF(MOD(AA381+0.5,10)&lt;3,"-",""))),"")</f>
        <v/>
      </c>
      <c r="AE381" s="32">
        <f>IF(A381&lt;&gt;"",SUM(W381:X381,$W$8:$X$8)/SUM($W$2:$X$2)*100,"")</f>
        <v>70</v>
      </c>
      <c r="AF381" s="32" t="str">
        <f>IF(A381&lt;&gt;"",CHOOSE(10-MIN(9,TRUNC((AE381+0.5)/10)),"A","B","C","D","F","F","F","F","F","F"),"")</f>
        <v>C</v>
      </c>
      <c r="AG381" s="32" t="str">
        <f>IF(A381&lt;&gt;"",IF(OR(AE381+0.5&gt;=93,AE381+0.5&lt;60),"",IF(MOD(AE381+0.5,10)&gt;=7,"+",IF(MOD(AE381+0.5,10)&lt;3,"-",""))),"")</f>
        <v>-</v>
      </c>
      <c r="AH381" s="36">
        <f>IF(A381&lt;&gt;"",MIN(MAX(AA381,AE381),AA381+$AH$8,AE381+$AH$8),"")</f>
        <v>83.93442622950819</v>
      </c>
      <c r="AI381" s="32" t="str">
        <f>IF(A381&lt;&gt;"",CHOOSE(10-MIN(9,TRUNC((AH381+0.5)/10)),"A","B","C","D","F","F","F","F","F","F"),"")</f>
        <v>B</v>
      </c>
      <c r="AJ381" s="32" t="str">
        <f>IF(A381&lt;&gt;"",IF(OR(AH381+0.5&gt;=93,AH381+0.5&lt;60),"",IF(MOD(AH381+0.5,10)&gt;=7,"+",IF(MOD(AH381+0.5,10)&lt;3,"-",""))),"")</f>
        <v/>
      </c>
      <c r="AK381" s="32" t="b">
        <f>IF(A381&lt;&gt;"",OR(AI381&lt;&gt;AC381,AJ381&lt;&gt;AD381),"")</f>
        <v>0</v>
      </c>
      <c r="AL381" s="84">
        <f>IF(AND(A381&lt;&gt;"",U381&lt;&gt;""),SUM(U381,$AL$8)/$AL$2*100,"")</f>
        <v>90.666666666666657</v>
      </c>
      <c r="AM381" s="24">
        <f>IF(AND(A381&lt;&gt;"",V381&lt;&gt;""),SUM(V381,$AM$8)/$AM$2*100,"")</f>
        <v>90</v>
      </c>
      <c r="AN381" s="24">
        <f>IF(AND(A381&lt;&gt;"",ISNUMBER(P381),P381&gt;=0),SUM(P381,$AN$8)/$AN$2*100,"")</f>
        <v>70</v>
      </c>
      <c r="AO381" s="24" t="str">
        <f>IF(AND(A381&lt;&gt;"",ISNUMBER(Q381),Q381&gt;=0),SUM(Q381,$AO$8)/$AO$2*100,"")</f>
        <v/>
      </c>
      <c r="AP381" s="24" t="str">
        <f>IF(AND(A381&lt;&gt;"",R381&lt;&gt;""),SUM(R381,$AP$8)/$AP$2*100,"")</f>
        <v/>
      </c>
      <c r="AQ381" s="24">
        <f>IF(AND(A381&lt;&gt;"",ISNUMBER(W381),W381&gt;=0),SUM(W381,$AQ$8)/$AQ$2*100,"")</f>
        <v>70</v>
      </c>
      <c r="AR381" s="24" t="str">
        <f>IF(AND(A381&lt;&gt;"",T381&gt;0,ISNUMBER(T381)),SUM(T381,$AR$8)/$AR$2*100,"")</f>
        <v/>
      </c>
      <c r="AS381" s="24" t="str">
        <f>IF(AND(A381&lt;&gt;"",X381&lt;&gt;""),SUM(X381,$AS$8)/$AS$2*100,"")</f>
        <v/>
      </c>
      <c r="AT381" s="89">
        <f>IF(AND(A381&lt;&gt;"",OR(ISNUMBER(W381),ISNUMBER(X381))),SUM(W381:X381,$AT$8)/$AT$2*100,"")</f>
        <v>70</v>
      </c>
      <c r="AU381" s="24">
        <f>AA381</f>
        <v>83.93442622950819</v>
      </c>
      <c r="AV381" s="24"/>
      <c r="AW381" s="27">
        <f>IF(A381&lt;&gt;"",AE381-AA381,"")</f>
        <v>-13.93442622950819</v>
      </c>
      <c r="AY381" s="27" t="b">
        <f>S381&gt;R381</f>
        <v>0</v>
      </c>
      <c r="BA381" s="27" t="e">
        <f>AND(AA381&gt;$BA$3,(W381+$W$8)/$W$2&lt;$BB$3,(X381+$X$8)/$X$2&lt;$BB$3)</f>
        <v>#VALUE!</v>
      </c>
      <c r="BB381" s="27" t="e">
        <f>AND(AA381&lt;$BA$3,AND(W381/$W$2&gt;$BB$3,X381/$X$2&gt;$BB$3))</f>
        <v>#VALUE!</v>
      </c>
      <c r="BC381" s="27" t="e">
        <f>AND(AA381&lt;$BA$3,OR(W381/$W$2&gt;$BB$3,X381/$X$2&gt;$BB$3))</f>
        <v>#VALUE!</v>
      </c>
      <c r="BE381" s="32">
        <v>32</v>
      </c>
    </row>
    <row r="382" spans="1:57" s="27" customFormat="1" ht="12.75" customHeight="1" x14ac:dyDescent="0.2">
      <c r="A382" s="10">
        <v>724455</v>
      </c>
      <c r="B382" s="2">
        <v>11</v>
      </c>
      <c r="C382" s="10">
        <v>25</v>
      </c>
      <c r="D382" s="10">
        <v>18</v>
      </c>
      <c r="E382" s="10"/>
      <c r="F382" s="10"/>
      <c r="G382" s="10"/>
      <c r="H382" s="10"/>
      <c r="I382" s="10"/>
      <c r="J382" s="2">
        <v>31</v>
      </c>
      <c r="K382" s="10">
        <v>38</v>
      </c>
      <c r="L382" s="10">
        <v>51</v>
      </c>
      <c r="M382" s="10"/>
      <c r="N382" s="93"/>
      <c r="O382" s="13"/>
      <c r="P382" s="10">
        <v>101</v>
      </c>
      <c r="Q382" s="10"/>
      <c r="R382" s="2"/>
      <c r="S382" s="10"/>
      <c r="T382" s="13"/>
      <c r="U382" s="7">
        <f t="array" ref="U382">IF(AND(A382&lt;&gt;"",OR(ISNUMBER(B382:I382))),SUM(B382:I382),"")</f>
        <v>54</v>
      </c>
      <c r="V382" s="10">
        <f t="array" ref="V382">IF(AND(A382&lt;&gt;"",OR(ISNUMBER(J382:O382))),SUM(J382:O382),"")</f>
        <v>120</v>
      </c>
      <c r="W382" s="10">
        <f t="array" ref="W382">IF(AND(A382&lt;&gt;"",OR(ISNUMBER(P382),ISNUMBER(Q382))),SUM(MAX(P382:Q382),Q382),"")</f>
        <v>101</v>
      </c>
      <c r="X382" s="10" t="str">
        <f t="array" ref="X382">IF(AND(A382&lt;&gt;"",OR(ISNUMBER(S382),ISNUMBER(T382))),SUM(S382,T382),"")</f>
        <v/>
      </c>
      <c r="Y382" s="13">
        <v>1</v>
      </c>
      <c r="Z382" s="13">
        <f>IF(A382&lt;&gt;"",SUM(U382:Y382),"")</f>
        <v>276</v>
      </c>
      <c r="AA382" s="27">
        <f>IF(A382&lt;&gt;"",(Z382+Normalize_To_Add)/(Point_Total_So_Far)*100,"")</f>
        <v>90.491803278688522</v>
      </c>
      <c r="AB382" s="10">
        <f>IF(A382&lt;&gt;"",RANK(AA382,All_Student_XC),"")</f>
        <v>330</v>
      </c>
      <c r="AC382" s="32" t="str">
        <f>IF(A382&lt;&gt;"",CHOOSE(10-MIN(9,TRUNC((AA382+0.5)/10)),"A","B","C","D","F","F","F","F","F","F"),"")</f>
        <v>A</v>
      </c>
      <c r="AD382" s="31" t="str">
        <f>IF(A382&lt;&gt;"",IF(OR(AA382+0.5&gt;=93,AA382+0.5&lt;60),"",IF(MOD(AA382+0.5,10)&gt;=7,"+",IF(MOD(AA382+0.5,10)&lt;3,"-",""))),"")</f>
        <v>-</v>
      </c>
      <c r="AE382" s="32">
        <f>IF(A382&lt;&gt;"",SUM(W382:X382,$W$8:$X$8)/SUM($W$2:$X$2)*100,"")</f>
        <v>101</v>
      </c>
      <c r="AF382" s="32" t="str">
        <f>IF(A382&lt;&gt;"",CHOOSE(10-MIN(9,TRUNC((AE382+0.5)/10)),"A","B","C","D","F","F","F","F","F","F"),"")</f>
        <v>A</v>
      </c>
      <c r="AG382" s="32" t="str">
        <f>IF(A382&lt;&gt;"",IF(OR(AE382+0.5&gt;=93,AE382+0.5&lt;60),"",IF(MOD(AE382+0.5,10)&gt;=7,"+",IF(MOD(AE382+0.5,10)&lt;3,"-",""))),"")</f>
        <v/>
      </c>
      <c r="AH382" s="36">
        <f>IF(A382&lt;&gt;"",MIN(MAX(AA382,AE382),AA382+$AH$8,AE382+$AH$8),"")</f>
        <v>101</v>
      </c>
      <c r="AI382" s="32" t="str">
        <f>IF(A382&lt;&gt;"",CHOOSE(10-MIN(9,TRUNC((AH382+0.5)/10)),"A","B","C","D","F","F","F","F","F","F"),"")</f>
        <v>A</v>
      </c>
      <c r="AJ382" s="32" t="str">
        <f>IF(A382&lt;&gt;"",IF(OR(AH382+0.5&gt;=93,AH382+0.5&lt;60),"",IF(MOD(AH382+0.5,10)&gt;=7,"+",IF(MOD(AH382+0.5,10)&lt;3,"-",""))),"")</f>
        <v/>
      </c>
      <c r="AK382" s="71" t="b">
        <f>IF(A382&lt;&gt;"",OR(AI382&lt;&gt;AC382,AJ382&lt;&gt;AD382),"")</f>
        <v>1</v>
      </c>
      <c r="AL382" s="86">
        <f>IF(AND(A382&lt;&gt;"",U382&lt;&gt;""),SUM(U382,$AL$8)/$AL$2*100,"")</f>
        <v>72</v>
      </c>
      <c r="AM382" s="71">
        <f>IF(AND(A382&lt;&gt;"",V382&lt;&gt;""),SUM(V382,$AM$8)/$AM$2*100,"")</f>
        <v>92.307692307692307</v>
      </c>
      <c r="AN382" s="71">
        <f>IF(AND(A382&lt;&gt;"",ISNUMBER(P382),P382&gt;=0),SUM(P382,$AN$8)/$AN$2*100,"")</f>
        <v>101</v>
      </c>
      <c r="AO382" s="71" t="str">
        <f>IF(AND(A382&lt;&gt;"",ISNUMBER(Q382),Q382&gt;=0),SUM(Q382,$AO$8)/$AO$2*100,"")</f>
        <v/>
      </c>
      <c r="AP382" s="24" t="str">
        <f>IF(AND(A382&lt;&gt;"",R382&lt;&gt;""),SUM(R382,$AP$8)/$AP$2*100,"")</f>
        <v/>
      </c>
      <c r="AQ382" s="24">
        <f>IF(AND(A382&lt;&gt;"",ISNUMBER(W382),W382&gt;=0),SUM(W382,$AQ$8)/$AQ$2*100,"")</f>
        <v>101</v>
      </c>
      <c r="AR382" s="24" t="str">
        <f>IF(AND(A382&lt;&gt;"",T382&gt;0,ISNUMBER(T382)),SUM(T382,$AR$8)/$AR$2*100,"")</f>
        <v/>
      </c>
      <c r="AS382" s="24" t="str">
        <f>IF(AND(A382&lt;&gt;"",X382&lt;&gt;""),SUM(X382,$AS$8)/$AS$2*100,"")</f>
        <v/>
      </c>
      <c r="AT382" s="89">
        <f>IF(AND(A382&lt;&gt;"",OR(ISNUMBER(W382),ISNUMBER(X382))),SUM(W382:X382,$AT$8)/$AT$2*100,"")</f>
        <v>101</v>
      </c>
      <c r="AU382" s="24">
        <f>AA382</f>
        <v>90.491803278688522</v>
      </c>
      <c r="AV382" s="71"/>
      <c r="AW382" s="27">
        <f>IF(A382&lt;&gt;"",AE382-AA382,"")</f>
        <v>10.508196721311478</v>
      </c>
      <c r="AY382" s="27" t="b">
        <f>S382&gt;R382</f>
        <v>0</v>
      </c>
      <c r="BA382" s="27" t="e">
        <f>AND(AA382&gt;$BA$3,(W382+$W$8)/$W$2&lt;$BB$3,(X382+$X$8)/$X$2&lt;$BB$3)</f>
        <v>#VALUE!</v>
      </c>
      <c r="BB382" s="27" t="e">
        <f>AND(AA382&lt;$BA$3,AND(W382/$W$2&gt;$BB$3,X382/$X$2&gt;$BB$3))</f>
        <v>#VALUE!</v>
      </c>
      <c r="BC382" s="27" t="e">
        <f>AND(AA382&lt;$BA$3,OR(W382/$W$2&gt;$BB$3,X382/$X$2&gt;$BB$3))</f>
        <v>#VALUE!</v>
      </c>
      <c r="BE382" s="32" t="s">
        <v>85</v>
      </c>
    </row>
    <row r="383" spans="1:57" s="27" customFormat="1" ht="12.75" customHeight="1" x14ac:dyDescent="0.2">
      <c r="A383" s="10">
        <v>724712</v>
      </c>
      <c r="B383" s="2">
        <v>24</v>
      </c>
      <c r="C383" s="10">
        <v>20</v>
      </c>
      <c r="D383" s="10">
        <v>25</v>
      </c>
      <c r="E383" s="10"/>
      <c r="F383" s="10"/>
      <c r="G383" s="10"/>
      <c r="H383" s="10"/>
      <c r="I383" s="10"/>
      <c r="J383" s="2">
        <v>30</v>
      </c>
      <c r="K383" s="10">
        <v>52</v>
      </c>
      <c r="L383" s="10">
        <v>51</v>
      </c>
      <c r="M383" s="10"/>
      <c r="N383" s="93"/>
      <c r="O383" s="13"/>
      <c r="P383" s="10">
        <v>100</v>
      </c>
      <c r="Q383" s="10"/>
      <c r="R383" s="2"/>
      <c r="S383" s="10"/>
      <c r="T383" s="13"/>
      <c r="U383" s="7">
        <f t="array" ref="U383">IF(AND(A383&lt;&gt;"",OR(ISNUMBER(B383:I383))),SUM(B383:I383),"")</f>
        <v>69</v>
      </c>
      <c r="V383" s="10">
        <f t="array" ref="V383">IF(AND(A383&lt;&gt;"",OR(ISNUMBER(J383:O383))),SUM(J383:O383),"")</f>
        <v>133</v>
      </c>
      <c r="W383" s="10">
        <f t="array" ref="W383">IF(AND(A383&lt;&gt;"",OR(ISNUMBER(P383),ISNUMBER(Q383))),SUM(MAX(P383:Q383),Q383),"")</f>
        <v>100</v>
      </c>
      <c r="X383" s="10" t="str">
        <f t="array" ref="X383">IF(AND(A383&lt;&gt;"",OR(ISNUMBER(S383),ISNUMBER(T383))),SUM(S383,T383),"")</f>
        <v/>
      </c>
      <c r="Y383" s="13">
        <v>1</v>
      </c>
      <c r="Z383" s="13">
        <f>IF(A383&lt;&gt;"",SUM(U383:Y383),"")</f>
        <v>303</v>
      </c>
      <c r="AA383" s="27">
        <f>IF(A383&lt;&gt;"",(Z383+Normalize_To_Add)/(Point_Total_So_Far)*100,"")</f>
        <v>99.344262295081961</v>
      </c>
      <c r="AB383" s="10">
        <f>IF(A383&lt;&gt;"",RANK(AA383,All_Student_XC),"")</f>
        <v>145</v>
      </c>
      <c r="AC383" s="32" t="str">
        <f>IF(A383&lt;&gt;"",CHOOSE(10-MIN(9,TRUNC((AA383+0.5)/10)),"A","B","C","D","F","F","F","F","F","F"),"")</f>
        <v>A</v>
      </c>
      <c r="AD383" s="31" t="str">
        <f>IF(A383&lt;&gt;"",IF(OR(AA383+0.5&gt;=93,AA383+0.5&lt;60),"",IF(MOD(AA383+0.5,10)&gt;=7,"+",IF(MOD(AA383+0.5,10)&lt;3,"-",""))),"")</f>
        <v/>
      </c>
      <c r="AE383" s="32">
        <f>IF(A383&lt;&gt;"",SUM(W383:X383,$W$8:$X$8)/SUM($W$2:$X$2)*100,"")</f>
        <v>100</v>
      </c>
      <c r="AF383" s="32" t="str">
        <f>IF(A383&lt;&gt;"",CHOOSE(10-MIN(9,TRUNC((AE383+0.5)/10)),"A","B","C","D","F","F","F","F","F","F"),"")</f>
        <v>A</v>
      </c>
      <c r="AG383" s="32" t="str">
        <f>IF(A383&lt;&gt;"",IF(OR(AE383+0.5&gt;=93,AE383+0.5&lt;60),"",IF(MOD(AE383+0.5,10)&gt;=7,"+",IF(MOD(AE383+0.5,10)&lt;3,"-",""))),"")</f>
        <v/>
      </c>
      <c r="AH383" s="36">
        <f>IF(A383&lt;&gt;"",MIN(MAX(AA383,AE383),AA383+$AH$8,AE383+$AH$8),"")</f>
        <v>100</v>
      </c>
      <c r="AI383" s="32" t="str">
        <f>IF(A383&lt;&gt;"",CHOOSE(10-MIN(9,TRUNC((AH383+0.5)/10)),"A","B","C","D","F","F","F","F","F","F"),"")</f>
        <v>A</v>
      </c>
      <c r="AJ383" s="32" t="str">
        <f>IF(A383&lt;&gt;"",IF(OR(AH383+0.5&gt;=93,AH383+0.5&lt;60),"",IF(MOD(AH383+0.5,10)&gt;=7,"+",IF(MOD(AH383+0.5,10)&lt;3,"-",""))),"")</f>
        <v/>
      </c>
      <c r="AK383" s="71" t="b">
        <f>IF(A383&lt;&gt;"",OR(AI383&lt;&gt;AC383,AJ383&lt;&gt;AD383),"")</f>
        <v>0</v>
      </c>
      <c r="AL383" s="86">
        <f>IF(AND(A383&lt;&gt;"",U383&lt;&gt;""),SUM(U383,$AL$8)/$AL$2*100,"")</f>
        <v>92</v>
      </c>
      <c r="AM383" s="71">
        <f>IF(AND(A383&lt;&gt;"",V383&lt;&gt;""),SUM(V383,$AM$8)/$AM$2*100,"")</f>
        <v>102.30769230769229</v>
      </c>
      <c r="AN383" s="71">
        <f>IF(AND(A383&lt;&gt;"",ISNUMBER(P383),P383&gt;=0),SUM(P383,$AN$8)/$AN$2*100,"")</f>
        <v>100</v>
      </c>
      <c r="AO383" s="71" t="str">
        <f>IF(AND(A383&lt;&gt;"",ISNUMBER(Q383),Q383&gt;=0),SUM(Q383,$AO$8)/$AO$2*100,"")</f>
        <v/>
      </c>
      <c r="AP383" s="24" t="str">
        <f>IF(AND(A383&lt;&gt;"",R383&lt;&gt;""),SUM(R383,$AP$8)/$AP$2*100,"")</f>
        <v/>
      </c>
      <c r="AQ383" s="24">
        <f>IF(AND(A383&lt;&gt;"",ISNUMBER(W383),W383&gt;=0),SUM(W383,$AQ$8)/$AQ$2*100,"")</f>
        <v>100</v>
      </c>
      <c r="AR383" s="24" t="str">
        <f>IF(AND(A383&lt;&gt;"",T383&gt;0,ISNUMBER(T383)),SUM(T383,$AR$8)/$AR$2*100,"")</f>
        <v/>
      </c>
      <c r="AS383" s="24" t="str">
        <f>IF(AND(A383&lt;&gt;"",X383&lt;&gt;""),SUM(X383,$AS$8)/$AS$2*100,"")</f>
        <v/>
      </c>
      <c r="AT383" s="89">
        <f>IF(AND(A383&lt;&gt;"",OR(ISNUMBER(W383),ISNUMBER(X383))),SUM(W383:X383,$AT$8)/$AT$2*100,"")</f>
        <v>100</v>
      </c>
      <c r="AU383" s="24">
        <f>AA383</f>
        <v>99.344262295081961</v>
      </c>
      <c r="AV383" s="71"/>
      <c r="AW383" s="27">
        <f>IF(A383&lt;&gt;"",AE383-AA383,"")</f>
        <v>0.65573770491803884</v>
      </c>
      <c r="AY383" s="27" t="b">
        <f>S383&gt;R383</f>
        <v>0</v>
      </c>
      <c r="BA383" s="27" t="e">
        <f>AND(AA383&gt;$BA$3,(W383+$W$8)/$W$2&lt;$BB$3,(X383+$X$8)/$X$2&lt;$BB$3)</f>
        <v>#VALUE!</v>
      </c>
      <c r="BB383" s="27" t="e">
        <f>AND(AA383&lt;$BA$3,AND(W383/$W$2&gt;$BB$3,X383/$X$2&gt;$BB$3))</f>
        <v>#VALUE!</v>
      </c>
      <c r="BC383" s="27" t="e">
        <f>AND(AA383&lt;$BA$3,OR(W383/$W$2&gt;$BB$3,X383/$X$2&gt;$BB$3))</f>
        <v>#VALUE!</v>
      </c>
      <c r="BE383" s="32">
        <v>32</v>
      </c>
    </row>
    <row r="384" spans="1:57" s="27" customFormat="1" ht="12.75" customHeight="1" x14ac:dyDescent="0.2">
      <c r="A384" s="10">
        <v>726787</v>
      </c>
      <c r="B384" s="2">
        <v>16</v>
      </c>
      <c r="C384" s="10">
        <v>14</v>
      </c>
      <c r="D384" s="10">
        <v>22</v>
      </c>
      <c r="E384" s="10"/>
      <c r="F384" s="10"/>
      <c r="G384" s="10"/>
      <c r="H384" s="10"/>
      <c r="I384" s="10"/>
      <c r="J384" s="2">
        <v>28</v>
      </c>
      <c r="K384" s="10">
        <v>45</v>
      </c>
      <c r="L384" s="10">
        <v>49</v>
      </c>
      <c r="M384" s="10"/>
      <c r="N384" s="10"/>
      <c r="O384" s="12"/>
      <c r="P384" s="41">
        <v>101</v>
      </c>
      <c r="Q384" s="41"/>
      <c r="R384" s="2"/>
      <c r="S384" s="10"/>
      <c r="T384" s="13"/>
      <c r="U384" s="7">
        <f t="array" ref="U384">IF(AND(A384&lt;&gt;"",OR(ISNUMBER(B384:I384))),SUM(B384:I384),"")</f>
        <v>52</v>
      </c>
      <c r="V384" s="10">
        <f t="array" ref="V384">IF(AND(A384&lt;&gt;"",OR(ISNUMBER(J384:O384))),SUM(J384:O384),"")</f>
        <v>122</v>
      </c>
      <c r="W384" s="10">
        <f t="array" ref="W384">IF(AND(A384&lt;&gt;"",OR(ISNUMBER(P384),ISNUMBER(Q384))),SUM(MAX(P384:Q384),Q384),"")</f>
        <v>101</v>
      </c>
      <c r="X384" s="10" t="str">
        <f t="array" ref="X384">IF(AND(A384&lt;&gt;"",OR(ISNUMBER(S384),ISNUMBER(T384))),SUM(S384,T384),"")</f>
        <v/>
      </c>
      <c r="Y384" s="13">
        <v>1</v>
      </c>
      <c r="Z384" s="13">
        <f>IF(A384&lt;&gt;"",SUM(U384:Y384),"")</f>
        <v>276</v>
      </c>
      <c r="AA384" s="27">
        <f>IF(A384&lt;&gt;"",(Z384+Normalize_To_Add)/(Point_Total_So_Far)*100,"")</f>
        <v>90.491803278688522</v>
      </c>
      <c r="AB384" s="10">
        <f>IF(A384&lt;&gt;"",RANK(AA384,All_Student_XC),"")</f>
        <v>330</v>
      </c>
      <c r="AC384" s="32" t="str">
        <f>IF(A384&lt;&gt;"",CHOOSE(10-MIN(9,TRUNC((AA384+0.5)/10)),"A","B","C","D","F","F","F","F","F","F"),"")</f>
        <v>A</v>
      </c>
      <c r="AD384" s="32" t="str">
        <f>IF(A384&lt;&gt;"",IF(OR(AA384+0.5&gt;=93,AA384+0.5&lt;60),"",IF(MOD(AA384+0.5,10)&gt;=7,"+",IF(MOD(AA384+0.5,10)&lt;3,"-",""))),"")</f>
        <v>-</v>
      </c>
      <c r="AE384" s="32">
        <f>IF(A384&lt;&gt;"",SUM(W384:X384,$W$8:$X$8)/SUM($W$2:$X$2)*100,"")</f>
        <v>101</v>
      </c>
      <c r="AF384" s="32" t="str">
        <f>IF(A384&lt;&gt;"",CHOOSE(10-MIN(9,TRUNC((AE384+0.5)/10)),"A","B","C","D","F","F","F","F","F","F"),"")</f>
        <v>A</v>
      </c>
      <c r="AG384" s="32" t="str">
        <f>IF(A384&lt;&gt;"",IF(OR(AE384+0.5&gt;=93,AE384+0.5&lt;60),"",IF(MOD(AE384+0.5,10)&gt;=7,"+",IF(MOD(AE384+0.5,10)&lt;3,"-",""))),"")</f>
        <v/>
      </c>
      <c r="AH384" s="36">
        <f>IF(A384&lt;&gt;"",MIN(MAX(AA384,AE384),AA384+$AH$8,AE384+$AH$8),"")</f>
        <v>101</v>
      </c>
      <c r="AI384" s="32" t="str">
        <f>IF(A384&lt;&gt;"",CHOOSE(10-MIN(9,TRUNC((AH384+0.5)/10)),"A","B","C","D","F","F","F","F","F","F"),"")</f>
        <v>A</v>
      </c>
      <c r="AJ384" s="32" t="str">
        <f>IF(A384&lt;&gt;"",IF(OR(AH384+0.5&gt;=93,AH384+0.5&lt;60),"",IF(MOD(AH384+0.5,10)&gt;=7,"+",IF(MOD(AH384+0.5,10)&lt;3,"-",""))),"")</f>
        <v/>
      </c>
      <c r="AK384" s="32" t="b">
        <f>IF(A384&lt;&gt;"",OR(AI384&lt;&gt;AC384,AJ384&lt;&gt;AD384),"")</f>
        <v>1</v>
      </c>
      <c r="AL384" s="84">
        <f>IF(AND(A384&lt;&gt;"",U384&lt;&gt;""),SUM(U384,$AL$8)/$AL$2*100,"")</f>
        <v>69.333333333333343</v>
      </c>
      <c r="AM384" s="24">
        <f>IF(AND(A384&lt;&gt;"",V384&lt;&gt;""),SUM(V384,$AM$8)/$AM$2*100,"")</f>
        <v>93.84615384615384</v>
      </c>
      <c r="AN384" s="24">
        <f>IF(AND(A384&lt;&gt;"",ISNUMBER(P384),P384&gt;=0),SUM(P384,$AN$8)/$AN$2*100,"")</f>
        <v>101</v>
      </c>
      <c r="AO384" s="24" t="str">
        <f>IF(AND(A384&lt;&gt;"",ISNUMBER(Q384),Q384&gt;=0),SUM(Q384,$AO$8)/$AO$2*100,"")</f>
        <v/>
      </c>
      <c r="AP384" s="24" t="str">
        <f>IF(AND(A384&lt;&gt;"",R384&lt;&gt;""),SUM(R384,$AP$8)/$AP$2*100,"")</f>
        <v/>
      </c>
      <c r="AQ384" s="24">
        <f>IF(AND(A384&lt;&gt;"",ISNUMBER(W384),W384&gt;=0),SUM(W384,$AQ$8)/$AQ$2*100,"")</f>
        <v>101</v>
      </c>
      <c r="AR384" s="24" t="str">
        <f>IF(AND(A384&lt;&gt;"",T384&gt;0,ISNUMBER(T384)),SUM(T384,$AR$8)/$AR$2*100,"")</f>
        <v/>
      </c>
      <c r="AS384" s="24" t="str">
        <f>IF(AND(A384&lt;&gt;"",X384&lt;&gt;""),SUM(X384,$AS$8)/$AS$2*100,"")</f>
        <v/>
      </c>
      <c r="AT384" s="89">
        <f>IF(AND(A384&lt;&gt;"",OR(ISNUMBER(W384),ISNUMBER(X384))),SUM(W384:X384,$AT$8)/$AT$2*100,"")</f>
        <v>101</v>
      </c>
      <c r="AU384" s="24">
        <f>AA384</f>
        <v>90.491803278688522</v>
      </c>
      <c r="AV384" s="24"/>
      <c r="AW384" s="27">
        <f>IF(A384&lt;&gt;"",AE384-AA384,"")</f>
        <v>10.508196721311478</v>
      </c>
      <c r="AY384" s="27" t="b">
        <f>S384&gt;R384</f>
        <v>0</v>
      </c>
      <c r="BA384" s="27" t="e">
        <f>AND(AA384&gt;$BA$3,(W384+$W$8)/$W$2&lt;$BB$3,(X384+$X$8)/$X$2&lt;$BB$3)</f>
        <v>#VALUE!</v>
      </c>
      <c r="BB384" s="27" t="e">
        <f>AND(AA384&lt;$BA$3,AND(W384/$W$2&gt;$BB$3,X384/$X$2&gt;$BB$3))</f>
        <v>#VALUE!</v>
      </c>
      <c r="BC384" s="27" t="e">
        <f>AND(AA384&lt;$BA$3,OR(W384/$W$2&gt;$BB$3,X384/$X$2&gt;$BB$3))</f>
        <v>#VALUE!</v>
      </c>
      <c r="BE384" s="32">
        <v>32</v>
      </c>
    </row>
    <row r="385" spans="1:57" s="27" customFormat="1" ht="12.75" customHeight="1" x14ac:dyDescent="0.2">
      <c r="A385" s="10">
        <v>728145</v>
      </c>
      <c r="B385" s="2">
        <v>20</v>
      </c>
      <c r="C385" s="10">
        <v>25</v>
      </c>
      <c r="D385" s="10">
        <v>25</v>
      </c>
      <c r="E385" s="10"/>
      <c r="F385" s="10"/>
      <c r="G385" s="10"/>
      <c r="H385" s="10"/>
      <c r="I385" s="10"/>
      <c r="J385" s="2">
        <v>28</v>
      </c>
      <c r="K385" s="10">
        <v>38</v>
      </c>
      <c r="L385" s="10">
        <v>46</v>
      </c>
      <c r="M385" s="10"/>
      <c r="N385" s="93"/>
      <c r="O385" s="13"/>
      <c r="P385" s="10">
        <v>101</v>
      </c>
      <c r="Q385" s="10"/>
      <c r="R385" s="2"/>
      <c r="S385" s="10"/>
      <c r="T385" s="13"/>
      <c r="U385" s="7">
        <f t="array" ref="U385">IF(AND(A385&lt;&gt;"",OR(ISNUMBER(B385:I385))),SUM(B385:I385),"")</f>
        <v>70</v>
      </c>
      <c r="V385" s="10">
        <f t="array" ref="V385">IF(AND(A385&lt;&gt;"",OR(ISNUMBER(J385:O385))),SUM(J385:O385),"")</f>
        <v>112</v>
      </c>
      <c r="W385" s="10">
        <f t="array" ref="W385">IF(AND(A385&lt;&gt;"",OR(ISNUMBER(P385),ISNUMBER(Q385))),SUM(MAX(P385:Q385),Q385),"")</f>
        <v>101</v>
      </c>
      <c r="X385" s="10" t="str">
        <f t="array" ref="X385">IF(AND(A385&lt;&gt;"",OR(ISNUMBER(S385),ISNUMBER(T385))),SUM(S385,T385),"")</f>
        <v/>
      </c>
      <c r="Y385" s="13">
        <v>1</v>
      </c>
      <c r="Z385" s="13">
        <f>IF(A385&lt;&gt;"",SUM(U385:Y385),"")</f>
        <v>284</v>
      </c>
      <c r="AA385" s="27">
        <f>IF(A385&lt;&gt;"",(Z385+Normalize_To_Add)/(Point_Total_So_Far)*100,"")</f>
        <v>93.114754098360649</v>
      </c>
      <c r="AB385" s="10">
        <f>IF(A385&lt;&gt;"",RANK(AA385,All_Student_XC),"")</f>
        <v>297</v>
      </c>
      <c r="AC385" s="32" t="str">
        <f>IF(A385&lt;&gt;"",CHOOSE(10-MIN(9,TRUNC((AA385+0.5)/10)),"A","B","C","D","F","F","F","F","F","F"),"")</f>
        <v>A</v>
      </c>
      <c r="AD385" s="31" t="str">
        <f>IF(A385&lt;&gt;"",IF(OR(AA385+0.5&gt;=93,AA385+0.5&lt;60),"",IF(MOD(AA385+0.5,10)&gt;=7,"+",IF(MOD(AA385+0.5,10)&lt;3,"-",""))),"")</f>
        <v/>
      </c>
      <c r="AE385" s="32">
        <f>IF(A385&lt;&gt;"",SUM(W385:X385,$W$8:$X$8)/SUM($W$2:$X$2)*100,"")</f>
        <v>101</v>
      </c>
      <c r="AF385" s="32" t="str">
        <f>IF(A385&lt;&gt;"",CHOOSE(10-MIN(9,TRUNC((AE385+0.5)/10)),"A","B","C","D","F","F","F","F","F","F"),"")</f>
        <v>A</v>
      </c>
      <c r="AG385" s="32" t="str">
        <f>IF(A385&lt;&gt;"",IF(OR(AE385+0.5&gt;=93,AE385+0.5&lt;60),"",IF(MOD(AE385+0.5,10)&gt;=7,"+",IF(MOD(AE385+0.5,10)&lt;3,"-",""))),"")</f>
        <v/>
      </c>
      <c r="AH385" s="36">
        <f>IF(A385&lt;&gt;"",MIN(MAX(AA385,AE385),AA385+$AH$8,AE385+$AH$8),"")</f>
        <v>101</v>
      </c>
      <c r="AI385" s="32" t="str">
        <f>IF(A385&lt;&gt;"",CHOOSE(10-MIN(9,TRUNC((AH385+0.5)/10)),"A","B","C","D","F","F","F","F","F","F"),"")</f>
        <v>A</v>
      </c>
      <c r="AJ385" s="32" t="str">
        <f>IF(A385&lt;&gt;"",IF(OR(AH385+0.5&gt;=93,AH385+0.5&lt;60),"",IF(MOD(AH385+0.5,10)&gt;=7,"+",IF(MOD(AH385+0.5,10)&lt;3,"-",""))),"")</f>
        <v/>
      </c>
      <c r="AK385" s="71" t="b">
        <f>IF(A385&lt;&gt;"",OR(AI385&lt;&gt;AC385,AJ385&lt;&gt;AD385),"")</f>
        <v>0</v>
      </c>
      <c r="AL385" s="86">
        <f>IF(AND(A385&lt;&gt;"",U385&lt;&gt;""),SUM(U385,$AL$8)/$AL$2*100,"")</f>
        <v>93.333333333333329</v>
      </c>
      <c r="AM385" s="71">
        <f>IF(AND(A385&lt;&gt;"",V385&lt;&gt;""),SUM(V385,$AM$8)/$AM$2*100,"")</f>
        <v>86.15384615384616</v>
      </c>
      <c r="AN385" s="71">
        <f>IF(AND(A385&lt;&gt;"",ISNUMBER(P385),P385&gt;=0),SUM(P385,$AN$8)/$AN$2*100,"")</f>
        <v>101</v>
      </c>
      <c r="AO385" s="71" t="str">
        <f>IF(AND(A385&lt;&gt;"",ISNUMBER(Q385),Q385&gt;=0),SUM(Q385,$AO$8)/$AO$2*100,"")</f>
        <v/>
      </c>
      <c r="AP385" s="24" t="str">
        <f>IF(AND(A385&lt;&gt;"",R385&lt;&gt;""),SUM(R385,$AP$8)/$AP$2*100,"")</f>
        <v/>
      </c>
      <c r="AQ385" s="24">
        <f>IF(AND(A385&lt;&gt;"",ISNUMBER(W385),W385&gt;=0),SUM(W385,$AQ$8)/$AQ$2*100,"")</f>
        <v>101</v>
      </c>
      <c r="AR385" s="24" t="str">
        <f>IF(AND(A385&lt;&gt;"",T385&gt;0,ISNUMBER(T385)),SUM(T385,$AR$8)/$AR$2*100,"")</f>
        <v/>
      </c>
      <c r="AS385" s="24" t="str">
        <f>IF(AND(A385&lt;&gt;"",X385&lt;&gt;""),SUM(X385,$AS$8)/$AS$2*100,"")</f>
        <v/>
      </c>
      <c r="AT385" s="89">
        <f>IF(AND(A385&lt;&gt;"",OR(ISNUMBER(W385),ISNUMBER(X385))),SUM(W385:X385,$AT$8)/$AT$2*100,"")</f>
        <v>101</v>
      </c>
      <c r="AU385" s="24">
        <f>AA385</f>
        <v>93.114754098360649</v>
      </c>
      <c r="AV385" s="71"/>
      <c r="AW385" s="27">
        <f>IF(A385&lt;&gt;"",AE385-AA385,"")</f>
        <v>7.885245901639351</v>
      </c>
      <c r="AY385" s="27" t="b">
        <f>S385&gt;R385</f>
        <v>0</v>
      </c>
      <c r="BA385" s="27" t="e">
        <f>AND(AA385&gt;$BA$3,(W385+$W$8)/$W$2&lt;$BB$3,(X385+$X$8)/$X$2&lt;$BB$3)</f>
        <v>#VALUE!</v>
      </c>
      <c r="BB385" s="27" t="e">
        <f>AND(AA385&lt;$BA$3,AND(W385/$W$2&gt;$BB$3,X385/$X$2&gt;$BB$3))</f>
        <v>#VALUE!</v>
      </c>
      <c r="BC385" s="27" t="e">
        <f>AND(AA385&lt;$BA$3,OR(W385/$W$2&gt;$BB$3,X385/$X$2&gt;$BB$3))</f>
        <v>#VALUE!</v>
      </c>
      <c r="BE385" s="32">
        <v>32</v>
      </c>
    </row>
    <row r="386" spans="1:57" s="27" customFormat="1" ht="12.75" customHeight="1" x14ac:dyDescent="0.2">
      <c r="A386" s="10">
        <v>729721</v>
      </c>
      <c r="B386" s="2">
        <v>19</v>
      </c>
      <c r="C386" s="10">
        <v>20</v>
      </c>
      <c r="D386" s="10">
        <v>25</v>
      </c>
      <c r="E386" s="10"/>
      <c r="F386" s="10"/>
      <c r="G386" s="10"/>
      <c r="H386" s="10"/>
      <c r="I386" s="10"/>
      <c r="J386" s="2">
        <v>28</v>
      </c>
      <c r="K386" s="10">
        <v>50</v>
      </c>
      <c r="L386" s="10">
        <v>49</v>
      </c>
      <c r="M386" s="10"/>
      <c r="N386" s="93"/>
      <c r="O386" s="13"/>
      <c r="P386" s="10">
        <v>101</v>
      </c>
      <c r="Q386" s="10"/>
      <c r="R386" s="2"/>
      <c r="S386" s="10"/>
      <c r="T386" s="13"/>
      <c r="U386" s="7">
        <f t="array" ref="U386">IF(AND(A386&lt;&gt;"",OR(ISNUMBER(B386:I386))),SUM(B386:I386),"")</f>
        <v>64</v>
      </c>
      <c r="V386" s="10">
        <f t="array" ref="V386">IF(AND(A386&lt;&gt;"",OR(ISNUMBER(J386:O386))),SUM(J386:O386),"")</f>
        <v>127</v>
      </c>
      <c r="W386" s="10">
        <f t="array" ref="W386">IF(AND(A386&lt;&gt;"",OR(ISNUMBER(P386),ISNUMBER(Q386))),SUM(MAX(P386:Q386),Q386),"")</f>
        <v>101</v>
      </c>
      <c r="X386" s="10" t="str">
        <f t="array" ref="X386">IF(AND(A386&lt;&gt;"",OR(ISNUMBER(S386),ISNUMBER(T386))),SUM(S386,T386),"")</f>
        <v/>
      </c>
      <c r="Y386" s="13">
        <v>1</v>
      </c>
      <c r="Z386" s="13">
        <f>IF(A386&lt;&gt;"",SUM(U386:Y386),"")</f>
        <v>293</v>
      </c>
      <c r="AA386" s="27">
        <f>IF(A386&lt;&gt;"",(Z386+Normalize_To_Add)/(Point_Total_So_Far)*100,"")</f>
        <v>96.06557377049181</v>
      </c>
      <c r="AB386" s="10">
        <f>IF(A386&lt;&gt;"",RANK(AA386,All_Student_XC),"")</f>
        <v>256</v>
      </c>
      <c r="AC386" s="32" t="str">
        <f>IF(A386&lt;&gt;"",CHOOSE(10-MIN(9,TRUNC((AA386+0.5)/10)),"A","B","C","D","F","F","F","F","F","F"),"")</f>
        <v>A</v>
      </c>
      <c r="AD386" s="31" t="str">
        <f>IF(A386&lt;&gt;"",IF(OR(AA386+0.5&gt;=93,AA386+0.5&lt;60),"",IF(MOD(AA386+0.5,10)&gt;=7,"+",IF(MOD(AA386+0.5,10)&lt;3,"-",""))),"")</f>
        <v/>
      </c>
      <c r="AE386" s="32">
        <f>IF(A386&lt;&gt;"",SUM(W386:X386,$W$8:$X$8)/SUM($W$2:$X$2)*100,"")</f>
        <v>101</v>
      </c>
      <c r="AF386" s="32" t="str">
        <f>IF(A386&lt;&gt;"",CHOOSE(10-MIN(9,TRUNC((AE386+0.5)/10)),"A","B","C","D","F","F","F","F","F","F"),"")</f>
        <v>A</v>
      </c>
      <c r="AG386" s="32" t="str">
        <f>IF(A386&lt;&gt;"",IF(OR(AE386+0.5&gt;=93,AE386+0.5&lt;60),"",IF(MOD(AE386+0.5,10)&gt;=7,"+",IF(MOD(AE386+0.5,10)&lt;3,"-",""))),"")</f>
        <v/>
      </c>
      <c r="AH386" s="36">
        <f>IF(A386&lt;&gt;"",MIN(MAX(AA386,AE386),AA386+$AH$8,AE386+$AH$8),"")</f>
        <v>101</v>
      </c>
      <c r="AI386" s="32" t="str">
        <f>IF(A386&lt;&gt;"",CHOOSE(10-MIN(9,TRUNC((AH386+0.5)/10)),"A","B","C","D","F","F","F","F","F","F"),"")</f>
        <v>A</v>
      </c>
      <c r="AJ386" s="32" t="str">
        <f>IF(A386&lt;&gt;"",IF(OR(AH386+0.5&gt;=93,AH386+0.5&lt;60),"",IF(MOD(AH386+0.5,10)&gt;=7,"+",IF(MOD(AH386+0.5,10)&lt;3,"-",""))),"")</f>
        <v/>
      </c>
      <c r="AK386" s="71" t="b">
        <f>IF(A386&lt;&gt;"",OR(AI386&lt;&gt;AC386,AJ386&lt;&gt;AD386),"")</f>
        <v>0</v>
      </c>
      <c r="AL386" s="86">
        <f>IF(AND(A386&lt;&gt;"",U386&lt;&gt;""),SUM(U386,$AL$8)/$AL$2*100,"")</f>
        <v>85.333333333333343</v>
      </c>
      <c r="AM386" s="71">
        <f>IF(AND(A386&lt;&gt;"",V386&lt;&gt;""),SUM(V386,$AM$8)/$AM$2*100,"")</f>
        <v>97.692307692307693</v>
      </c>
      <c r="AN386" s="71">
        <f>IF(AND(A386&lt;&gt;"",ISNUMBER(P386),P386&gt;=0),SUM(P386,$AN$8)/$AN$2*100,"")</f>
        <v>101</v>
      </c>
      <c r="AO386" s="71" t="str">
        <f>IF(AND(A386&lt;&gt;"",ISNUMBER(Q386),Q386&gt;=0),SUM(Q386,$AO$8)/$AO$2*100,"")</f>
        <v/>
      </c>
      <c r="AP386" s="24" t="str">
        <f>IF(AND(A386&lt;&gt;"",R386&lt;&gt;""),SUM(R386,$AP$8)/$AP$2*100,"")</f>
        <v/>
      </c>
      <c r="AQ386" s="24">
        <f>IF(AND(A386&lt;&gt;"",ISNUMBER(W386),W386&gt;=0),SUM(W386,$AQ$8)/$AQ$2*100,"")</f>
        <v>101</v>
      </c>
      <c r="AR386" s="24" t="str">
        <f>IF(AND(A386&lt;&gt;"",T386&gt;0,ISNUMBER(T386)),SUM(T386,$AR$8)/$AR$2*100,"")</f>
        <v/>
      </c>
      <c r="AS386" s="24" t="str">
        <f>IF(AND(A386&lt;&gt;"",X386&lt;&gt;""),SUM(X386,$AS$8)/$AS$2*100,"")</f>
        <v/>
      </c>
      <c r="AT386" s="89">
        <f>IF(AND(A386&lt;&gt;"",OR(ISNUMBER(W386),ISNUMBER(X386))),SUM(W386:X386,$AT$8)/$AT$2*100,"")</f>
        <v>101</v>
      </c>
      <c r="AU386" s="24">
        <f>AA386</f>
        <v>96.06557377049181</v>
      </c>
      <c r="AV386" s="71"/>
      <c r="AW386" s="27">
        <f>IF(A386&lt;&gt;"",AE386-AA386,"")</f>
        <v>4.9344262295081904</v>
      </c>
      <c r="AY386" s="27" t="b">
        <f>S386&gt;R386</f>
        <v>0</v>
      </c>
      <c r="BA386" s="27" t="e">
        <f>AND(AA386&gt;$BA$3,(W386+$W$8)/$W$2&lt;$BB$3,(X386+$X$8)/$X$2&lt;$BB$3)</f>
        <v>#VALUE!</v>
      </c>
      <c r="BB386" s="27" t="e">
        <f>AND(AA386&lt;$BA$3,AND(W386/$W$2&gt;$BB$3,X386/$X$2&gt;$BB$3))</f>
        <v>#VALUE!</v>
      </c>
      <c r="BC386" s="27" t="e">
        <f>AND(AA386&lt;$BA$3,OR(W386/$W$2&gt;$BB$3,X386/$X$2&gt;$BB$3))</f>
        <v>#VALUE!</v>
      </c>
      <c r="BE386" s="32">
        <v>32</v>
      </c>
    </row>
    <row r="387" spans="1:57" s="27" customFormat="1" ht="12.75" customHeight="1" x14ac:dyDescent="0.2">
      <c r="A387" s="10">
        <v>730771</v>
      </c>
      <c r="B387" s="2">
        <v>8</v>
      </c>
      <c r="C387" s="10">
        <v>20</v>
      </c>
      <c r="D387" s="10">
        <v>15</v>
      </c>
      <c r="E387" s="10"/>
      <c r="F387" s="10"/>
      <c r="G387" s="3"/>
      <c r="H387" s="10"/>
      <c r="I387" s="10"/>
      <c r="J387" s="2">
        <v>28</v>
      </c>
      <c r="K387" s="10">
        <v>21</v>
      </c>
      <c r="L387" s="10">
        <v>49</v>
      </c>
      <c r="M387" s="10"/>
      <c r="N387" s="10"/>
      <c r="O387" s="12"/>
      <c r="P387" s="35">
        <v>80</v>
      </c>
      <c r="Q387" s="7"/>
      <c r="R387" s="2"/>
      <c r="S387" s="10"/>
      <c r="T387" s="13"/>
      <c r="U387" s="35">
        <f t="array" ref="U387">IF(AND(A387&lt;&gt;"",OR(ISNUMBER(B387:I387))),SUM(B387:I387),"")</f>
        <v>43</v>
      </c>
      <c r="V387" s="10">
        <f t="array" ref="V387">IF(AND(A387&lt;&gt;"",OR(ISNUMBER(J387:O387))),SUM(J387:O387),"")</f>
        <v>98</v>
      </c>
      <c r="W387" s="10">
        <f t="array" ref="W387">IF(AND(A387&lt;&gt;"",OR(ISNUMBER(P387),ISNUMBER(Q387))),SUM(MAX(P387:Q387),Q387),"")</f>
        <v>80</v>
      </c>
      <c r="X387" s="10" t="str">
        <f t="array" ref="X387">IF(AND(A387&lt;&gt;"",OR(ISNUMBER(S387),ISNUMBER(T387))),SUM(S387,T387),"")</f>
        <v/>
      </c>
      <c r="Y387" s="13">
        <v>1</v>
      </c>
      <c r="Z387" s="13">
        <f>IF(A387&lt;&gt;"",SUM(U387:Y387),"")</f>
        <v>222</v>
      </c>
      <c r="AA387" s="27">
        <f>IF(A387&lt;&gt;"",(Z387+Normalize_To_Add)/(Point_Total_So_Far)*100,"")</f>
        <v>72.786885245901644</v>
      </c>
      <c r="AB387" s="10">
        <f>IF(A387&lt;&gt;"",RANK(AA387,All_Student_XC),"")</f>
        <v>444</v>
      </c>
      <c r="AC387" s="32" t="str">
        <f>IF(A387&lt;&gt;"",CHOOSE(10-MIN(9,TRUNC((AA387+0.5)/10)),"A","B","C","D","F","F","F","F","F","F"),"")</f>
        <v>C</v>
      </c>
      <c r="AD387" s="32" t="str">
        <f>IF(A387&lt;&gt;"",IF(OR(AA387+0.5&gt;=93,AA387+0.5&lt;60),"",IF(MOD(AA387+0.5,10)&gt;=7,"+",IF(MOD(AA387+0.5,10)&lt;3,"-",""))),"")</f>
        <v/>
      </c>
      <c r="AE387" s="32">
        <f>IF(A387&lt;&gt;"",SUM(W387:X387,$W$8:$X$8)/SUM($W$2:$X$2)*100,"")</f>
        <v>80</v>
      </c>
      <c r="AF387" s="32" t="str">
        <f>IF(A387&lt;&gt;"",CHOOSE(10-MIN(9,TRUNC((AE387+0.5)/10)),"A","B","C","D","F","F","F","F","F","F"),"")</f>
        <v>B</v>
      </c>
      <c r="AG387" s="32" t="str">
        <f>IF(A387&lt;&gt;"",IF(OR(AE387+0.5&gt;=93,AE387+0.5&lt;60),"",IF(MOD(AE387+0.5,10)&gt;=7,"+",IF(MOD(AE387+0.5,10)&lt;3,"-",""))),"")</f>
        <v>-</v>
      </c>
      <c r="AH387" s="36">
        <f>IF(A387&lt;&gt;"",MIN(MAX(AA387,AE387),AA387+$AH$8,AE387+$AH$8),"")</f>
        <v>80</v>
      </c>
      <c r="AI387" s="32" t="str">
        <f>IF(A387&lt;&gt;"",CHOOSE(10-MIN(9,TRUNC((AH387+0.5)/10)),"A","B","C","D","F","F","F","F","F","F"),"")</f>
        <v>B</v>
      </c>
      <c r="AJ387" s="32" t="str">
        <f>IF(A387&lt;&gt;"",IF(OR(AH387+0.5&gt;=93,AH387+0.5&lt;60),"",IF(MOD(AH387+0.5,10)&gt;=7,"+",IF(MOD(AH387+0.5,10)&lt;3,"-",""))),"")</f>
        <v>-</v>
      </c>
      <c r="AK387" s="32" t="b">
        <f>IF(A387&lt;&gt;"",OR(AI387&lt;&gt;AC387,AJ387&lt;&gt;AD387),"")</f>
        <v>1</v>
      </c>
      <c r="AL387" s="84">
        <f>IF(AND(A387&lt;&gt;"",U387&lt;&gt;""),SUM(U387,$AL$8)/$AL$2*100,"")</f>
        <v>57.333333333333336</v>
      </c>
      <c r="AM387" s="24">
        <f>IF(AND(A387&lt;&gt;"",V387&lt;&gt;""),SUM(V387,$AM$8)/$AM$2*100,"")</f>
        <v>75.384615384615387</v>
      </c>
      <c r="AN387" s="24">
        <f>IF(AND(A387&lt;&gt;"",ISNUMBER(P387),P387&gt;=0),SUM(P387,$AN$8)/$AN$2*100,"")</f>
        <v>80</v>
      </c>
      <c r="AO387" s="24" t="str">
        <f>IF(AND(A387&lt;&gt;"",ISNUMBER(Q387),Q387&gt;=0),SUM(Q387,$AO$8)/$AO$2*100,"")</f>
        <v/>
      </c>
      <c r="AP387" s="24" t="str">
        <f>IF(AND(A387&lt;&gt;"",R387&lt;&gt;""),SUM(R387,$AP$8)/$AP$2*100,"")</f>
        <v/>
      </c>
      <c r="AQ387" s="24">
        <f>IF(AND(A387&lt;&gt;"",ISNUMBER(W387),W387&gt;=0),SUM(W387,$AQ$8)/$AQ$2*100,"")</f>
        <v>80</v>
      </c>
      <c r="AR387" s="24" t="str">
        <f>IF(AND(A387&lt;&gt;"",T387&gt;0,ISNUMBER(T387)),SUM(T387,$AR$8)/$AR$2*100,"")</f>
        <v/>
      </c>
      <c r="AS387" s="24" t="str">
        <f>IF(AND(A387&lt;&gt;"",X387&lt;&gt;""),SUM(X387,$AS$8)/$AS$2*100,"")</f>
        <v/>
      </c>
      <c r="AT387" s="89">
        <f>IF(AND(A387&lt;&gt;"",OR(ISNUMBER(W387),ISNUMBER(X387))),SUM(W387:X387,$AT$8)/$AT$2*100,"")</f>
        <v>80</v>
      </c>
      <c r="AU387" s="24">
        <f>AA387</f>
        <v>72.786885245901644</v>
      </c>
      <c r="AV387" s="24"/>
      <c r="AW387" s="27">
        <f>IF(A387&lt;&gt;"",AE387-AA387,"")</f>
        <v>7.2131147540983562</v>
      </c>
      <c r="AY387" s="27" t="b">
        <f>S387&gt;R387</f>
        <v>0</v>
      </c>
      <c r="BA387" s="27" t="e">
        <f>AND(AA387&gt;$BA$3,(W387+$W$8)/$W$2&lt;$BB$3,(X387+$X$8)/$X$2&lt;$BB$3)</f>
        <v>#VALUE!</v>
      </c>
      <c r="BB387" s="27" t="e">
        <f>AND(AA387&lt;$BA$3,AND(W387/$W$2&gt;$BB$3,X387/$X$2&gt;$BB$3))</f>
        <v>#VALUE!</v>
      </c>
      <c r="BC387" s="27" t="e">
        <f>AND(AA387&lt;$BA$3,OR(W387/$W$2&gt;$BB$3,X387/$X$2&gt;$BB$3))</f>
        <v>#VALUE!</v>
      </c>
      <c r="BE387" s="32">
        <v>32</v>
      </c>
    </row>
    <row r="388" spans="1:57" s="27" customFormat="1" ht="12.75" customHeight="1" x14ac:dyDescent="0.2">
      <c r="A388" s="10">
        <v>732499</v>
      </c>
      <c r="B388" s="2">
        <v>20</v>
      </c>
      <c r="C388" s="10">
        <v>20</v>
      </c>
      <c r="D388" s="10">
        <v>20</v>
      </c>
      <c r="E388" s="10"/>
      <c r="F388" s="10"/>
      <c r="G388" s="10"/>
      <c r="H388" s="10"/>
      <c r="I388" s="10"/>
      <c r="J388" s="2">
        <v>30</v>
      </c>
      <c r="K388" s="10">
        <v>52</v>
      </c>
      <c r="L388" s="10">
        <v>52</v>
      </c>
      <c r="M388" s="10"/>
      <c r="N388" s="93"/>
      <c r="O388" s="13"/>
      <c r="P388" s="10">
        <v>100</v>
      </c>
      <c r="Q388" s="10"/>
      <c r="R388" s="2"/>
      <c r="S388" s="10"/>
      <c r="T388" s="13"/>
      <c r="U388" s="7">
        <f t="array" ref="U388">IF(AND(A388&lt;&gt;"",OR(ISNUMBER(B388:I388))),SUM(B388:I388),"")</f>
        <v>60</v>
      </c>
      <c r="V388" s="10">
        <f t="array" ref="V388">IF(AND(A388&lt;&gt;"",OR(ISNUMBER(J388:O388))),SUM(J388:O388),"")</f>
        <v>134</v>
      </c>
      <c r="W388" s="10">
        <f t="array" ref="W388">IF(AND(A388&lt;&gt;"",OR(ISNUMBER(P388),ISNUMBER(Q388))),SUM(MAX(P388:Q388),Q388),"")</f>
        <v>100</v>
      </c>
      <c r="X388" s="10" t="str">
        <f t="array" ref="X388">IF(AND(A388&lt;&gt;"",OR(ISNUMBER(S388),ISNUMBER(T388))),SUM(S388,T388),"")</f>
        <v/>
      </c>
      <c r="Y388" s="13">
        <v>1</v>
      </c>
      <c r="Z388" s="13">
        <f>IF(A388&lt;&gt;"",SUM(U388:Y388),"")</f>
        <v>295</v>
      </c>
      <c r="AA388" s="27">
        <f>IF(A388&lt;&gt;"",(Z388+Normalize_To_Add)/(Point_Total_So_Far)*100,"")</f>
        <v>96.721311475409834</v>
      </c>
      <c r="AB388" s="10">
        <f>IF(A388&lt;&gt;"",RANK(AA388,All_Student_XC),"")</f>
        <v>243</v>
      </c>
      <c r="AC388" s="32" t="str">
        <f>IF(A388&lt;&gt;"",CHOOSE(10-MIN(9,TRUNC((AA388+0.5)/10)),"A","B","C","D","F","F","F","F","F","F"),"")</f>
        <v>A</v>
      </c>
      <c r="AD388" s="31" t="str">
        <f>IF(A388&lt;&gt;"",IF(OR(AA388+0.5&gt;=93,AA388+0.5&lt;60),"",IF(MOD(AA388+0.5,10)&gt;=7,"+",IF(MOD(AA388+0.5,10)&lt;3,"-",""))),"")</f>
        <v/>
      </c>
      <c r="AE388" s="32">
        <f>IF(A388&lt;&gt;"",SUM(W388:X388,$W$8:$X$8)/SUM($W$2:$X$2)*100,"")</f>
        <v>100</v>
      </c>
      <c r="AF388" s="32" t="str">
        <f>IF(A388&lt;&gt;"",CHOOSE(10-MIN(9,TRUNC((AE388+0.5)/10)),"A","B","C","D","F","F","F","F","F","F"),"")</f>
        <v>A</v>
      </c>
      <c r="AG388" s="32" t="str">
        <f>IF(A388&lt;&gt;"",IF(OR(AE388+0.5&gt;=93,AE388+0.5&lt;60),"",IF(MOD(AE388+0.5,10)&gt;=7,"+",IF(MOD(AE388+0.5,10)&lt;3,"-",""))),"")</f>
        <v/>
      </c>
      <c r="AH388" s="36">
        <f>IF(A388&lt;&gt;"",MIN(MAX(AA388,AE388),AA388+$AH$8,AE388+$AH$8),"")</f>
        <v>100</v>
      </c>
      <c r="AI388" s="32" t="str">
        <f>IF(A388&lt;&gt;"",CHOOSE(10-MIN(9,TRUNC((AH388+0.5)/10)),"A","B","C","D","F","F","F","F","F","F"),"")</f>
        <v>A</v>
      </c>
      <c r="AJ388" s="32" t="str">
        <f>IF(A388&lt;&gt;"",IF(OR(AH388+0.5&gt;=93,AH388+0.5&lt;60),"",IF(MOD(AH388+0.5,10)&gt;=7,"+",IF(MOD(AH388+0.5,10)&lt;3,"-",""))),"")</f>
        <v/>
      </c>
      <c r="AK388" s="71" t="b">
        <f>IF(A388&lt;&gt;"",OR(AI388&lt;&gt;AC388,AJ388&lt;&gt;AD388),"")</f>
        <v>0</v>
      </c>
      <c r="AL388" s="86">
        <f>IF(AND(A388&lt;&gt;"",U388&lt;&gt;""),SUM(U388,$AL$8)/$AL$2*100,"")</f>
        <v>80</v>
      </c>
      <c r="AM388" s="71">
        <f>IF(AND(A388&lt;&gt;"",V388&lt;&gt;""),SUM(V388,$AM$8)/$AM$2*100,"")</f>
        <v>103.07692307692307</v>
      </c>
      <c r="AN388" s="71">
        <f>IF(AND(A388&lt;&gt;"",ISNUMBER(P388),P388&gt;=0),SUM(P388,$AN$8)/$AN$2*100,"")</f>
        <v>100</v>
      </c>
      <c r="AO388" s="71" t="str">
        <f>IF(AND(A388&lt;&gt;"",ISNUMBER(Q388),Q388&gt;=0),SUM(Q388,$AO$8)/$AO$2*100,"")</f>
        <v/>
      </c>
      <c r="AP388" s="24" t="str">
        <f>IF(AND(A388&lt;&gt;"",R388&lt;&gt;""),SUM(R388,$AP$8)/$AP$2*100,"")</f>
        <v/>
      </c>
      <c r="AQ388" s="24">
        <f>IF(AND(A388&lt;&gt;"",ISNUMBER(W388),W388&gt;=0),SUM(W388,$AQ$8)/$AQ$2*100,"")</f>
        <v>100</v>
      </c>
      <c r="AR388" s="24" t="str">
        <f>IF(AND(A388&lt;&gt;"",T388&gt;0,ISNUMBER(T388)),SUM(T388,$AR$8)/$AR$2*100,"")</f>
        <v/>
      </c>
      <c r="AS388" s="24" t="str">
        <f>IF(AND(A388&lt;&gt;"",X388&lt;&gt;""),SUM(X388,$AS$8)/$AS$2*100,"")</f>
        <v/>
      </c>
      <c r="AT388" s="89">
        <f>IF(AND(A388&lt;&gt;"",OR(ISNUMBER(W388),ISNUMBER(X388))),SUM(W388:X388,$AT$8)/$AT$2*100,"")</f>
        <v>100</v>
      </c>
      <c r="AU388" s="24">
        <f>AA388</f>
        <v>96.721311475409834</v>
      </c>
      <c r="AV388" s="71"/>
      <c r="AW388" s="27">
        <f>IF(A388&lt;&gt;"",AE388-AA388,"")</f>
        <v>3.2786885245901658</v>
      </c>
      <c r="AY388" s="27" t="b">
        <f>S388&gt;R388</f>
        <v>0</v>
      </c>
      <c r="BA388" s="27" t="e">
        <f>AND(AA388&gt;$BA$3,(W388+$W$8)/$W$2&lt;$BB$3,(X388+$X$8)/$X$2&lt;$BB$3)</f>
        <v>#VALUE!</v>
      </c>
      <c r="BB388" s="27" t="e">
        <f>AND(AA388&lt;$BA$3,AND(W388/$W$2&gt;$BB$3,X388/$X$2&gt;$BB$3))</f>
        <v>#VALUE!</v>
      </c>
      <c r="BC388" s="27" t="e">
        <f>AND(AA388&lt;$BA$3,OR(W388/$W$2&gt;$BB$3,X388/$X$2&gt;$BB$3))</f>
        <v>#VALUE!</v>
      </c>
      <c r="BE388" s="32" t="s">
        <v>84</v>
      </c>
    </row>
    <row r="389" spans="1:57" s="27" customFormat="1" ht="12.75" customHeight="1" x14ac:dyDescent="0.2">
      <c r="A389" s="10">
        <v>733942</v>
      </c>
      <c r="B389" s="2">
        <v>12</v>
      </c>
      <c r="C389" s="10">
        <v>8</v>
      </c>
      <c r="D389" s="10">
        <v>22</v>
      </c>
      <c r="E389" s="10"/>
      <c r="F389" s="10"/>
      <c r="G389" s="3"/>
      <c r="H389" s="10"/>
      <c r="I389" s="10"/>
      <c r="J389" s="2">
        <v>32</v>
      </c>
      <c r="K389" s="10">
        <v>10</v>
      </c>
      <c r="L389" s="56">
        <v>51</v>
      </c>
      <c r="M389" s="10"/>
      <c r="N389" s="93"/>
      <c r="O389" s="12"/>
      <c r="P389" s="41">
        <v>101</v>
      </c>
      <c r="Q389" s="41"/>
      <c r="R389" s="2"/>
      <c r="S389" s="10"/>
      <c r="T389" s="13"/>
      <c r="U389" s="7">
        <f t="array" ref="U389">IF(AND(A389&lt;&gt;"",OR(ISNUMBER(B389:I389))),SUM(B389:I389),"")</f>
        <v>42</v>
      </c>
      <c r="V389" s="10">
        <f t="array" ref="V389">IF(AND(A389&lt;&gt;"",OR(ISNUMBER(J389:O389))),SUM(J389:O389),"")</f>
        <v>93</v>
      </c>
      <c r="W389" s="10">
        <f t="array" ref="W389">IF(AND(A389&lt;&gt;"",OR(ISNUMBER(P389),ISNUMBER(Q389))),SUM(MAX(P389:Q389),Q389),"")</f>
        <v>101</v>
      </c>
      <c r="X389" s="10" t="str">
        <f t="array" ref="X389">IF(AND(A389&lt;&gt;"",OR(ISNUMBER(S389),ISNUMBER(T389))),SUM(S389,T389),"")</f>
        <v/>
      </c>
      <c r="Y389" s="13">
        <v>1</v>
      </c>
      <c r="Z389" s="13">
        <f>IF(A389&lt;&gt;"",SUM(U389:Y389),"")</f>
        <v>237</v>
      </c>
      <c r="AA389" s="27">
        <f>IF(A389&lt;&gt;"",(Z389+Normalize_To_Add)/(Point_Total_So_Far)*100,"")</f>
        <v>77.704918032786878</v>
      </c>
      <c r="AB389" s="10">
        <f>IF(A389&lt;&gt;"",RANK(AA389,All_Student_XC),"")</f>
        <v>425</v>
      </c>
      <c r="AC389" s="32" t="str">
        <f>IF(A389&lt;&gt;"",CHOOSE(10-MIN(9,TRUNC((AA389+0.5)/10)),"A","B","C","D","F","F","F","F","F","F"),"")</f>
        <v>C</v>
      </c>
      <c r="AD389" s="32" t="str">
        <f>IF(A389&lt;&gt;"",IF(OR(AA389+0.5&gt;=93,AA389+0.5&lt;60),"",IF(MOD(AA389+0.5,10)&gt;=7,"+",IF(MOD(AA389+0.5,10)&lt;3,"-",""))),"")</f>
        <v>+</v>
      </c>
      <c r="AE389" s="32">
        <f>IF(A389&lt;&gt;"",SUM(W389:X389,$W$8:$X$8)/SUM($W$2:$X$2)*100,"")</f>
        <v>101</v>
      </c>
      <c r="AF389" s="32" t="str">
        <f>IF(A389&lt;&gt;"",CHOOSE(10-MIN(9,TRUNC((AE389+0.5)/10)),"A","B","C","D","F","F","F","F","F","F"),"")</f>
        <v>A</v>
      </c>
      <c r="AG389" s="32" t="str">
        <f>IF(A389&lt;&gt;"",IF(OR(AE389+0.5&gt;=93,AE389+0.5&lt;60),"",IF(MOD(AE389+0.5,10)&gt;=7,"+",IF(MOD(AE389+0.5,10)&lt;3,"-",""))),"")</f>
        <v/>
      </c>
      <c r="AH389" s="36">
        <f>IF(A389&lt;&gt;"",MIN(MAX(AA389,AE389),AA389+$AH$8,AE389+$AH$8),"")</f>
        <v>101</v>
      </c>
      <c r="AI389" s="32" t="str">
        <f>IF(A389&lt;&gt;"",CHOOSE(10-MIN(9,TRUNC((AH389+0.5)/10)),"A","B","C","D","F","F","F","F","F","F"),"")</f>
        <v>A</v>
      </c>
      <c r="AJ389" s="32" t="str">
        <f>IF(A389&lt;&gt;"",IF(OR(AH389+0.5&gt;=93,AH389+0.5&lt;60),"",IF(MOD(AH389+0.5,10)&gt;=7,"+",IF(MOD(AH389+0.5,10)&lt;3,"-",""))),"")</f>
        <v/>
      </c>
      <c r="AK389" s="32" t="b">
        <f>IF(A389&lt;&gt;"",OR(AI389&lt;&gt;AC389,AJ389&lt;&gt;AD389),"")</f>
        <v>1</v>
      </c>
      <c r="AL389" s="84">
        <f>IF(AND(A389&lt;&gt;"",U389&lt;&gt;""),SUM(U389,$AL$8)/$AL$2*100,"")</f>
        <v>56.000000000000007</v>
      </c>
      <c r="AM389" s="24">
        <f>IF(AND(A389&lt;&gt;"",V389&lt;&gt;""),SUM(V389,$AM$8)/$AM$2*100,"")</f>
        <v>71.538461538461533</v>
      </c>
      <c r="AN389" s="24">
        <f>IF(AND(A389&lt;&gt;"",ISNUMBER(P389),P389&gt;=0),SUM(P389,$AN$8)/$AN$2*100,"")</f>
        <v>101</v>
      </c>
      <c r="AO389" s="24" t="str">
        <f>IF(AND(A389&lt;&gt;"",ISNUMBER(Q389),Q389&gt;=0),SUM(Q389,$AO$8)/$AO$2*100,"")</f>
        <v/>
      </c>
      <c r="AP389" s="24" t="str">
        <f>IF(AND(A389&lt;&gt;"",R389&lt;&gt;""),SUM(R389,$AP$8)/$AP$2*100,"")</f>
        <v/>
      </c>
      <c r="AQ389" s="24">
        <f>IF(AND(A389&lt;&gt;"",ISNUMBER(W389),W389&gt;=0),SUM(W389,$AQ$8)/$AQ$2*100,"")</f>
        <v>101</v>
      </c>
      <c r="AR389" s="24" t="str">
        <f>IF(AND(A389&lt;&gt;"",T389&gt;0,ISNUMBER(T389)),SUM(T389,$AR$8)/$AR$2*100,"")</f>
        <v/>
      </c>
      <c r="AS389" s="24" t="str">
        <f>IF(AND(A389&lt;&gt;"",X389&lt;&gt;""),SUM(X389,$AS$8)/$AS$2*100,"")</f>
        <v/>
      </c>
      <c r="AT389" s="89">
        <f>IF(AND(A389&lt;&gt;"",OR(ISNUMBER(W389),ISNUMBER(X389))),SUM(W389:X389,$AT$8)/$AT$2*100,"")</f>
        <v>101</v>
      </c>
      <c r="AU389" s="24">
        <f>AA389</f>
        <v>77.704918032786878</v>
      </c>
      <c r="AV389" s="24"/>
      <c r="AW389" s="27">
        <f>IF(A389&lt;&gt;"",AE389-AA389,"")</f>
        <v>23.295081967213122</v>
      </c>
      <c r="AY389" s="27" t="b">
        <f>S389&gt;R389</f>
        <v>0</v>
      </c>
      <c r="BA389" s="27" t="e">
        <f>AND(AA389&gt;$BA$3,(W389+$W$8)/$W$2&lt;$BB$3,(X389+$X$8)/$X$2&lt;$BB$3)</f>
        <v>#VALUE!</v>
      </c>
      <c r="BB389" s="27" t="e">
        <f>AND(AA389&lt;$BA$3,AND(W389/$W$2&gt;$BB$3,X389/$X$2&gt;$BB$3))</f>
        <v>#VALUE!</v>
      </c>
      <c r="BC389" s="27" t="e">
        <f>AND(AA389&lt;$BA$3,OR(W389/$W$2&gt;$BB$3,X389/$X$2&gt;$BB$3))</f>
        <v>#VALUE!</v>
      </c>
      <c r="BE389" s="32">
        <v>32</v>
      </c>
    </row>
    <row r="390" spans="1:57" s="27" customFormat="1" ht="12.75" customHeight="1" x14ac:dyDescent="0.2">
      <c r="A390" s="10">
        <v>736428</v>
      </c>
      <c r="B390" s="2">
        <v>12</v>
      </c>
      <c r="C390" s="10">
        <v>19</v>
      </c>
      <c r="D390" s="10">
        <v>25</v>
      </c>
      <c r="E390" s="10"/>
      <c r="F390" s="10"/>
      <c r="G390" s="3"/>
      <c r="H390" s="10"/>
      <c r="I390" s="10"/>
      <c r="J390" s="2">
        <v>32</v>
      </c>
      <c r="K390" s="10">
        <v>52</v>
      </c>
      <c r="L390" s="10">
        <v>52</v>
      </c>
      <c r="M390" s="10"/>
      <c r="N390" s="10"/>
      <c r="O390" s="12"/>
      <c r="P390" s="7">
        <v>100</v>
      </c>
      <c r="Q390" s="7"/>
      <c r="R390" s="2"/>
      <c r="S390" s="10"/>
      <c r="T390" s="13"/>
      <c r="U390" s="35">
        <f t="array" ref="U390">IF(AND(A390&lt;&gt;"",OR(ISNUMBER(B390:I390))),SUM(B390:I390),"")</f>
        <v>56</v>
      </c>
      <c r="V390" s="10">
        <f t="array" ref="V390">IF(AND(A390&lt;&gt;"",OR(ISNUMBER(J390:O390))),SUM(J390:O390),"")</f>
        <v>136</v>
      </c>
      <c r="W390" s="10">
        <f t="array" ref="W390">IF(AND(A390&lt;&gt;"",OR(ISNUMBER(P390),ISNUMBER(Q390))),SUM(MAX(P390:Q390),Q390),"")</f>
        <v>100</v>
      </c>
      <c r="X390" s="10" t="str">
        <f t="array" ref="X390">IF(AND(A390&lt;&gt;"",OR(ISNUMBER(S390),ISNUMBER(T390))),SUM(S390,T390),"")</f>
        <v/>
      </c>
      <c r="Y390" s="13">
        <v>1</v>
      </c>
      <c r="Z390" s="13">
        <f>IF(A390&lt;&gt;"",SUM(U390:Y390),"")</f>
        <v>293</v>
      </c>
      <c r="AA390" s="27">
        <f>IF(A390&lt;&gt;"",(Z390+Normalize_To_Add)/(Point_Total_So_Far)*100,"")</f>
        <v>96.06557377049181</v>
      </c>
      <c r="AB390" s="10">
        <f>IF(A390&lt;&gt;"",RANK(AA390,All_Student_XC),"")</f>
        <v>256</v>
      </c>
      <c r="AC390" s="32" t="str">
        <f>IF(A390&lt;&gt;"",CHOOSE(10-MIN(9,TRUNC((AA390+0.5)/10)),"A","B","C","D","F","F","F","F","F","F"),"")</f>
        <v>A</v>
      </c>
      <c r="AD390" s="32" t="str">
        <f>IF(A390&lt;&gt;"",IF(OR(AA390+0.5&gt;=93,AA390+0.5&lt;60),"",IF(MOD(AA390+0.5,10)&gt;=7,"+",IF(MOD(AA390+0.5,10)&lt;3,"-",""))),"")</f>
        <v/>
      </c>
      <c r="AE390" s="32">
        <f>IF(A390&lt;&gt;"",SUM(W390:X390,$W$8:$X$8)/SUM($W$2:$X$2)*100,"")</f>
        <v>100</v>
      </c>
      <c r="AF390" s="32" t="str">
        <f>IF(A390&lt;&gt;"",CHOOSE(10-MIN(9,TRUNC((AE390+0.5)/10)),"A","B","C","D","F","F","F","F","F","F"),"")</f>
        <v>A</v>
      </c>
      <c r="AG390" s="32" t="str">
        <f>IF(A390&lt;&gt;"",IF(OR(AE390+0.5&gt;=93,AE390+0.5&lt;60),"",IF(MOD(AE390+0.5,10)&gt;=7,"+",IF(MOD(AE390+0.5,10)&lt;3,"-",""))),"")</f>
        <v/>
      </c>
      <c r="AH390" s="36">
        <f>IF(A390&lt;&gt;"",MIN(MAX(AA390,AE390),AA390+$AH$8,AE390+$AH$8),"")</f>
        <v>100</v>
      </c>
      <c r="AI390" s="32" t="str">
        <f>IF(A390&lt;&gt;"",CHOOSE(10-MIN(9,TRUNC((AH390+0.5)/10)),"A","B","C","D","F","F","F","F","F","F"),"")</f>
        <v>A</v>
      </c>
      <c r="AJ390" s="32" t="str">
        <f>IF(A390&lt;&gt;"",IF(OR(AH390+0.5&gt;=93,AH390+0.5&lt;60),"",IF(MOD(AH390+0.5,10)&gt;=7,"+",IF(MOD(AH390+0.5,10)&lt;3,"-",""))),"")</f>
        <v/>
      </c>
      <c r="AK390" s="32" t="b">
        <f>IF(A390&lt;&gt;"",OR(AI390&lt;&gt;AC390,AJ390&lt;&gt;AD390),"")</f>
        <v>0</v>
      </c>
      <c r="AL390" s="84">
        <f>IF(AND(A390&lt;&gt;"",U390&lt;&gt;""),SUM(U390,$AL$8)/$AL$2*100,"")</f>
        <v>74.666666666666671</v>
      </c>
      <c r="AM390" s="24">
        <f>IF(AND(A390&lt;&gt;"",V390&lt;&gt;""),SUM(V390,$AM$8)/$AM$2*100,"")</f>
        <v>104.61538461538463</v>
      </c>
      <c r="AN390" s="24">
        <f>IF(AND(A390&lt;&gt;"",ISNUMBER(P390),P390&gt;=0),SUM(P390,$AN$8)/$AN$2*100,"")</f>
        <v>100</v>
      </c>
      <c r="AO390" s="24" t="str">
        <f>IF(AND(A390&lt;&gt;"",ISNUMBER(Q390),Q390&gt;=0),SUM(Q390,$AO$8)/$AO$2*100,"")</f>
        <v/>
      </c>
      <c r="AP390" s="24" t="str">
        <f>IF(AND(A390&lt;&gt;"",R390&lt;&gt;""),SUM(R390,$AP$8)/$AP$2*100,"")</f>
        <v/>
      </c>
      <c r="AQ390" s="24">
        <f>IF(AND(A390&lt;&gt;"",ISNUMBER(W390),W390&gt;=0),SUM(W390,$AQ$8)/$AQ$2*100,"")</f>
        <v>100</v>
      </c>
      <c r="AR390" s="24" t="str">
        <f>IF(AND(A390&lt;&gt;"",T390&gt;0,ISNUMBER(T390)),SUM(T390,$AR$8)/$AR$2*100,"")</f>
        <v/>
      </c>
      <c r="AS390" s="24" t="str">
        <f>IF(AND(A390&lt;&gt;"",X390&lt;&gt;""),SUM(X390,$AS$8)/$AS$2*100,"")</f>
        <v/>
      </c>
      <c r="AT390" s="89">
        <f>IF(AND(A390&lt;&gt;"",OR(ISNUMBER(W390),ISNUMBER(X390))),SUM(W390:X390,$AT$8)/$AT$2*100,"")</f>
        <v>100</v>
      </c>
      <c r="AU390" s="24">
        <f>AA390</f>
        <v>96.06557377049181</v>
      </c>
      <c r="AV390" s="24"/>
      <c r="AW390" s="27">
        <f>IF(A390&lt;&gt;"",AE390-AA390,"")</f>
        <v>3.9344262295081904</v>
      </c>
      <c r="AY390" s="27" t="b">
        <f>S390&gt;R390</f>
        <v>0</v>
      </c>
      <c r="BA390" s="27" t="e">
        <f>AND(AA390&gt;$BA$3,(W390+$W$8)/$W$2&lt;$BB$3,(X390+$X$8)/$X$2&lt;$BB$3)</f>
        <v>#VALUE!</v>
      </c>
      <c r="BB390" s="27" t="e">
        <f>AND(AA390&lt;$BA$3,AND(W390/$W$2&gt;$BB$3,X390/$X$2&gt;$BB$3))</f>
        <v>#VALUE!</v>
      </c>
      <c r="BC390" s="27" t="e">
        <f>AND(AA390&lt;$BA$3,OR(W390/$W$2&gt;$BB$3,X390/$X$2&gt;$BB$3))</f>
        <v>#VALUE!</v>
      </c>
      <c r="BE390" s="32">
        <v>32</v>
      </c>
    </row>
    <row r="391" spans="1:57" s="27" customFormat="1" ht="12.75" customHeight="1" x14ac:dyDescent="0.2">
      <c r="A391" s="10">
        <v>741445</v>
      </c>
      <c r="B391" s="2">
        <v>22</v>
      </c>
      <c r="C391" s="10">
        <v>23</v>
      </c>
      <c r="D391" s="10">
        <v>25</v>
      </c>
      <c r="E391" s="10"/>
      <c r="F391" s="10"/>
      <c r="G391" s="10"/>
      <c r="H391" s="10"/>
      <c r="I391" s="10"/>
      <c r="J391" s="2">
        <v>29</v>
      </c>
      <c r="K391" s="10">
        <v>45</v>
      </c>
      <c r="L391" s="10">
        <v>51</v>
      </c>
      <c r="M391" s="10"/>
      <c r="N391" s="93"/>
      <c r="O391" s="13"/>
      <c r="P391" s="10">
        <v>101</v>
      </c>
      <c r="Q391" s="10"/>
      <c r="R391" s="2"/>
      <c r="S391" s="10"/>
      <c r="T391" s="13"/>
      <c r="U391" s="7">
        <f t="array" ref="U391">IF(AND(A391&lt;&gt;"",OR(ISNUMBER(B391:I391))),SUM(B391:I391),"")</f>
        <v>70</v>
      </c>
      <c r="V391" s="10">
        <f t="array" ref="V391">IF(AND(A391&lt;&gt;"",OR(ISNUMBER(J391:O391))),SUM(J391:O391),"")</f>
        <v>125</v>
      </c>
      <c r="W391" s="10">
        <f t="array" ref="W391">IF(AND(A391&lt;&gt;"",OR(ISNUMBER(P391),ISNUMBER(Q391))),SUM(MAX(P391:Q391),Q391),"")</f>
        <v>101</v>
      </c>
      <c r="X391" s="10" t="str">
        <f t="array" ref="X391">IF(AND(A391&lt;&gt;"",OR(ISNUMBER(S391),ISNUMBER(T391))),SUM(S391,T391),"")</f>
        <v/>
      </c>
      <c r="Y391" s="13">
        <v>1</v>
      </c>
      <c r="Z391" s="13">
        <f>IF(A391&lt;&gt;"",SUM(U391:Y391),"")</f>
        <v>297</v>
      </c>
      <c r="AA391" s="27">
        <f>IF(A391&lt;&gt;"",(Z391+Normalize_To_Add)/(Point_Total_So_Far)*100,"")</f>
        <v>97.377049180327873</v>
      </c>
      <c r="AB391" s="10">
        <f>IF(A391&lt;&gt;"",RANK(AA391,All_Student_XC),"")</f>
        <v>224</v>
      </c>
      <c r="AC391" s="32" t="str">
        <f>IF(A391&lt;&gt;"",CHOOSE(10-MIN(9,TRUNC((AA391+0.5)/10)),"A","B","C","D","F","F","F","F","F","F"),"")</f>
        <v>A</v>
      </c>
      <c r="AD391" s="31" t="str">
        <f>IF(A391&lt;&gt;"",IF(OR(AA391+0.5&gt;=93,AA391+0.5&lt;60),"",IF(MOD(AA391+0.5,10)&gt;=7,"+",IF(MOD(AA391+0.5,10)&lt;3,"-",""))),"")</f>
        <v/>
      </c>
      <c r="AE391" s="32">
        <f>IF(A391&lt;&gt;"",SUM(W391:X391,$W$8:$X$8)/SUM($W$2:$X$2)*100,"")</f>
        <v>101</v>
      </c>
      <c r="AF391" s="32" t="str">
        <f>IF(A391&lt;&gt;"",CHOOSE(10-MIN(9,TRUNC((AE391+0.5)/10)),"A","B","C","D","F","F","F","F","F","F"),"")</f>
        <v>A</v>
      </c>
      <c r="AG391" s="32" t="str">
        <f>IF(A391&lt;&gt;"",IF(OR(AE391+0.5&gt;=93,AE391+0.5&lt;60),"",IF(MOD(AE391+0.5,10)&gt;=7,"+",IF(MOD(AE391+0.5,10)&lt;3,"-",""))),"")</f>
        <v/>
      </c>
      <c r="AH391" s="36">
        <f>IF(A391&lt;&gt;"",MIN(MAX(AA391,AE391),AA391+$AH$8,AE391+$AH$8),"")</f>
        <v>101</v>
      </c>
      <c r="AI391" s="32" t="str">
        <f>IF(A391&lt;&gt;"",CHOOSE(10-MIN(9,TRUNC((AH391+0.5)/10)),"A","B","C","D","F","F","F","F","F","F"),"")</f>
        <v>A</v>
      </c>
      <c r="AJ391" s="32" t="str">
        <f>IF(A391&lt;&gt;"",IF(OR(AH391+0.5&gt;=93,AH391+0.5&lt;60),"",IF(MOD(AH391+0.5,10)&gt;=7,"+",IF(MOD(AH391+0.5,10)&lt;3,"-",""))),"")</f>
        <v/>
      </c>
      <c r="AK391" s="71" t="b">
        <f>IF(A391&lt;&gt;"",OR(AI391&lt;&gt;AC391,AJ391&lt;&gt;AD391),"")</f>
        <v>0</v>
      </c>
      <c r="AL391" s="86">
        <f>IF(AND(A391&lt;&gt;"",U391&lt;&gt;""),SUM(U391,$AL$8)/$AL$2*100,"")</f>
        <v>93.333333333333329</v>
      </c>
      <c r="AM391" s="71">
        <f>IF(AND(A391&lt;&gt;"",V391&lt;&gt;""),SUM(V391,$AM$8)/$AM$2*100,"")</f>
        <v>96.15384615384616</v>
      </c>
      <c r="AN391" s="71">
        <f>IF(AND(A391&lt;&gt;"",ISNUMBER(P391),P391&gt;=0),SUM(P391,$AN$8)/$AN$2*100,"")</f>
        <v>101</v>
      </c>
      <c r="AO391" s="71" t="str">
        <f>IF(AND(A391&lt;&gt;"",ISNUMBER(Q391),Q391&gt;=0),SUM(Q391,$AO$8)/$AO$2*100,"")</f>
        <v/>
      </c>
      <c r="AP391" s="24" t="str">
        <f>IF(AND(A391&lt;&gt;"",R391&lt;&gt;""),SUM(R391,$AP$8)/$AP$2*100,"")</f>
        <v/>
      </c>
      <c r="AQ391" s="24">
        <f>IF(AND(A391&lt;&gt;"",ISNUMBER(W391),W391&gt;=0),SUM(W391,$AQ$8)/$AQ$2*100,"")</f>
        <v>101</v>
      </c>
      <c r="AR391" s="24" t="str">
        <f>IF(AND(A391&lt;&gt;"",T391&gt;0,ISNUMBER(T391)),SUM(T391,$AR$8)/$AR$2*100,"")</f>
        <v/>
      </c>
      <c r="AS391" s="24" t="str">
        <f>IF(AND(A391&lt;&gt;"",X391&lt;&gt;""),SUM(X391,$AS$8)/$AS$2*100,"")</f>
        <v/>
      </c>
      <c r="AT391" s="89">
        <f>IF(AND(A391&lt;&gt;"",OR(ISNUMBER(W391),ISNUMBER(X391))),SUM(W391:X391,$AT$8)/$AT$2*100,"")</f>
        <v>101</v>
      </c>
      <c r="AU391" s="24">
        <f>AA391</f>
        <v>97.377049180327873</v>
      </c>
      <c r="AV391" s="71"/>
      <c r="AW391" s="27">
        <f>IF(A391&lt;&gt;"",AE391-AA391,"")</f>
        <v>3.622950819672127</v>
      </c>
      <c r="AY391" s="27" t="b">
        <f>S391&gt;R391</f>
        <v>0</v>
      </c>
      <c r="BA391" s="27" t="e">
        <f>AND(AA391&gt;$BA$3,(W391+$W$8)/$W$2&lt;$BB$3,(X391+$X$8)/$X$2&lt;$BB$3)</f>
        <v>#VALUE!</v>
      </c>
      <c r="BB391" s="27" t="e">
        <f>AND(AA391&lt;$BA$3,AND(W391/$W$2&gt;$BB$3,X391/$X$2&gt;$BB$3))</f>
        <v>#VALUE!</v>
      </c>
      <c r="BC391" s="27" t="e">
        <f>AND(AA391&lt;$BA$3,OR(W391/$W$2&gt;$BB$3,X391/$X$2&gt;$BB$3))</f>
        <v>#VALUE!</v>
      </c>
      <c r="BE391" s="32">
        <v>32</v>
      </c>
    </row>
    <row r="392" spans="1:57" s="27" customFormat="1" ht="12.75" customHeight="1" x14ac:dyDescent="0.2">
      <c r="A392" s="10">
        <v>741486</v>
      </c>
      <c r="B392" s="2">
        <v>22</v>
      </c>
      <c r="C392" s="10">
        <v>23</v>
      </c>
      <c r="D392" s="10">
        <v>22</v>
      </c>
      <c r="E392" s="10"/>
      <c r="F392" s="10"/>
      <c r="G392" s="10"/>
      <c r="H392" s="10"/>
      <c r="I392" s="10"/>
      <c r="J392" s="2">
        <v>29</v>
      </c>
      <c r="K392" s="10">
        <v>51</v>
      </c>
      <c r="L392" s="10">
        <v>50</v>
      </c>
      <c r="M392" s="10"/>
      <c r="N392" s="93"/>
      <c r="O392" s="13"/>
      <c r="P392" s="10">
        <v>100</v>
      </c>
      <c r="Q392" s="10"/>
      <c r="R392" s="2"/>
      <c r="S392" s="10"/>
      <c r="T392" s="13"/>
      <c r="U392" s="7">
        <f t="array" ref="U392">IF(AND(A392&lt;&gt;"",OR(ISNUMBER(B392:I392))),SUM(B392:I392),"")</f>
        <v>67</v>
      </c>
      <c r="V392" s="10">
        <f t="array" ref="V392">IF(AND(A392&lt;&gt;"",OR(ISNUMBER(J392:O392))),SUM(J392:O392),"")</f>
        <v>130</v>
      </c>
      <c r="W392" s="10">
        <f t="array" ref="W392">IF(AND(A392&lt;&gt;"",OR(ISNUMBER(P392),ISNUMBER(Q392))),SUM(MAX(P392:Q392),Q392),"")</f>
        <v>100</v>
      </c>
      <c r="X392" s="10" t="str">
        <f t="array" ref="X392">IF(AND(A392&lt;&gt;"",OR(ISNUMBER(S392),ISNUMBER(T392))),SUM(S392,T392),"")</f>
        <v/>
      </c>
      <c r="Y392" s="13">
        <v>1</v>
      </c>
      <c r="Z392" s="13">
        <f>IF(A392&lt;&gt;"",SUM(U392:Y392),"")</f>
        <v>298</v>
      </c>
      <c r="AA392" s="27">
        <f>IF(A392&lt;&gt;"",(Z392+Normalize_To_Add)/(Point_Total_So_Far)*100,"")</f>
        <v>97.704918032786878</v>
      </c>
      <c r="AB392" s="10">
        <f>IF(A392&lt;&gt;"",RANK(AA392,All_Student_XC),"")</f>
        <v>210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/>
      </c>
      <c r="AE392" s="32">
        <f>IF(A392&lt;&gt;"",SUM(W392:X392,$W$8:$X$8)/SUM($W$2:$X$2)*100,"")</f>
        <v>100</v>
      </c>
      <c r="AF392" s="32" t="str">
        <f>IF(A392&lt;&gt;"",CHOOSE(10-MIN(9,TRUNC((AE392+0.5)/10)),"A","B","C","D","F","F","F","F","F","F"),"")</f>
        <v>A</v>
      </c>
      <c r="AG392" s="32" t="str">
        <f>IF(A392&lt;&gt;"",IF(OR(AE392+0.5&gt;=93,AE392+0.5&lt;60),"",IF(MOD(AE392+0.5,10)&gt;=7,"+",IF(MOD(AE392+0.5,10)&lt;3,"-",""))),"")</f>
        <v/>
      </c>
      <c r="AH392" s="36">
        <f>IF(A392&lt;&gt;"",MIN(MAX(AA392,AE392),AA392+$AH$8,AE392+$AH$8),"")</f>
        <v>100</v>
      </c>
      <c r="AI392" s="32" t="str">
        <f>IF(A392&lt;&gt;"",CHOOSE(10-MIN(9,TRUNC((AH392+0.5)/10)),"A","B","C","D","F","F","F","F","F","F"),"")</f>
        <v>A</v>
      </c>
      <c r="AJ392" s="32" t="str">
        <f>IF(A392&lt;&gt;"",IF(OR(AH392+0.5&gt;=93,AH392+0.5&lt;60),"",IF(MOD(AH392+0.5,10)&gt;=7,"+",IF(MOD(AH392+0.5,10)&lt;3,"-",""))),"")</f>
        <v/>
      </c>
      <c r="AK392" s="71" t="b">
        <f>IF(A392&lt;&gt;"",OR(AI392&lt;&gt;AC392,AJ392&lt;&gt;AD392),"")</f>
        <v>0</v>
      </c>
      <c r="AL392" s="86">
        <f>IF(AND(A392&lt;&gt;"",U392&lt;&gt;""),SUM(U392,$AL$8)/$AL$2*100,"")</f>
        <v>89.333333333333329</v>
      </c>
      <c r="AM392" s="71">
        <f>IF(AND(A392&lt;&gt;"",V392&lt;&gt;""),SUM(V392,$AM$8)/$AM$2*100,"")</f>
        <v>100</v>
      </c>
      <c r="AN392" s="71">
        <f>IF(AND(A392&lt;&gt;"",ISNUMBER(P392),P392&gt;=0),SUM(P392,$AN$8)/$AN$2*100,"")</f>
        <v>100</v>
      </c>
      <c r="AO392" s="71" t="str">
        <f>IF(AND(A392&lt;&gt;"",ISNUMBER(Q392),Q392&gt;=0),SUM(Q392,$AO$8)/$AO$2*100,"")</f>
        <v/>
      </c>
      <c r="AP392" s="24" t="str">
        <f>IF(AND(A392&lt;&gt;"",R392&lt;&gt;""),SUM(R392,$AP$8)/$AP$2*100,"")</f>
        <v/>
      </c>
      <c r="AQ392" s="24">
        <f>IF(AND(A392&lt;&gt;"",ISNUMBER(W392),W392&gt;=0),SUM(W392,$AQ$8)/$AQ$2*100,"")</f>
        <v>100</v>
      </c>
      <c r="AR392" s="24" t="str">
        <f>IF(AND(A392&lt;&gt;"",T392&gt;0,ISNUMBER(T392)),SUM(T392,$AR$8)/$AR$2*100,"")</f>
        <v/>
      </c>
      <c r="AS392" s="24" t="str">
        <f>IF(AND(A392&lt;&gt;"",X392&lt;&gt;""),SUM(X392,$AS$8)/$AS$2*100,"")</f>
        <v/>
      </c>
      <c r="AT392" s="89">
        <f>IF(AND(A392&lt;&gt;"",OR(ISNUMBER(W392),ISNUMBER(X392))),SUM(W392:X392,$AT$8)/$AT$2*100,"")</f>
        <v>100</v>
      </c>
      <c r="AU392" s="24">
        <f>AA392</f>
        <v>97.704918032786878</v>
      </c>
      <c r="AV392" s="71"/>
      <c r="AW392" s="27">
        <f>IF(A392&lt;&gt;"",AE392-AA392,"")</f>
        <v>2.2950819672131217</v>
      </c>
      <c r="AY392" s="27" t="b">
        <f>S392&gt;R392</f>
        <v>0</v>
      </c>
      <c r="BA392" s="27" t="e">
        <f>AND(AA392&gt;$BA$3,(W392+$W$8)/$W$2&lt;$BB$3,(X392+$X$8)/$X$2&lt;$BB$3)</f>
        <v>#VALUE!</v>
      </c>
      <c r="BB392" s="27" t="e">
        <f>AND(AA392&lt;$BA$3,AND(W392/$W$2&gt;$BB$3,X392/$X$2&gt;$BB$3))</f>
        <v>#VALUE!</v>
      </c>
      <c r="BC392" s="27" t="e">
        <f>AND(AA392&lt;$BA$3,OR(W392/$W$2&gt;$BB$3,X392/$X$2&gt;$BB$3))</f>
        <v>#VALUE!</v>
      </c>
      <c r="BE392" s="32" t="s">
        <v>84</v>
      </c>
    </row>
    <row r="393" spans="1:57" s="27" customFormat="1" ht="12.75" customHeight="1" x14ac:dyDescent="0.2">
      <c r="A393" s="10">
        <v>746706</v>
      </c>
      <c r="B393" s="2">
        <v>8</v>
      </c>
      <c r="C393" s="10">
        <v>21</v>
      </c>
      <c r="D393" s="10">
        <v>25</v>
      </c>
      <c r="E393" s="10"/>
      <c r="F393" s="10"/>
      <c r="G393" s="10"/>
      <c r="H393" s="10"/>
      <c r="I393" s="10"/>
      <c r="J393" s="2">
        <v>27</v>
      </c>
      <c r="K393" s="10">
        <v>30</v>
      </c>
      <c r="L393" s="10">
        <v>51</v>
      </c>
      <c r="M393" s="10"/>
      <c r="N393" s="93"/>
      <c r="O393" s="13"/>
      <c r="P393" s="10">
        <v>20</v>
      </c>
      <c r="Q393" s="10"/>
      <c r="R393" s="2"/>
      <c r="S393" s="10"/>
      <c r="T393" s="13"/>
      <c r="U393" s="7">
        <f t="array" ref="U393">IF(AND(A393&lt;&gt;"",OR(ISNUMBER(B393:I393))),SUM(B393:I393),"")</f>
        <v>54</v>
      </c>
      <c r="V393" s="10">
        <f t="array" ref="V393">IF(AND(A393&lt;&gt;"",OR(ISNUMBER(J393:O393))),SUM(J393:O393),"")</f>
        <v>108</v>
      </c>
      <c r="W393" s="10">
        <f t="array" ref="W393">IF(AND(A393&lt;&gt;"",OR(ISNUMBER(P393),ISNUMBER(Q393))),SUM(MAX(P393:Q393),Q393),"")</f>
        <v>20</v>
      </c>
      <c r="X393" s="10" t="str">
        <f t="array" ref="X393">IF(AND(A393&lt;&gt;"",OR(ISNUMBER(S393),ISNUMBER(T393))),SUM(S393,T393),"")</f>
        <v/>
      </c>
      <c r="Y393" s="13">
        <v>1</v>
      </c>
      <c r="Z393" s="13">
        <f>IF(A393&lt;&gt;"",SUM(U393:Y393),"")</f>
        <v>183</v>
      </c>
      <c r="AA393" s="27">
        <f>IF(A393&lt;&gt;"",(Z393+Normalize_To_Add)/(Point_Total_So_Far)*100,"")</f>
        <v>60</v>
      </c>
      <c r="AB393" s="10">
        <f>IF(A393&lt;&gt;"",RANK(AA393,All_Student_XC),"")</f>
        <v>477</v>
      </c>
      <c r="AC393" s="32" t="str">
        <f>IF(A393&lt;&gt;"",CHOOSE(10-MIN(9,TRUNC((AA393+0.5)/10)),"A","B","C","D","F","F","F","F","F","F"),"")</f>
        <v>D</v>
      </c>
      <c r="AD393" s="31" t="str">
        <f>IF(A393&lt;&gt;"",IF(OR(AA393+0.5&gt;=93,AA393+0.5&lt;60),"",IF(MOD(AA393+0.5,10)&gt;=7,"+",IF(MOD(AA393+0.5,10)&lt;3,"-",""))),"")</f>
        <v>-</v>
      </c>
      <c r="AE393" s="32">
        <f>IF(A393&lt;&gt;"",SUM(W393:X393,$W$8:$X$8)/SUM($W$2:$X$2)*100,"")</f>
        <v>20</v>
      </c>
      <c r="AF393" s="32" t="str">
        <f>IF(A393&lt;&gt;"",CHOOSE(10-MIN(9,TRUNC((AE393+0.5)/10)),"A","B","C","D","F","F","F","F","F","F"),"")</f>
        <v>F</v>
      </c>
      <c r="AG393" s="32" t="str">
        <f>IF(A393&lt;&gt;"",IF(OR(AE393+0.5&gt;=93,AE393+0.5&lt;60),"",IF(MOD(AE393+0.5,10)&gt;=7,"+",IF(MOD(AE393+0.5,10)&lt;3,"-",""))),"")</f>
        <v/>
      </c>
      <c r="AH393" s="36">
        <f>IF(A393&lt;&gt;"",MIN(MAX(AA393,AE393),AA393+$AH$8,AE393+$AH$8),"")</f>
        <v>60</v>
      </c>
      <c r="AI393" s="32" t="str">
        <f>IF(A393&lt;&gt;"",CHOOSE(10-MIN(9,TRUNC((AH393+0.5)/10)),"A","B","C","D","F","F","F","F","F","F"),"")</f>
        <v>D</v>
      </c>
      <c r="AJ393" s="32" t="str">
        <f>IF(A393&lt;&gt;"",IF(OR(AH393+0.5&gt;=93,AH393+0.5&lt;60),"",IF(MOD(AH393+0.5,10)&gt;=7,"+",IF(MOD(AH393+0.5,10)&lt;3,"-",""))),"")</f>
        <v>-</v>
      </c>
      <c r="AK393" s="71" t="b">
        <f>IF(A393&lt;&gt;"",OR(AI393&lt;&gt;AC393,AJ393&lt;&gt;AD393),"")</f>
        <v>0</v>
      </c>
      <c r="AL393" s="86">
        <f>IF(AND(A393&lt;&gt;"",U393&lt;&gt;""),SUM(U393,$AL$8)/$AL$2*100,"")</f>
        <v>72</v>
      </c>
      <c r="AM393" s="71">
        <f>IF(AND(A393&lt;&gt;"",V393&lt;&gt;""),SUM(V393,$AM$8)/$AM$2*100,"")</f>
        <v>83.07692307692308</v>
      </c>
      <c r="AN393" s="71">
        <f>IF(AND(A393&lt;&gt;"",ISNUMBER(P393),P393&gt;=0),SUM(P393,$AN$8)/$AN$2*100,"")</f>
        <v>20</v>
      </c>
      <c r="AO393" s="71" t="str">
        <f>IF(AND(A393&lt;&gt;"",ISNUMBER(Q393),Q393&gt;=0),SUM(Q393,$AO$8)/$AO$2*100,"")</f>
        <v/>
      </c>
      <c r="AP393" s="24" t="str">
        <f>IF(AND(A393&lt;&gt;"",R393&lt;&gt;""),SUM(R393,$AP$8)/$AP$2*100,"")</f>
        <v/>
      </c>
      <c r="AQ393" s="24">
        <f>IF(AND(A393&lt;&gt;"",ISNUMBER(W393),W393&gt;=0),SUM(W393,$AQ$8)/$AQ$2*100,"")</f>
        <v>20</v>
      </c>
      <c r="AR393" s="24" t="str">
        <f>IF(AND(A393&lt;&gt;"",T393&gt;0,ISNUMBER(T393)),SUM(T393,$AR$8)/$AR$2*100,"")</f>
        <v/>
      </c>
      <c r="AS393" s="24" t="str">
        <f>IF(AND(A393&lt;&gt;"",X393&lt;&gt;""),SUM(X393,$AS$8)/$AS$2*100,"")</f>
        <v/>
      </c>
      <c r="AT393" s="89">
        <f>IF(AND(A393&lt;&gt;"",OR(ISNUMBER(W393),ISNUMBER(X393))),SUM(W393:X393,$AT$8)/$AT$2*100,"")</f>
        <v>20</v>
      </c>
      <c r="AU393" s="24">
        <f>AA393</f>
        <v>60</v>
      </c>
      <c r="AV393" s="71"/>
      <c r="AW393" s="27">
        <f>IF(A393&lt;&gt;"",AE393-AA393,"")</f>
        <v>-40</v>
      </c>
      <c r="AY393" s="27" t="b">
        <f>S393&gt;R393</f>
        <v>0</v>
      </c>
      <c r="BA393" s="27" t="e">
        <f>AND(AA393&gt;$BA$3,(W393+$W$8)/$W$2&lt;$BB$3,(X393+$X$8)/$X$2&lt;$BB$3)</f>
        <v>#VALUE!</v>
      </c>
      <c r="BB393" s="27" t="e">
        <f>AND(AA393&lt;$BA$3,AND(W393/$W$2&gt;$BB$3,X393/$X$2&gt;$BB$3))</f>
        <v>#VALUE!</v>
      </c>
      <c r="BC393" s="27" t="e">
        <f>AND(AA393&lt;$BA$3,OR(W393/$W$2&gt;$BB$3,X393/$X$2&gt;$BB$3))</f>
        <v>#VALUE!</v>
      </c>
      <c r="BE393" s="32">
        <v>32</v>
      </c>
    </row>
    <row r="394" spans="1:57" s="27" customFormat="1" ht="12.75" customHeight="1" x14ac:dyDescent="0.2">
      <c r="A394" s="10">
        <v>749044</v>
      </c>
      <c r="B394" s="2">
        <v>24</v>
      </c>
      <c r="C394" s="10">
        <v>24</v>
      </c>
      <c r="D394" s="10">
        <v>25</v>
      </c>
      <c r="E394" s="10"/>
      <c r="F394" s="10"/>
      <c r="G394" s="10"/>
      <c r="H394" s="10"/>
      <c r="I394" s="10"/>
      <c r="J394" s="2">
        <v>32</v>
      </c>
      <c r="K394" s="10">
        <v>52</v>
      </c>
      <c r="L394" s="10">
        <v>51</v>
      </c>
      <c r="M394" s="10"/>
      <c r="N394" s="93"/>
      <c r="O394" s="13"/>
      <c r="P394" s="10">
        <v>101</v>
      </c>
      <c r="Q394" s="10"/>
      <c r="R394" s="2"/>
      <c r="S394" s="10"/>
      <c r="T394" s="13"/>
      <c r="U394" s="7">
        <f t="array" ref="U394">IF(AND(A394&lt;&gt;"",OR(ISNUMBER(B394:I394))),SUM(B394:I394),"")</f>
        <v>73</v>
      </c>
      <c r="V394" s="10">
        <f t="array" ref="V394">IF(AND(A394&lt;&gt;"",OR(ISNUMBER(J394:O394))),SUM(J394:O394),"")</f>
        <v>135</v>
      </c>
      <c r="W394" s="10">
        <f t="array" ref="W394">IF(AND(A394&lt;&gt;"",OR(ISNUMBER(P394),ISNUMBER(Q394))),SUM(MAX(P394:Q394),Q394),"")</f>
        <v>101</v>
      </c>
      <c r="X394" s="10" t="str">
        <f t="array" ref="X394">IF(AND(A394&lt;&gt;"",OR(ISNUMBER(S394),ISNUMBER(T394))),SUM(S394,T394),"")</f>
        <v/>
      </c>
      <c r="Y394" s="13">
        <v>1</v>
      </c>
      <c r="Z394" s="13">
        <f>IF(A394&lt;&gt;"",SUM(U394:Y394),"")</f>
        <v>310</v>
      </c>
      <c r="AA394" s="27">
        <f>IF(A394&lt;&gt;"",(Z394+Normalize_To_Add)/(Point_Total_So_Far)*100,"")</f>
        <v>101.63934426229508</v>
      </c>
      <c r="AB394" s="10">
        <f>IF(A394&lt;&gt;"",RANK(AA394,All_Student_XC),"")</f>
        <v>19</v>
      </c>
      <c r="AC394" s="32" t="str">
        <f>IF(A394&lt;&gt;"",CHOOSE(10-MIN(9,TRUNC((AA394+0.5)/10)),"A","B","C","D","F","F","F","F","F","F"),"")</f>
        <v>A</v>
      </c>
      <c r="AD394" s="31" t="str">
        <f>IF(A394&lt;&gt;"",IF(OR(AA394+0.5&gt;=93,AA394+0.5&lt;60),"",IF(MOD(AA394+0.5,10)&gt;=7,"+",IF(MOD(AA394+0.5,10)&lt;3,"-",""))),"")</f>
        <v/>
      </c>
      <c r="AE394" s="32">
        <f>IF(A394&lt;&gt;"",SUM(W394:X394,$W$8:$X$8)/SUM($W$2:$X$2)*100,"")</f>
        <v>101</v>
      </c>
      <c r="AF394" s="32" t="str">
        <f>IF(A394&lt;&gt;"",CHOOSE(10-MIN(9,TRUNC((AE394+0.5)/10)),"A","B","C","D","F","F","F","F","F","F"),"")</f>
        <v>A</v>
      </c>
      <c r="AG394" s="32" t="str">
        <f>IF(A394&lt;&gt;"",IF(OR(AE394+0.5&gt;=93,AE394+0.5&lt;60),"",IF(MOD(AE394+0.5,10)&gt;=7,"+",IF(MOD(AE394+0.5,10)&lt;3,"-",""))),"")</f>
        <v/>
      </c>
      <c r="AH394" s="36">
        <f>IF(A394&lt;&gt;"",MIN(MAX(AA394,AE394),AA394+$AH$8,AE394+$AH$8),"")</f>
        <v>101.63934426229508</v>
      </c>
      <c r="AI394" s="32" t="str">
        <f>IF(A394&lt;&gt;"",CHOOSE(10-MIN(9,TRUNC((AH394+0.5)/10)),"A","B","C","D","F","F","F","F","F","F"),"")</f>
        <v>A</v>
      </c>
      <c r="AJ394" s="32" t="str">
        <f>IF(A394&lt;&gt;"",IF(OR(AH394+0.5&gt;=93,AH394+0.5&lt;60),"",IF(MOD(AH394+0.5,10)&gt;=7,"+",IF(MOD(AH394+0.5,10)&lt;3,"-",""))),"")</f>
        <v/>
      </c>
      <c r="AK394" s="71" t="b">
        <f>IF(A394&lt;&gt;"",OR(AI394&lt;&gt;AC394,AJ394&lt;&gt;AD394),"")</f>
        <v>0</v>
      </c>
      <c r="AL394" s="86">
        <f>IF(AND(A394&lt;&gt;"",U394&lt;&gt;""),SUM(U394,$AL$8)/$AL$2*100,"")</f>
        <v>97.333333333333343</v>
      </c>
      <c r="AM394" s="71">
        <f>IF(AND(A394&lt;&gt;"",V394&lt;&gt;""),SUM(V394,$AM$8)/$AM$2*100,"")</f>
        <v>103.84615384615385</v>
      </c>
      <c r="AN394" s="71">
        <f>IF(AND(A394&lt;&gt;"",ISNUMBER(P394),P394&gt;=0),SUM(P394,$AN$8)/$AN$2*100,"")</f>
        <v>101</v>
      </c>
      <c r="AO394" s="71" t="str">
        <f>IF(AND(A394&lt;&gt;"",ISNUMBER(Q394),Q394&gt;=0),SUM(Q394,$AO$8)/$AO$2*100,"")</f>
        <v/>
      </c>
      <c r="AP394" s="24" t="str">
        <f>IF(AND(A394&lt;&gt;"",R394&lt;&gt;""),SUM(R394,$AP$8)/$AP$2*100,"")</f>
        <v/>
      </c>
      <c r="AQ394" s="24">
        <f>IF(AND(A394&lt;&gt;"",ISNUMBER(W394),W394&gt;=0),SUM(W394,$AQ$8)/$AQ$2*100,"")</f>
        <v>101</v>
      </c>
      <c r="AR394" s="24" t="str">
        <f>IF(AND(A394&lt;&gt;"",T394&gt;0,ISNUMBER(T394)),SUM(T394,$AR$8)/$AR$2*100,"")</f>
        <v/>
      </c>
      <c r="AS394" s="24" t="str">
        <f>IF(AND(A394&lt;&gt;"",X394&lt;&gt;""),SUM(X394,$AS$8)/$AS$2*100,"")</f>
        <v/>
      </c>
      <c r="AT394" s="89">
        <f>IF(AND(A394&lt;&gt;"",OR(ISNUMBER(W394),ISNUMBER(X394))),SUM(W394:X394,$AT$8)/$AT$2*100,"")</f>
        <v>101</v>
      </c>
      <c r="AU394" s="24">
        <f>AA394</f>
        <v>101.63934426229508</v>
      </c>
      <c r="AV394" s="71"/>
      <c r="AW394" s="27">
        <f>IF(A394&lt;&gt;"",AE394-AA394,"")</f>
        <v>-0.6393442622950829</v>
      </c>
      <c r="AY394" s="27" t="b">
        <f>S394&gt;R394</f>
        <v>0</v>
      </c>
      <c r="BA394" s="27" t="e">
        <f>AND(AA394&gt;$BA$3,(W394+$W$8)/$W$2&lt;$BB$3,(X394+$X$8)/$X$2&lt;$BB$3)</f>
        <v>#VALUE!</v>
      </c>
      <c r="BB394" s="27" t="e">
        <f>AND(AA394&lt;$BA$3,AND(W394/$W$2&gt;$BB$3,X394/$X$2&gt;$BB$3))</f>
        <v>#VALUE!</v>
      </c>
      <c r="BC394" s="27" t="e">
        <f>AND(AA394&lt;$BA$3,OR(W394/$W$2&gt;$BB$3,X394/$X$2&gt;$BB$3))</f>
        <v>#VALUE!</v>
      </c>
      <c r="BE394" s="32" t="s">
        <v>84</v>
      </c>
    </row>
    <row r="395" spans="1:57" s="27" customFormat="1" ht="12.75" customHeight="1" x14ac:dyDescent="0.2">
      <c r="A395" s="10">
        <v>749759</v>
      </c>
      <c r="B395" s="2">
        <v>16</v>
      </c>
      <c r="C395" s="10">
        <v>20</v>
      </c>
      <c r="D395" s="10">
        <v>24</v>
      </c>
      <c r="E395" s="10"/>
      <c r="F395" s="10"/>
      <c r="G395" s="10"/>
      <c r="H395" s="10"/>
      <c r="I395" s="10"/>
      <c r="J395" s="2">
        <v>29</v>
      </c>
      <c r="K395" s="10">
        <v>49</v>
      </c>
      <c r="L395" s="56">
        <v>47</v>
      </c>
      <c r="M395" s="10"/>
      <c r="N395" s="10"/>
      <c r="O395" s="12"/>
      <c r="P395" s="41">
        <v>100</v>
      </c>
      <c r="Q395" s="41"/>
      <c r="R395" s="2"/>
      <c r="S395" s="10"/>
      <c r="T395" s="13"/>
      <c r="U395" s="7">
        <f t="array" ref="U395">IF(AND(A395&lt;&gt;"",OR(ISNUMBER(B395:I395))),SUM(B395:I395),"")</f>
        <v>60</v>
      </c>
      <c r="V395" s="10">
        <f t="array" ref="V395">IF(AND(A395&lt;&gt;"",OR(ISNUMBER(J395:O395))),SUM(J395:O395),"")</f>
        <v>125</v>
      </c>
      <c r="W395" s="10">
        <f t="array" ref="W395">IF(AND(A395&lt;&gt;"",OR(ISNUMBER(P395),ISNUMBER(Q395))),SUM(MAX(P395:Q395),Q395),"")</f>
        <v>100</v>
      </c>
      <c r="X395" s="10" t="str">
        <f t="array" ref="X395">IF(AND(A395&lt;&gt;"",OR(ISNUMBER(S395),ISNUMBER(T395))),SUM(S395,T395),"")</f>
        <v/>
      </c>
      <c r="Y395" s="13">
        <v>1</v>
      </c>
      <c r="Z395" s="13">
        <f>IF(A395&lt;&gt;"",SUM(U395:Y395),"")</f>
        <v>286</v>
      </c>
      <c r="AA395" s="27">
        <f>IF(A395&lt;&gt;"",(Z395+Normalize_To_Add)/(Point_Total_So_Far)*100,"")</f>
        <v>93.770491803278688</v>
      </c>
      <c r="AB395" s="10">
        <f>IF(A395&lt;&gt;"",RANK(AA395,All_Student_XC),"")</f>
        <v>287</v>
      </c>
      <c r="AC395" s="32" t="str">
        <f>IF(A395&lt;&gt;"",CHOOSE(10-MIN(9,TRUNC((AA395+0.5)/10)),"A","B","C","D","F","F","F","F","F","F"),"")</f>
        <v>A</v>
      </c>
      <c r="AD395" s="32" t="str">
        <f>IF(A395&lt;&gt;"",IF(OR(AA395+0.5&gt;=93,AA395+0.5&lt;60),"",IF(MOD(AA395+0.5,10)&gt;=7,"+",IF(MOD(AA395+0.5,10)&lt;3,"-",""))),"")</f>
        <v/>
      </c>
      <c r="AE395" s="32">
        <f>IF(A395&lt;&gt;"",SUM(W395:X395,$W$8:$X$8)/SUM($W$2:$X$2)*100,"")</f>
        <v>100</v>
      </c>
      <c r="AF395" s="32" t="str">
        <f>IF(A395&lt;&gt;"",CHOOSE(10-MIN(9,TRUNC((AE395+0.5)/10)),"A","B","C","D","F","F","F","F","F","F"),"")</f>
        <v>A</v>
      </c>
      <c r="AG395" s="32" t="str">
        <f>IF(A395&lt;&gt;"",IF(OR(AE395+0.5&gt;=93,AE395+0.5&lt;60),"",IF(MOD(AE395+0.5,10)&gt;=7,"+",IF(MOD(AE395+0.5,10)&lt;3,"-",""))),"")</f>
        <v/>
      </c>
      <c r="AH395" s="36">
        <f>IF(A395&lt;&gt;"",MIN(MAX(AA395,AE395),AA395+$AH$8,AE395+$AH$8),"")</f>
        <v>100</v>
      </c>
      <c r="AI395" s="32" t="str">
        <f>IF(A395&lt;&gt;"",CHOOSE(10-MIN(9,TRUNC((AH395+0.5)/10)),"A","B","C","D","F","F","F","F","F","F"),"")</f>
        <v>A</v>
      </c>
      <c r="AJ395" s="32" t="str">
        <f>IF(A395&lt;&gt;"",IF(OR(AH395+0.5&gt;=93,AH395+0.5&lt;60),"",IF(MOD(AH395+0.5,10)&gt;=7,"+",IF(MOD(AH395+0.5,10)&lt;3,"-",""))),"")</f>
        <v/>
      </c>
      <c r="AK395" s="32" t="b">
        <f>IF(A395&lt;&gt;"",OR(AI395&lt;&gt;AC395,AJ395&lt;&gt;AD395),"")</f>
        <v>0</v>
      </c>
      <c r="AL395" s="84">
        <f>IF(AND(A395&lt;&gt;"",U395&lt;&gt;""),SUM(U395,$AL$8)/$AL$2*100,"")</f>
        <v>80</v>
      </c>
      <c r="AM395" s="24">
        <f>IF(AND(A395&lt;&gt;"",V395&lt;&gt;""),SUM(V395,$AM$8)/$AM$2*100,"")</f>
        <v>96.15384615384616</v>
      </c>
      <c r="AN395" s="24">
        <f>IF(AND(A395&lt;&gt;"",ISNUMBER(P395),P395&gt;=0),SUM(P395,$AN$8)/$AN$2*100,"")</f>
        <v>100</v>
      </c>
      <c r="AO395" s="24" t="str">
        <f>IF(AND(A395&lt;&gt;"",ISNUMBER(Q395),Q395&gt;=0),SUM(Q395,$AO$8)/$AO$2*100,"")</f>
        <v/>
      </c>
      <c r="AP395" s="24" t="str">
        <f>IF(AND(A395&lt;&gt;"",R395&lt;&gt;""),SUM(R395,$AP$8)/$AP$2*100,"")</f>
        <v/>
      </c>
      <c r="AQ395" s="24">
        <f>IF(AND(A395&lt;&gt;"",ISNUMBER(W395),W395&gt;=0),SUM(W395,$AQ$8)/$AQ$2*100,"")</f>
        <v>100</v>
      </c>
      <c r="AR395" s="24" t="str">
        <f>IF(AND(A395&lt;&gt;"",T395&gt;0,ISNUMBER(T395)),SUM(T395,$AR$8)/$AR$2*100,"")</f>
        <v/>
      </c>
      <c r="AS395" s="24" t="str">
        <f>IF(AND(A395&lt;&gt;"",X395&lt;&gt;""),SUM(X395,$AS$8)/$AS$2*100,"")</f>
        <v/>
      </c>
      <c r="AT395" s="89">
        <f>IF(AND(A395&lt;&gt;"",OR(ISNUMBER(W395),ISNUMBER(X395))),SUM(W395:X395,$AT$8)/$AT$2*100,"")</f>
        <v>100</v>
      </c>
      <c r="AU395" s="24">
        <f>AA395</f>
        <v>93.770491803278688</v>
      </c>
      <c r="AV395" s="24"/>
      <c r="AW395" s="27">
        <f>IF(A395&lt;&gt;"",AE395-AA395,"")</f>
        <v>6.2295081967213122</v>
      </c>
      <c r="AY395" s="27" t="b">
        <f>S395&gt;R395</f>
        <v>0</v>
      </c>
      <c r="BA395" s="27" t="e">
        <f>AND(AA395&gt;$BA$3,(W395+$W$8)/$W$2&lt;$BB$3,(X395+$X$8)/$X$2&lt;$BB$3)</f>
        <v>#VALUE!</v>
      </c>
      <c r="BB395" s="27" t="e">
        <f>AND(AA395&lt;$BA$3,AND(W395/$W$2&gt;$BB$3,X395/$X$2&gt;$BB$3))</f>
        <v>#VALUE!</v>
      </c>
      <c r="BC395" s="27" t="e">
        <f>AND(AA395&lt;$BA$3,OR(W395/$W$2&gt;$BB$3,X395/$X$2&gt;$BB$3))</f>
        <v>#VALUE!</v>
      </c>
      <c r="BE395" s="32">
        <v>32</v>
      </c>
    </row>
    <row r="396" spans="1:57" s="27" customFormat="1" ht="12.75" customHeight="1" x14ac:dyDescent="0.2">
      <c r="A396" s="10">
        <v>750365</v>
      </c>
      <c r="B396" s="2">
        <v>18</v>
      </c>
      <c r="C396" s="10">
        <v>23</v>
      </c>
      <c r="D396" s="10" t="s">
        <v>67</v>
      </c>
      <c r="E396" s="10"/>
      <c r="F396" s="10"/>
      <c r="G396" s="10"/>
      <c r="H396" s="10"/>
      <c r="I396" s="10"/>
      <c r="J396" s="2">
        <v>30</v>
      </c>
      <c r="K396" s="10">
        <v>49</v>
      </c>
      <c r="L396" s="10">
        <v>50</v>
      </c>
      <c r="M396" s="10"/>
      <c r="N396" s="93"/>
      <c r="O396" s="13"/>
      <c r="P396" s="10">
        <v>101</v>
      </c>
      <c r="Q396" s="10"/>
      <c r="R396" s="2"/>
      <c r="S396" s="10"/>
      <c r="T396" s="13"/>
      <c r="U396" s="7">
        <f t="array" ref="U396">IF(AND(A396&lt;&gt;"",OR(ISNUMBER(B396:I396))),SUM(B396:I396),"")</f>
        <v>41</v>
      </c>
      <c r="V396" s="10">
        <f t="array" ref="V396">IF(AND(A396&lt;&gt;"",OR(ISNUMBER(J396:O396))),SUM(J396:O396),"")</f>
        <v>129</v>
      </c>
      <c r="W396" s="10">
        <f t="array" ref="W396">IF(AND(A396&lt;&gt;"",OR(ISNUMBER(P396),ISNUMBER(Q396))),SUM(MAX(P396:Q396),Q396),"")</f>
        <v>101</v>
      </c>
      <c r="X396" s="10" t="str">
        <f t="array" ref="X396">IF(AND(A396&lt;&gt;"",OR(ISNUMBER(S396),ISNUMBER(T396))),SUM(S396,T396),"")</f>
        <v/>
      </c>
      <c r="Y396" s="13">
        <v>1</v>
      </c>
      <c r="Z396" s="13">
        <f>IF(A396&lt;&gt;"",SUM(U396:Y396),"")</f>
        <v>272</v>
      </c>
      <c r="AA396" s="27">
        <f>IF(A396&lt;&gt;"",(Z396+Normalize_To_Add)/(Point_Total_So_Far)*100,"")</f>
        <v>89.180327868852459</v>
      </c>
      <c r="AB396" s="10">
        <f>IF(A396&lt;&gt;"",RANK(AA396,All_Student_XC),"")</f>
        <v>344</v>
      </c>
      <c r="AC396" s="32" t="str">
        <f>IF(A396&lt;&gt;"",CHOOSE(10-MIN(9,TRUNC((AA396+0.5)/10)),"A","B","C","D","F","F","F","F","F","F"),"")</f>
        <v>B</v>
      </c>
      <c r="AD396" s="31" t="str">
        <f>IF(A396&lt;&gt;"",IF(OR(AA396+0.5&gt;=93,AA396+0.5&lt;60),"",IF(MOD(AA396+0.5,10)&gt;=7,"+",IF(MOD(AA396+0.5,10)&lt;3,"-",""))),"")</f>
        <v>+</v>
      </c>
      <c r="AE396" s="32">
        <f>IF(A396&lt;&gt;"",SUM(W396:X396,$W$8:$X$8)/SUM($W$2:$X$2)*100,"")</f>
        <v>101</v>
      </c>
      <c r="AF396" s="32" t="str">
        <f>IF(A396&lt;&gt;"",CHOOSE(10-MIN(9,TRUNC((AE396+0.5)/10)),"A","B","C","D","F","F","F","F","F","F"),"")</f>
        <v>A</v>
      </c>
      <c r="AG396" s="32" t="str">
        <f>IF(A396&lt;&gt;"",IF(OR(AE396+0.5&gt;=93,AE396+0.5&lt;60),"",IF(MOD(AE396+0.5,10)&gt;=7,"+",IF(MOD(AE396+0.5,10)&lt;3,"-",""))),"")</f>
        <v/>
      </c>
      <c r="AH396" s="36">
        <f>IF(A396&lt;&gt;"",MIN(MAX(AA396,AE396),AA396+$AH$8,AE396+$AH$8),"")</f>
        <v>101</v>
      </c>
      <c r="AI396" s="32" t="str">
        <f>IF(A396&lt;&gt;"",CHOOSE(10-MIN(9,TRUNC((AH396+0.5)/10)),"A","B","C","D","F","F","F","F","F","F"),"")</f>
        <v>A</v>
      </c>
      <c r="AJ396" s="32" t="str">
        <f>IF(A396&lt;&gt;"",IF(OR(AH396+0.5&gt;=93,AH396+0.5&lt;60),"",IF(MOD(AH396+0.5,10)&gt;=7,"+",IF(MOD(AH396+0.5,10)&lt;3,"-",""))),"")</f>
        <v/>
      </c>
      <c r="AK396" s="71" t="b">
        <f>IF(A396&lt;&gt;"",OR(AI396&lt;&gt;AC396,AJ396&lt;&gt;AD396),"")</f>
        <v>1</v>
      </c>
      <c r="AL396" s="86">
        <f>IF(AND(A396&lt;&gt;"",U396&lt;&gt;""),SUM(U396,$AL$8)/$AL$2*100,"")</f>
        <v>54.666666666666664</v>
      </c>
      <c r="AM396" s="71">
        <f>IF(AND(A396&lt;&gt;"",V396&lt;&gt;""),SUM(V396,$AM$8)/$AM$2*100,"")</f>
        <v>99.230769230769226</v>
      </c>
      <c r="AN396" s="71">
        <f>IF(AND(A396&lt;&gt;"",ISNUMBER(P396),P396&gt;=0),SUM(P396,$AN$8)/$AN$2*100,"")</f>
        <v>101</v>
      </c>
      <c r="AO396" s="71" t="str">
        <f>IF(AND(A396&lt;&gt;"",ISNUMBER(Q396),Q396&gt;=0),SUM(Q396,$AO$8)/$AO$2*100,"")</f>
        <v/>
      </c>
      <c r="AP396" s="24" t="str">
        <f>IF(AND(A396&lt;&gt;"",R396&lt;&gt;""),SUM(R396,$AP$8)/$AP$2*100,"")</f>
        <v/>
      </c>
      <c r="AQ396" s="24">
        <f>IF(AND(A396&lt;&gt;"",ISNUMBER(W396),W396&gt;=0),SUM(W396,$AQ$8)/$AQ$2*100,"")</f>
        <v>101</v>
      </c>
      <c r="AR396" s="24" t="str">
        <f>IF(AND(A396&lt;&gt;"",T396&gt;0,ISNUMBER(T396)),SUM(T396,$AR$8)/$AR$2*100,"")</f>
        <v/>
      </c>
      <c r="AS396" s="24" t="str">
        <f>IF(AND(A396&lt;&gt;"",X396&lt;&gt;""),SUM(X396,$AS$8)/$AS$2*100,"")</f>
        <v/>
      </c>
      <c r="AT396" s="89">
        <f>IF(AND(A396&lt;&gt;"",OR(ISNUMBER(W396),ISNUMBER(X396))),SUM(W396:X396,$AT$8)/$AT$2*100,"")</f>
        <v>101</v>
      </c>
      <c r="AU396" s="24">
        <f>AA396</f>
        <v>89.180327868852459</v>
      </c>
      <c r="AV396" s="71"/>
      <c r="AW396" s="27">
        <f>IF(A396&lt;&gt;"",AE396-AA396,"")</f>
        <v>11.819672131147541</v>
      </c>
      <c r="AY396" s="27" t="b">
        <f>S396&gt;R396</f>
        <v>0</v>
      </c>
      <c r="BA396" s="27" t="e">
        <f>AND(AA396&gt;$BA$3,(W396+$W$8)/$W$2&lt;$BB$3,(X396+$X$8)/$X$2&lt;$BB$3)</f>
        <v>#VALUE!</v>
      </c>
      <c r="BB396" s="27" t="e">
        <f>AND(AA396&lt;$BA$3,AND(W396/$W$2&gt;$BB$3,X396/$X$2&gt;$BB$3))</f>
        <v>#VALUE!</v>
      </c>
      <c r="BC396" s="27" t="e">
        <f>AND(AA396&lt;$BA$3,OR(W396/$W$2&gt;$BB$3,X396/$X$2&gt;$BB$3))</f>
        <v>#VALUE!</v>
      </c>
      <c r="BE396" s="32" t="s">
        <v>84</v>
      </c>
    </row>
    <row r="397" spans="1:57" s="27" customFormat="1" ht="12.75" customHeight="1" x14ac:dyDescent="0.2">
      <c r="A397" s="10">
        <v>755493</v>
      </c>
      <c r="B397" s="2">
        <v>20</v>
      </c>
      <c r="C397" s="10">
        <v>23</v>
      </c>
      <c r="D397" s="10">
        <v>17</v>
      </c>
      <c r="E397" s="10"/>
      <c r="F397" s="10"/>
      <c r="G397" s="3"/>
      <c r="H397" s="10"/>
      <c r="I397" s="10"/>
      <c r="J397" s="2">
        <v>32</v>
      </c>
      <c r="K397" s="10">
        <v>50</v>
      </c>
      <c r="L397" s="10">
        <v>52</v>
      </c>
      <c r="M397" s="10"/>
      <c r="N397" s="10"/>
      <c r="O397" s="12"/>
      <c r="P397" s="41">
        <v>101</v>
      </c>
      <c r="Q397" s="41"/>
      <c r="R397" s="2"/>
      <c r="S397" s="10"/>
      <c r="T397" s="13"/>
      <c r="U397" s="7">
        <f t="array" ref="U397">IF(AND(A397&lt;&gt;"",OR(ISNUMBER(B397:I397))),SUM(B397:I397),"")</f>
        <v>60</v>
      </c>
      <c r="V397" s="10">
        <f t="array" ref="V397">IF(AND(A397&lt;&gt;"",OR(ISNUMBER(J397:O397))),SUM(J397:O397),"")</f>
        <v>134</v>
      </c>
      <c r="W397" s="10">
        <f t="array" ref="W397">IF(AND(A397&lt;&gt;"",OR(ISNUMBER(P397),ISNUMBER(Q397))),SUM(MAX(P397:Q397),Q397),"")</f>
        <v>101</v>
      </c>
      <c r="X397" s="10" t="str">
        <f t="array" ref="X397">IF(AND(A397&lt;&gt;"",OR(ISNUMBER(S397),ISNUMBER(T397))),SUM(S397,T397),"")</f>
        <v/>
      </c>
      <c r="Y397" s="13">
        <v>1</v>
      </c>
      <c r="Z397" s="13">
        <f>IF(A397&lt;&gt;"",SUM(U397:Y397),"")</f>
        <v>296</v>
      </c>
      <c r="AA397" s="27">
        <f>IF(A397&lt;&gt;"",(Z397+Normalize_To_Add)/(Point_Total_So_Far)*100,"")</f>
        <v>97.049180327868854</v>
      </c>
      <c r="AB397" s="10">
        <f>IF(A397&lt;&gt;"",RANK(AA397,All_Student_XC),"")</f>
        <v>237</v>
      </c>
      <c r="AC397" s="32" t="str">
        <f>IF(A397&lt;&gt;"",CHOOSE(10-MIN(9,TRUNC((AA397+0.5)/10)),"A","B","C","D","F","F","F","F","F","F"),"")</f>
        <v>A</v>
      </c>
      <c r="AD397" s="32" t="str">
        <f>IF(A397&lt;&gt;"",IF(OR(AA397+0.5&gt;=93,AA397+0.5&lt;60),"",IF(MOD(AA397+0.5,10)&gt;=7,"+",IF(MOD(AA397+0.5,10)&lt;3,"-",""))),"")</f>
        <v/>
      </c>
      <c r="AE397" s="32">
        <f>IF(A397&lt;&gt;"",SUM(W397:X397,$W$8:$X$8)/SUM($W$2:$X$2)*100,"")</f>
        <v>101</v>
      </c>
      <c r="AF397" s="32" t="str">
        <f>IF(A397&lt;&gt;"",CHOOSE(10-MIN(9,TRUNC((AE397+0.5)/10)),"A","B","C","D","F","F","F","F","F","F"),"")</f>
        <v>A</v>
      </c>
      <c r="AG397" s="32" t="str">
        <f>IF(A397&lt;&gt;"",IF(OR(AE397+0.5&gt;=93,AE397+0.5&lt;60),"",IF(MOD(AE397+0.5,10)&gt;=7,"+",IF(MOD(AE397+0.5,10)&lt;3,"-",""))),"")</f>
        <v/>
      </c>
      <c r="AH397" s="36">
        <f>IF(A397&lt;&gt;"",MIN(MAX(AA397,AE397),AA397+$AH$8,AE397+$AH$8),"")</f>
        <v>101</v>
      </c>
      <c r="AI397" s="32" t="str">
        <f>IF(A397&lt;&gt;"",CHOOSE(10-MIN(9,TRUNC((AH397+0.5)/10)),"A","B","C","D","F","F","F","F","F","F"),"")</f>
        <v>A</v>
      </c>
      <c r="AJ397" s="32" t="str">
        <f>IF(A397&lt;&gt;"",IF(OR(AH397+0.5&gt;=93,AH397+0.5&lt;60),"",IF(MOD(AH397+0.5,10)&gt;=7,"+",IF(MOD(AH397+0.5,10)&lt;3,"-",""))),"")</f>
        <v/>
      </c>
      <c r="AK397" s="32" t="b">
        <f>IF(A397&lt;&gt;"",OR(AI397&lt;&gt;AC397,AJ397&lt;&gt;AD397),"")</f>
        <v>0</v>
      </c>
      <c r="AL397" s="84">
        <f>IF(AND(A397&lt;&gt;"",U397&lt;&gt;""),SUM(U397,$AL$8)/$AL$2*100,"")</f>
        <v>80</v>
      </c>
      <c r="AM397" s="24">
        <f>IF(AND(A397&lt;&gt;"",V397&lt;&gt;""),SUM(V397,$AM$8)/$AM$2*100,"")</f>
        <v>103.07692307692307</v>
      </c>
      <c r="AN397" s="24">
        <f>IF(AND(A397&lt;&gt;"",ISNUMBER(P397),P397&gt;=0),SUM(P397,$AN$8)/$AN$2*100,"")</f>
        <v>101</v>
      </c>
      <c r="AO397" s="24" t="str">
        <f>IF(AND(A397&lt;&gt;"",ISNUMBER(Q397),Q397&gt;=0),SUM(Q397,$AO$8)/$AO$2*100,"")</f>
        <v/>
      </c>
      <c r="AP397" s="24" t="str">
        <f>IF(AND(A397&lt;&gt;"",R397&lt;&gt;""),SUM(R397,$AP$8)/$AP$2*100,"")</f>
        <v/>
      </c>
      <c r="AQ397" s="24">
        <f>IF(AND(A397&lt;&gt;"",ISNUMBER(W397),W397&gt;=0),SUM(W397,$AQ$8)/$AQ$2*100,"")</f>
        <v>101</v>
      </c>
      <c r="AR397" s="24" t="str">
        <f>IF(AND(A397&lt;&gt;"",T397&gt;0,ISNUMBER(T397)),SUM(T397,$AR$8)/$AR$2*100,"")</f>
        <v/>
      </c>
      <c r="AS397" s="24" t="str">
        <f>IF(AND(A397&lt;&gt;"",X397&lt;&gt;""),SUM(X397,$AS$8)/$AS$2*100,"")</f>
        <v/>
      </c>
      <c r="AT397" s="89">
        <f>IF(AND(A397&lt;&gt;"",OR(ISNUMBER(W397),ISNUMBER(X397))),SUM(W397:X397,$AT$8)/$AT$2*100,"")</f>
        <v>101</v>
      </c>
      <c r="AU397" s="24">
        <f>AA397</f>
        <v>97.049180327868854</v>
      </c>
      <c r="AV397" s="24"/>
      <c r="AW397" s="27">
        <f>IF(A397&lt;&gt;"",AE397-AA397,"")</f>
        <v>3.9508196721311464</v>
      </c>
      <c r="AY397" s="27" t="b">
        <f>S397&gt;R397</f>
        <v>0</v>
      </c>
      <c r="BA397" s="27" t="e">
        <f>AND(AA397&gt;$BA$3,(W397+$W$8)/$W$2&lt;$BB$3,(X397+$X$8)/$X$2&lt;$BB$3)</f>
        <v>#VALUE!</v>
      </c>
      <c r="BB397" s="27" t="e">
        <f>AND(AA397&lt;$BA$3,AND(W397/$W$2&gt;$BB$3,X397/$X$2&gt;$BB$3))</f>
        <v>#VALUE!</v>
      </c>
      <c r="BC397" s="27" t="e">
        <f>AND(AA397&lt;$BA$3,OR(W397/$W$2&gt;$BB$3,X397/$X$2&gt;$BB$3))</f>
        <v>#VALUE!</v>
      </c>
      <c r="BE397" s="32" t="s">
        <v>85</v>
      </c>
    </row>
    <row r="398" spans="1:57" s="27" customFormat="1" ht="12.75" customHeight="1" x14ac:dyDescent="0.2">
      <c r="A398" s="10">
        <v>756360</v>
      </c>
      <c r="B398" s="2">
        <v>25</v>
      </c>
      <c r="C398" s="10">
        <v>24</v>
      </c>
      <c r="D398" s="10">
        <v>25</v>
      </c>
      <c r="E398" s="10"/>
      <c r="F398" s="10"/>
      <c r="G398" s="10"/>
      <c r="H398" s="10"/>
      <c r="I398" s="10"/>
      <c r="J398" s="2">
        <v>26</v>
      </c>
      <c r="K398" s="10">
        <v>52</v>
      </c>
      <c r="L398" s="10">
        <v>51</v>
      </c>
      <c r="M398" s="10"/>
      <c r="N398" s="10"/>
      <c r="O398" s="12"/>
      <c r="P398" s="7">
        <v>101</v>
      </c>
      <c r="Q398" s="7"/>
      <c r="R398" s="2"/>
      <c r="S398" s="10"/>
      <c r="T398" s="13"/>
      <c r="U398" s="35">
        <f t="array" ref="U398">IF(AND(A398&lt;&gt;"",OR(ISNUMBER(B398:I398))),SUM(B398:I398),"")</f>
        <v>74</v>
      </c>
      <c r="V398" s="10">
        <f t="array" ref="V398">IF(AND(A398&lt;&gt;"",OR(ISNUMBER(J398:O398))),SUM(J398:O398),"")</f>
        <v>129</v>
      </c>
      <c r="W398" s="10">
        <f t="array" ref="W398">IF(AND(A398&lt;&gt;"",OR(ISNUMBER(P398),ISNUMBER(Q398))),SUM(MAX(P398:Q398),Q398),"")</f>
        <v>101</v>
      </c>
      <c r="X398" s="10" t="str">
        <f t="array" ref="X398">IF(AND(A398&lt;&gt;"",OR(ISNUMBER(S398),ISNUMBER(T398))),SUM(S398,T398),"")</f>
        <v/>
      </c>
      <c r="Y398" s="13">
        <v>1</v>
      </c>
      <c r="Z398" s="13">
        <f>IF(A398&lt;&gt;"",SUM(U398:Y398),"")</f>
        <v>305</v>
      </c>
      <c r="AA398" s="27">
        <f>IF(A398&lt;&gt;"",(Z398+Normalize_To_Add)/(Point_Total_So_Far)*100,"")</f>
        <v>100</v>
      </c>
      <c r="AB398" s="10">
        <f>IF(A398&lt;&gt;"",RANK(AA398,All_Student_XC),"")</f>
        <v>109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>
        <f>IF(A398&lt;&gt;"",SUM(W398:X398,$W$8:$X$8)/SUM($W$2:$X$2)*100,"")</f>
        <v>101</v>
      </c>
      <c r="AF398" s="32" t="str">
        <f>IF(A398&lt;&gt;"",CHOOSE(10-MIN(9,TRUNC((AE398+0.5)/10)),"A","B","C","D","F","F","F","F","F","F"),"")</f>
        <v>A</v>
      </c>
      <c r="AG398" s="32" t="str">
        <f>IF(A398&lt;&gt;"",IF(OR(AE398+0.5&gt;=93,AE398+0.5&lt;60),"",IF(MOD(AE398+0.5,10)&gt;=7,"+",IF(MOD(AE398+0.5,10)&lt;3,"-",""))),"")</f>
        <v/>
      </c>
      <c r="AH398" s="36">
        <f>IF(A398&lt;&gt;"",MIN(MAX(AA398,AE398),AA398+$AH$8,AE398+$AH$8),"")</f>
        <v>101</v>
      </c>
      <c r="AI398" s="32" t="str">
        <f>IF(A398&lt;&gt;"",CHOOSE(10-MIN(9,TRUNC((AH398+0.5)/10)),"A","B","C","D","F","F","F","F","F","F"),"")</f>
        <v>A</v>
      </c>
      <c r="AJ398" s="32" t="str">
        <f>IF(A398&lt;&gt;"",IF(OR(AH398+0.5&gt;=93,AH398+0.5&lt;60),"",IF(MOD(AH398+0.5,10)&gt;=7,"+",IF(MOD(AH398+0.5,10)&lt;3,"-",""))),"")</f>
        <v/>
      </c>
      <c r="AK398" s="32" t="b">
        <f>IF(A398&lt;&gt;"",OR(AI398&lt;&gt;AC398,AJ398&lt;&gt;AD398),"")</f>
        <v>0</v>
      </c>
      <c r="AL398" s="84">
        <f>IF(AND(A398&lt;&gt;"",U398&lt;&gt;""),SUM(U398,$AL$8)/$AL$2*100,"")</f>
        <v>98.666666666666671</v>
      </c>
      <c r="AM398" s="24">
        <f>IF(AND(A398&lt;&gt;"",V398&lt;&gt;""),SUM(V398,$AM$8)/$AM$2*100,"")</f>
        <v>99.230769230769226</v>
      </c>
      <c r="AN398" s="24">
        <f>IF(AND(A398&lt;&gt;"",ISNUMBER(P398),P398&gt;=0),SUM(P398,$AN$8)/$AN$2*100,"")</f>
        <v>101</v>
      </c>
      <c r="AO398" s="24" t="str">
        <f>IF(AND(A398&lt;&gt;"",ISNUMBER(Q398),Q398&gt;=0),SUM(Q398,$AO$8)/$AO$2*100,"")</f>
        <v/>
      </c>
      <c r="AP398" s="24" t="str">
        <f>IF(AND(A398&lt;&gt;"",R398&lt;&gt;""),SUM(R398,$AP$8)/$AP$2*100,"")</f>
        <v/>
      </c>
      <c r="AQ398" s="24">
        <f>IF(AND(A398&lt;&gt;"",ISNUMBER(W398),W398&gt;=0),SUM(W398,$AQ$8)/$AQ$2*100,"")</f>
        <v>101</v>
      </c>
      <c r="AR398" s="24" t="str">
        <f>IF(AND(A398&lt;&gt;"",T398&gt;0,ISNUMBER(T398)),SUM(T398,$AR$8)/$AR$2*100,"")</f>
        <v/>
      </c>
      <c r="AS398" s="24" t="str">
        <f>IF(AND(A398&lt;&gt;"",X398&lt;&gt;""),SUM(X398,$AS$8)/$AS$2*100,"")</f>
        <v/>
      </c>
      <c r="AT398" s="89">
        <f>IF(AND(A398&lt;&gt;"",OR(ISNUMBER(W398),ISNUMBER(X398))),SUM(W398:X398,$AT$8)/$AT$2*100,"")</f>
        <v>101</v>
      </c>
      <c r="AU398" s="24">
        <f>AA398</f>
        <v>100</v>
      </c>
      <c r="AV398" s="24"/>
      <c r="AW398" s="27">
        <f>IF(A398&lt;&gt;"",AE398-AA398,"")</f>
        <v>1</v>
      </c>
      <c r="AY398" s="27" t="b">
        <f>S398&gt;R398</f>
        <v>0</v>
      </c>
      <c r="BA398" s="27" t="e">
        <f>AND(AA398&gt;$BA$3,(W398+$W$8)/$W$2&lt;$BB$3,(X398+$X$8)/$X$2&lt;$BB$3)</f>
        <v>#VALUE!</v>
      </c>
      <c r="BB398" s="27" t="e">
        <f>AND(AA398&lt;$BA$3,AND(W398/$W$2&gt;$BB$3,X398/$X$2&gt;$BB$3))</f>
        <v>#VALUE!</v>
      </c>
      <c r="BC398" s="27" t="e">
        <f>AND(AA398&lt;$BA$3,OR(W398/$W$2&gt;$BB$3,X398/$X$2&gt;$BB$3))</f>
        <v>#VALUE!</v>
      </c>
      <c r="BE398" s="32" t="s">
        <v>84</v>
      </c>
    </row>
    <row r="399" spans="1:57" s="27" customFormat="1" ht="12.75" customHeight="1" x14ac:dyDescent="0.2">
      <c r="A399" s="10">
        <v>759581</v>
      </c>
      <c r="B399" s="2">
        <v>22</v>
      </c>
      <c r="C399" s="10">
        <v>24</v>
      </c>
      <c r="D399" s="10">
        <v>25</v>
      </c>
      <c r="E399" s="10"/>
      <c r="F399" s="10"/>
      <c r="G399" s="3"/>
      <c r="H399" s="10"/>
      <c r="I399" s="10"/>
      <c r="J399" s="2">
        <v>31</v>
      </c>
      <c r="K399" s="10">
        <v>52</v>
      </c>
      <c r="L399" s="10">
        <v>52</v>
      </c>
      <c r="M399" s="10"/>
      <c r="N399" s="10"/>
      <c r="O399" s="12"/>
      <c r="P399" s="7">
        <v>101</v>
      </c>
      <c r="Q399" s="7"/>
      <c r="R399" s="2"/>
      <c r="S399" s="10"/>
      <c r="T399" s="13"/>
      <c r="U399" s="35">
        <f t="array" ref="U399">IF(AND(A399&lt;&gt;"",OR(ISNUMBER(B399:I399))),SUM(B399:I399),"")</f>
        <v>71</v>
      </c>
      <c r="V399" s="10">
        <f t="array" ref="V399">IF(AND(A399&lt;&gt;"",OR(ISNUMBER(J399:O399))),SUM(J399:O399),"")</f>
        <v>135</v>
      </c>
      <c r="W399" s="10">
        <f t="array" ref="W399">IF(AND(A399&lt;&gt;"",OR(ISNUMBER(P399),ISNUMBER(Q399))),SUM(MAX(P399:Q399),Q399),"")</f>
        <v>101</v>
      </c>
      <c r="X399" s="10" t="str">
        <f t="array" ref="X399">IF(AND(A399&lt;&gt;"",OR(ISNUMBER(S399),ISNUMBER(T399))),SUM(S399,T399),"")</f>
        <v/>
      </c>
      <c r="Y399" s="13">
        <v>1</v>
      </c>
      <c r="Z399" s="13">
        <f>IF(A399&lt;&gt;"",SUM(U399:Y399),"")</f>
        <v>308</v>
      </c>
      <c r="AA399" s="27">
        <f>IF(A399&lt;&gt;"",(Z399+Normalize_To_Add)/(Point_Total_So_Far)*100,"")</f>
        <v>100.98360655737706</v>
      </c>
      <c r="AB399" s="10">
        <f>IF(A399&lt;&gt;"",RANK(AA399,All_Student_XC),"")</f>
        <v>57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>
        <f>IF(A399&lt;&gt;"",SUM(W399:X399,$W$8:$X$8)/SUM($W$2:$X$2)*100,"")</f>
        <v>101</v>
      </c>
      <c r="AF399" s="32" t="str">
        <f>IF(A399&lt;&gt;"",CHOOSE(10-MIN(9,TRUNC((AE399+0.5)/10)),"A","B","C","D","F","F","F","F","F","F"),"")</f>
        <v>A</v>
      </c>
      <c r="AG399" s="32" t="str">
        <f>IF(A399&lt;&gt;"",IF(OR(AE399+0.5&gt;=93,AE399+0.5&lt;60),"",IF(MOD(AE399+0.5,10)&gt;=7,"+",IF(MOD(AE399+0.5,10)&lt;3,"-",""))),"")</f>
        <v/>
      </c>
      <c r="AH399" s="36">
        <f>IF(A399&lt;&gt;"",MIN(MAX(AA399,AE399),AA399+$AH$8,AE399+$AH$8),"")</f>
        <v>101</v>
      </c>
      <c r="AI399" s="32" t="str">
        <f>IF(A399&lt;&gt;"",CHOOSE(10-MIN(9,TRUNC((AH399+0.5)/10)),"A","B","C","D","F","F","F","F","F","F"),"")</f>
        <v>A</v>
      </c>
      <c r="AJ399" s="32" t="str">
        <f>IF(A399&lt;&gt;"",IF(OR(AH399+0.5&gt;=93,AH399+0.5&lt;60),"",IF(MOD(AH399+0.5,10)&gt;=7,"+",IF(MOD(AH399+0.5,10)&lt;3,"-",""))),"")</f>
        <v/>
      </c>
      <c r="AK399" s="32" t="b">
        <f>IF(A399&lt;&gt;"",OR(AI399&lt;&gt;AC399,AJ399&lt;&gt;AD399),"")</f>
        <v>0</v>
      </c>
      <c r="AL399" s="84">
        <f>IF(AND(A399&lt;&gt;"",U399&lt;&gt;""),SUM(U399,$AL$8)/$AL$2*100,"")</f>
        <v>94.666666666666671</v>
      </c>
      <c r="AM399" s="24">
        <f>IF(AND(A399&lt;&gt;"",V399&lt;&gt;""),SUM(V399,$AM$8)/$AM$2*100,"")</f>
        <v>103.84615384615385</v>
      </c>
      <c r="AN399" s="24">
        <f>IF(AND(A399&lt;&gt;"",ISNUMBER(P399),P399&gt;=0),SUM(P399,$AN$8)/$AN$2*100,"")</f>
        <v>101</v>
      </c>
      <c r="AO399" s="24" t="str">
        <f>IF(AND(A399&lt;&gt;"",ISNUMBER(Q399),Q399&gt;=0),SUM(Q399,$AO$8)/$AO$2*100,"")</f>
        <v/>
      </c>
      <c r="AP399" s="24" t="str">
        <f>IF(AND(A399&lt;&gt;"",R399&lt;&gt;""),SUM(R399,$AP$8)/$AP$2*100,"")</f>
        <v/>
      </c>
      <c r="AQ399" s="24">
        <f>IF(AND(A399&lt;&gt;"",ISNUMBER(W399),W399&gt;=0),SUM(W399,$AQ$8)/$AQ$2*100,"")</f>
        <v>101</v>
      </c>
      <c r="AR399" s="24" t="str">
        <f>IF(AND(A399&lt;&gt;"",T399&gt;0,ISNUMBER(T399)),SUM(T399,$AR$8)/$AR$2*100,"")</f>
        <v/>
      </c>
      <c r="AS399" s="24" t="str">
        <f>IF(AND(A399&lt;&gt;"",X399&lt;&gt;""),SUM(X399,$AS$8)/$AS$2*100,"")</f>
        <v/>
      </c>
      <c r="AT399" s="89">
        <f>IF(AND(A399&lt;&gt;"",OR(ISNUMBER(W399),ISNUMBER(X399))),SUM(W399:X399,$AT$8)/$AT$2*100,"")</f>
        <v>101</v>
      </c>
      <c r="AU399" s="24">
        <f>AA399</f>
        <v>100.98360655737706</v>
      </c>
      <c r="AV399" s="24"/>
      <c r="AW399" s="27">
        <f>IF(A399&lt;&gt;"",AE399-AA399,"")</f>
        <v>1.6393442622941734E-2</v>
      </c>
      <c r="AY399" s="27" t="b">
        <f>S399&gt;R399</f>
        <v>0</v>
      </c>
      <c r="BA399" s="27" t="e">
        <f>AND(AA399&gt;$BA$3,(W399+$W$8)/$W$2&lt;$BB$3,(X399+$X$8)/$X$2&lt;$BB$3)</f>
        <v>#VALUE!</v>
      </c>
      <c r="BB399" s="27" t="e">
        <f>AND(AA399&lt;$BA$3,AND(W399/$W$2&gt;$BB$3,X399/$X$2&gt;$BB$3))</f>
        <v>#VALUE!</v>
      </c>
      <c r="BC399" s="27" t="e">
        <f>AND(AA399&lt;$BA$3,OR(W399/$W$2&gt;$BB$3,X399/$X$2&gt;$BB$3))</f>
        <v>#VALUE!</v>
      </c>
      <c r="BE399" s="32">
        <v>32</v>
      </c>
    </row>
    <row r="400" spans="1:57" s="27" customFormat="1" ht="12.75" customHeight="1" x14ac:dyDescent="0.2">
      <c r="A400" s="10">
        <v>759603</v>
      </c>
      <c r="B400" s="2">
        <v>25</v>
      </c>
      <c r="C400" s="10">
        <v>22</v>
      </c>
      <c r="D400" s="10">
        <v>25</v>
      </c>
      <c r="E400" s="10"/>
      <c r="F400" s="10"/>
      <c r="G400" s="3"/>
      <c r="H400" s="10"/>
      <c r="I400" s="10"/>
      <c r="J400" s="2">
        <v>32</v>
      </c>
      <c r="K400" s="10">
        <v>51</v>
      </c>
      <c r="L400" s="10">
        <v>52</v>
      </c>
      <c r="M400" s="10"/>
      <c r="N400" s="10"/>
      <c r="O400" s="12"/>
      <c r="P400" s="7">
        <v>100</v>
      </c>
      <c r="Q400" s="7"/>
      <c r="R400" s="2"/>
      <c r="S400" s="10"/>
      <c r="T400" s="13"/>
      <c r="U400" s="35">
        <f t="array" ref="U400">IF(AND(A400&lt;&gt;"",OR(ISNUMBER(B400:I400))),SUM(B400:I400),"")</f>
        <v>72</v>
      </c>
      <c r="V400" s="10">
        <f t="array" ref="V400">IF(AND(A400&lt;&gt;"",OR(ISNUMBER(J400:O400))),SUM(J400:O400),"")</f>
        <v>135</v>
      </c>
      <c r="W400" s="10">
        <f t="array" ref="W400">IF(AND(A400&lt;&gt;"",OR(ISNUMBER(P400),ISNUMBER(Q400))),SUM(MAX(P400:Q400),Q400),"")</f>
        <v>100</v>
      </c>
      <c r="X400" s="10" t="str">
        <f t="array" ref="X400">IF(AND(A400&lt;&gt;"",OR(ISNUMBER(S400),ISNUMBER(T400))),SUM(S400,T400),"")</f>
        <v/>
      </c>
      <c r="Y400" s="13">
        <v>1</v>
      </c>
      <c r="Z400" s="13">
        <f>IF(A400&lt;&gt;"",SUM(U400:Y400),"")</f>
        <v>308</v>
      </c>
      <c r="AA400" s="27">
        <f>IF(A400&lt;&gt;"",(Z400+Normalize_To_Add)/(Point_Total_So_Far)*100,"")</f>
        <v>100.98360655737706</v>
      </c>
      <c r="AB400" s="10">
        <f>IF(A400&lt;&gt;"",RANK(AA400,All_Student_XC),"")</f>
        <v>57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>
        <f>IF(A400&lt;&gt;"",SUM(W400:X400,$W$8:$X$8)/SUM($W$2:$X$2)*100,"")</f>
        <v>100</v>
      </c>
      <c r="AF400" s="32" t="str">
        <f>IF(A400&lt;&gt;"",CHOOSE(10-MIN(9,TRUNC((AE400+0.5)/10)),"A","B","C","D","F","F","F","F","F","F"),"")</f>
        <v>A</v>
      </c>
      <c r="AG400" s="32" t="str">
        <f>IF(A400&lt;&gt;"",IF(OR(AE400+0.5&gt;=93,AE400+0.5&lt;60),"",IF(MOD(AE400+0.5,10)&gt;=7,"+",IF(MOD(AE400+0.5,10)&lt;3,"-",""))),"")</f>
        <v/>
      </c>
      <c r="AH400" s="36">
        <f>IF(A400&lt;&gt;"",MIN(MAX(AA400,AE400),AA400+$AH$8,AE400+$AH$8),"")</f>
        <v>100.98360655737706</v>
      </c>
      <c r="AI400" s="32" t="str">
        <f>IF(A400&lt;&gt;"",CHOOSE(10-MIN(9,TRUNC((AH400+0.5)/10)),"A","B","C","D","F","F","F","F","F","F"),"")</f>
        <v>A</v>
      </c>
      <c r="AJ400" s="32" t="str">
        <f>IF(A400&lt;&gt;"",IF(OR(AH400+0.5&gt;=93,AH400+0.5&lt;60),"",IF(MOD(AH400+0.5,10)&gt;=7,"+",IF(MOD(AH400+0.5,10)&lt;3,"-",""))),"")</f>
        <v/>
      </c>
      <c r="AK400" s="32" t="b">
        <f>IF(A400&lt;&gt;"",OR(AI400&lt;&gt;AC400,AJ400&lt;&gt;AD400),"")</f>
        <v>0</v>
      </c>
      <c r="AL400" s="84">
        <f>IF(AND(A400&lt;&gt;"",U400&lt;&gt;""),SUM(U400,$AL$8)/$AL$2*100,"")</f>
        <v>96</v>
      </c>
      <c r="AM400" s="24">
        <f>IF(AND(A400&lt;&gt;"",V400&lt;&gt;""),SUM(V400,$AM$8)/$AM$2*100,"")</f>
        <v>103.84615384615385</v>
      </c>
      <c r="AN400" s="24">
        <f>IF(AND(A400&lt;&gt;"",ISNUMBER(P400),P400&gt;=0),SUM(P400,$AN$8)/$AN$2*100,"")</f>
        <v>100</v>
      </c>
      <c r="AO400" s="24" t="str">
        <f>IF(AND(A400&lt;&gt;"",ISNUMBER(Q400),Q400&gt;=0),SUM(Q400,$AO$8)/$AO$2*100,"")</f>
        <v/>
      </c>
      <c r="AP400" s="24" t="str">
        <f>IF(AND(A400&lt;&gt;"",R400&lt;&gt;""),SUM(R400,$AP$8)/$AP$2*100,"")</f>
        <v/>
      </c>
      <c r="AQ400" s="24">
        <f>IF(AND(A400&lt;&gt;"",ISNUMBER(W400),W400&gt;=0),SUM(W400,$AQ$8)/$AQ$2*100,"")</f>
        <v>100</v>
      </c>
      <c r="AR400" s="24" t="str">
        <f>IF(AND(A400&lt;&gt;"",T400&gt;0,ISNUMBER(T400)),SUM(T400,$AR$8)/$AR$2*100,"")</f>
        <v/>
      </c>
      <c r="AS400" s="24" t="str">
        <f>IF(AND(A400&lt;&gt;"",X400&lt;&gt;""),SUM(X400,$AS$8)/$AS$2*100,"")</f>
        <v/>
      </c>
      <c r="AT400" s="89">
        <f>IF(AND(A400&lt;&gt;"",OR(ISNUMBER(W400),ISNUMBER(X400))),SUM(W400:X400,$AT$8)/$AT$2*100,"")</f>
        <v>100</v>
      </c>
      <c r="AU400" s="24">
        <f>AA400</f>
        <v>100.98360655737706</v>
      </c>
      <c r="AV400" s="24"/>
      <c r="AW400" s="27">
        <f>IF(A400&lt;&gt;"",AE400-AA400,"")</f>
        <v>-0.98360655737705827</v>
      </c>
      <c r="AY400" s="27" t="b">
        <f>S400&gt;R400</f>
        <v>0</v>
      </c>
      <c r="BA400" s="27" t="e">
        <f>AND(AA400&gt;$BA$3,(W400+$W$8)/$W$2&lt;$BB$3,(X400+$X$8)/$X$2&lt;$BB$3)</f>
        <v>#VALUE!</v>
      </c>
      <c r="BB400" s="27" t="e">
        <f>AND(AA400&lt;$BA$3,AND(W400/$W$2&gt;$BB$3,X400/$X$2&gt;$BB$3))</f>
        <v>#VALUE!</v>
      </c>
      <c r="BC400" s="27" t="e">
        <f>AND(AA400&lt;$BA$3,OR(W400/$W$2&gt;$BB$3,X400/$X$2&gt;$BB$3))</f>
        <v>#VALUE!</v>
      </c>
      <c r="BE400" s="32">
        <v>32</v>
      </c>
    </row>
    <row r="401" spans="1:57" s="27" customFormat="1" ht="12" customHeight="1" x14ac:dyDescent="0.2">
      <c r="A401" s="10">
        <v>760376</v>
      </c>
      <c r="B401" s="2">
        <v>23</v>
      </c>
      <c r="C401" s="10">
        <v>23</v>
      </c>
      <c r="D401" s="10">
        <v>24</v>
      </c>
      <c r="E401" s="10"/>
      <c r="F401" s="10"/>
      <c r="G401" s="10"/>
      <c r="H401" s="10"/>
      <c r="I401" s="10"/>
      <c r="J401" s="2">
        <v>31</v>
      </c>
      <c r="K401" s="10">
        <v>51</v>
      </c>
      <c r="L401" s="10">
        <v>49</v>
      </c>
      <c r="M401" s="10"/>
      <c r="N401" s="10"/>
      <c r="O401" s="12"/>
      <c r="P401" s="41">
        <v>101</v>
      </c>
      <c r="Q401" s="41"/>
      <c r="R401" s="2"/>
      <c r="S401" s="10"/>
      <c r="T401" s="13"/>
      <c r="U401" s="7">
        <f t="array" ref="U401">IF(AND(A401&lt;&gt;"",OR(ISNUMBER(B401:I401))),SUM(B401:I401),"")</f>
        <v>70</v>
      </c>
      <c r="V401" s="10">
        <f t="array" ref="V401">IF(AND(A401&lt;&gt;"",OR(ISNUMBER(J401:O401))),SUM(J401:O401),"")</f>
        <v>131</v>
      </c>
      <c r="W401" s="10">
        <f t="array" ref="W401">IF(AND(A401&lt;&gt;"",OR(ISNUMBER(P401),ISNUMBER(Q401))),SUM(MAX(P401:Q401),Q401),"")</f>
        <v>101</v>
      </c>
      <c r="X401" s="10" t="str">
        <f t="array" ref="X401">IF(AND(A401&lt;&gt;"",OR(ISNUMBER(S401),ISNUMBER(T401))),SUM(S401,T401),"")</f>
        <v/>
      </c>
      <c r="Y401" s="13">
        <v>1</v>
      </c>
      <c r="Z401" s="13">
        <f>IF(A401&lt;&gt;"",SUM(U401:Y401),"")</f>
        <v>303</v>
      </c>
      <c r="AA401" s="27">
        <f>IF(A401&lt;&gt;"",(Z401+Normalize_To_Add)/(Point_Total_So_Far)*100,"")</f>
        <v>99.344262295081961</v>
      </c>
      <c r="AB401" s="10">
        <f>IF(A401&lt;&gt;"",RANK(AA401,All_Student_XC),"")</f>
        <v>145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/>
      </c>
      <c r="AE401" s="32">
        <f>IF(A401&lt;&gt;"",SUM(W401:X401,$W$8:$X$8)/SUM($W$2:$X$2)*100,"")</f>
        <v>101</v>
      </c>
      <c r="AF401" s="32" t="str">
        <f>IF(A401&lt;&gt;"",CHOOSE(10-MIN(9,TRUNC((AE401+0.5)/10)),"A","B","C","D","F","F","F","F","F","F"),"")</f>
        <v>A</v>
      </c>
      <c r="AG401" s="32" t="str">
        <f>IF(A401&lt;&gt;"",IF(OR(AE401+0.5&gt;=93,AE401+0.5&lt;60),"",IF(MOD(AE401+0.5,10)&gt;=7,"+",IF(MOD(AE401+0.5,10)&lt;3,"-",""))),"")</f>
        <v/>
      </c>
      <c r="AH401" s="36">
        <f>IF(A401&lt;&gt;"",MIN(MAX(AA401,AE401),AA401+$AH$8,AE401+$AH$8),"")</f>
        <v>101</v>
      </c>
      <c r="AI401" s="32" t="str">
        <f>IF(A401&lt;&gt;"",CHOOSE(10-MIN(9,TRUNC((AH401+0.5)/10)),"A","B","C","D","F","F","F","F","F","F"),"")</f>
        <v>A</v>
      </c>
      <c r="AJ401" s="32" t="str">
        <f>IF(A401&lt;&gt;"",IF(OR(AH401+0.5&gt;=93,AH401+0.5&lt;60),"",IF(MOD(AH401+0.5,10)&gt;=7,"+",IF(MOD(AH401+0.5,10)&lt;3,"-",""))),"")</f>
        <v/>
      </c>
      <c r="AK401" s="32" t="b">
        <f>IF(A401&lt;&gt;"",OR(AI401&lt;&gt;AC401,AJ401&lt;&gt;AD401),"")</f>
        <v>0</v>
      </c>
      <c r="AL401" s="84">
        <f>IF(AND(A401&lt;&gt;"",U401&lt;&gt;""),SUM(U401,$AL$8)/$AL$2*100,"")</f>
        <v>93.333333333333329</v>
      </c>
      <c r="AM401" s="24">
        <f>IF(AND(A401&lt;&gt;"",V401&lt;&gt;""),SUM(V401,$AM$8)/$AM$2*100,"")</f>
        <v>100.76923076923077</v>
      </c>
      <c r="AN401" s="24">
        <f>IF(AND(A401&lt;&gt;"",ISNUMBER(P401),P401&gt;=0),SUM(P401,$AN$8)/$AN$2*100,"")</f>
        <v>101</v>
      </c>
      <c r="AO401" s="24" t="str">
        <f>IF(AND(A401&lt;&gt;"",ISNUMBER(Q401),Q401&gt;=0),SUM(Q401,$AO$8)/$AO$2*100,"")</f>
        <v/>
      </c>
      <c r="AP401" s="24" t="str">
        <f>IF(AND(A401&lt;&gt;"",R401&lt;&gt;""),SUM(R401,$AP$8)/$AP$2*100,"")</f>
        <v/>
      </c>
      <c r="AQ401" s="24">
        <f>IF(AND(A401&lt;&gt;"",ISNUMBER(W401),W401&gt;=0),SUM(W401,$AQ$8)/$AQ$2*100,"")</f>
        <v>101</v>
      </c>
      <c r="AR401" s="24" t="str">
        <f>IF(AND(A401&lt;&gt;"",T401&gt;0,ISNUMBER(T401)),SUM(T401,$AR$8)/$AR$2*100,"")</f>
        <v/>
      </c>
      <c r="AS401" s="24" t="str">
        <f>IF(AND(A401&lt;&gt;"",X401&lt;&gt;""),SUM(X401,$AS$8)/$AS$2*100,"")</f>
        <v/>
      </c>
      <c r="AT401" s="89">
        <f>IF(AND(A401&lt;&gt;"",OR(ISNUMBER(W401),ISNUMBER(X401))),SUM(W401:X401,$AT$8)/$AT$2*100,"")</f>
        <v>101</v>
      </c>
      <c r="AU401" s="24">
        <f>AA401</f>
        <v>99.344262295081961</v>
      </c>
      <c r="AV401" s="24"/>
      <c r="AW401" s="27">
        <f>IF(A401&lt;&gt;"",AE401-AA401,"")</f>
        <v>1.6557377049180388</v>
      </c>
      <c r="AY401" s="27" t="b">
        <f>S401&gt;R401</f>
        <v>0</v>
      </c>
      <c r="BA401" s="27" t="e">
        <f>AND(AA401&gt;$BA$3,(W401+$W$8)/$W$2&lt;$BB$3,(X401+$X$8)/$X$2&lt;$BB$3)</f>
        <v>#VALUE!</v>
      </c>
      <c r="BB401" s="27" t="e">
        <f>AND(AA401&lt;$BA$3,AND(W401/$W$2&gt;$BB$3,X401/$X$2&gt;$BB$3))</f>
        <v>#VALUE!</v>
      </c>
      <c r="BC401" s="27" t="e">
        <f>AND(AA401&lt;$BA$3,OR(W401/$W$2&gt;$BB$3,X401/$X$2&gt;$BB$3))</f>
        <v>#VALUE!</v>
      </c>
      <c r="BE401" s="32" t="s">
        <v>85</v>
      </c>
    </row>
    <row r="402" spans="1:57" s="27" customFormat="1" ht="12.75" customHeight="1" x14ac:dyDescent="0.2">
      <c r="A402" s="10">
        <v>760462</v>
      </c>
      <c r="B402" s="2">
        <v>24</v>
      </c>
      <c r="C402" s="10">
        <v>21</v>
      </c>
      <c r="D402" s="10">
        <v>25</v>
      </c>
      <c r="E402" s="10"/>
      <c r="F402" s="10"/>
      <c r="G402" s="3"/>
      <c r="H402" s="10"/>
      <c r="I402" s="10"/>
      <c r="J402" s="2">
        <v>29</v>
      </c>
      <c r="K402" s="10">
        <v>36</v>
      </c>
      <c r="L402" s="10">
        <v>49</v>
      </c>
      <c r="M402" s="10"/>
      <c r="N402" s="10"/>
      <c r="O402" s="12"/>
      <c r="P402" s="41">
        <v>80</v>
      </c>
      <c r="Q402" s="41"/>
      <c r="R402" s="2"/>
      <c r="S402" s="10"/>
      <c r="T402" s="13"/>
      <c r="U402" s="7">
        <f t="array" ref="U402">IF(AND(A402&lt;&gt;"",OR(ISNUMBER(B402:I402))),SUM(B402:I402),"")</f>
        <v>70</v>
      </c>
      <c r="V402" s="10">
        <f t="array" ref="V402">IF(AND(A402&lt;&gt;"",OR(ISNUMBER(J402:O402))),SUM(J402:O402),"")</f>
        <v>114</v>
      </c>
      <c r="W402" s="10">
        <f t="array" ref="W402">IF(AND(A402&lt;&gt;"",OR(ISNUMBER(P402),ISNUMBER(Q402))),SUM(MAX(P402:Q402),Q402),"")</f>
        <v>80</v>
      </c>
      <c r="X402" s="10" t="str">
        <f t="array" ref="X402">IF(AND(A402&lt;&gt;"",OR(ISNUMBER(S402),ISNUMBER(T402))),SUM(S402,T402),"")</f>
        <v/>
      </c>
      <c r="Y402" s="13">
        <v>1</v>
      </c>
      <c r="Z402" s="13">
        <f>IF(A402&lt;&gt;"",SUM(U402:Y402),"")</f>
        <v>265</v>
      </c>
      <c r="AA402" s="27">
        <f>IF(A402&lt;&gt;"",(Z402+Normalize_To_Add)/(Point_Total_So_Far)*100,"")</f>
        <v>86.885245901639337</v>
      </c>
      <c r="AB402" s="10">
        <f>IF(A402&lt;&gt;"",RANK(AA402,All_Student_XC),"")</f>
        <v>365</v>
      </c>
      <c r="AC402" s="32" t="str">
        <f>IF(A402&lt;&gt;"",CHOOSE(10-MIN(9,TRUNC((AA402+0.5)/10)),"A","B","C","D","F","F","F","F","F","F"),"")</f>
        <v>B</v>
      </c>
      <c r="AD402" s="32" t="str">
        <f>IF(A402&lt;&gt;"",IF(OR(AA402+0.5&gt;=93,AA402+0.5&lt;60),"",IF(MOD(AA402+0.5,10)&gt;=7,"+",IF(MOD(AA402+0.5,10)&lt;3,"-",""))),"")</f>
        <v>+</v>
      </c>
      <c r="AE402" s="32">
        <f>IF(A402&lt;&gt;"",SUM(W402:X402,$W$8:$X$8)/SUM($W$2:$X$2)*100,"")</f>
        <v>80</v>
      </c>
      <c r="AF402" s="32" t="str">
        <f>IF(A402&lt;&gt;"",CHOOSE(10-MIN(9,TRUNC((AE402+0.5)/10)),"A","B","C","D","F","F","F","F","F","F"),"")</f>
        <v>B</v>
      </c>
      <c r="AG402" s="32" t="str">
        <f>IF(A402&lt;&gt;"",IF(OR(AE402+0.5&gt;=93,AE402+0.5&lt;60),"",IF(MOD(AE402+0.5,10)&gt;=7,"+",IF(MOD(AE402+0.5,10)&lt;3,"-",""))),"")</f>
        <v>-</v>
      </c>
      <c r="AH402" s="36">
        <f>IF(A402&lt;&gt;"",MIN(MAX(AA402,AE402),AA402+$AH$8,AE402+$AH$8),"")</f>
        <v>86.885245901639337</v>
      </c>
      <c r="AI402" s="32" t="str">
        <f>IF(A402&lt;&gt;"",CHOOSE(10-MIN(9,TRUNC((AH402+0.5)/10)),"A","B","C","D","F","F","F","F","F","F"),"")</f>
        <v>B</v>
      </c>
      <c r="AJ402" s="32" t="str">
        <f>IF(A402&lt;&gt;"",IF(OR(AH402+0.5&gt;=93,AH402+0.5&lt;60),"",IF(MOD(AH402+0.5,10)&gt;=7,"+",IF(MOD(AH402+0.5,10)&lt;3,"-",""))),"")</f>
        <v>+</v>
      </c>
      <c r="AK402" s="32" t="b">
        <f>IF(A402&lt;&gt;"",OR(AI402&lt;&gt;AC402,AJ402&lt;&gt;AD402),"")</f>
        <v>0</v>
      </c>
      <c r="AL402" s="84">
        <f>IF(AND(A402&lt;&gt;"",U402&lt;&gt;""),SUM(U402,$AL$8)/$AL$2*100,"")</f>
        <v>93.333333333333329</v>
      </c>
      <c r="AM402" s="24">
        <f>IF(AND(A402&lt;&gt;"",V402&lt;&gt;""),SUM(V402,$AM$8)/$AM$2*100,"")</f>
        <v>87.692307692307693</v>
      </c>
      <c r="AN402" s="24">
        <f>IF(AND(A402&lt;&gt;"",ISNUMBER(P402),P402&gt;=0),SUM(P402,$AN$8)/$AN$2*100,"")</f>
        <v>80</v>
      </c>
      <c r="AO402" s="24" t="str">
        <f>IF(AND(A402&lt;&gt;"",ISNUMBER(Q402),Q402&gt;=0),SUM(Q402,$AO$8)/$AO$2*100,"")</f>
        <v/>
      </c>
      <c r="AP402" s="24" t="str">
        <f>IF(AND(A402&lt;&gt;"",R402&lt;&gt;""),SUM(R402,$AP$8)/$AP$2*100,"")</f>
        <v/>
      </c>
      <c r="AQ402" s="24">
        <f>IF(AND(A402&lt;&gt;"",ISNUMBER(W402),W402&gt;=0),SUM(W402,$AQ$8)/$AQ$2*100,"")</f>
        <v>80</v>
      </c>
      <c r="AR402" s="24" t="str">
        <f>IF(AND(A402&lt;&gt;"",T402&gt;0,ISNUMBER(T402)),SUM(T402,$AR$8)/$AR$2*100,"")</f>
        <v/>
      </c>
      <c r="AS402" s="24" t="str">
        <f>IF(AND(A402&lt;&gt;"",X402&lt;&gt;""),SUM(X402,$AS$8)/$AS$2*100,"")</f>
        <v/>
      </c>
      <c r="AT402" s="89">
        <f>IF(AND(A402&lt;&gt;"",OR(ISNUMBER(W402),ISNUMBER(X402))),SUM(W402:X402,$AT$8)/$AT$2*100,"")</f>
        <v>80</v>
      </c>
      <c r="AU402" s="24">
        <f>AA402</f>
        <v>86.885245901639337</v>
      </c>
      <c r="AV402" s="24"/>
      <c r="AW402" s="27">
        <f>IF(A402&lt;&gt;"",AE402-AA402,"")</f>
        <v>-6.8852459016393368</v>
      </c>
      <c r="AY402" s="27" t="b">
        <f>S402&gt;R402</f>
        <v>0</v>
      </c>
      <c r="BA402" s="27" t="e">
        <f>AND(AA402&gt;$BA$3,(W402+$W$8)/$W$2&lt;$BB$3,(X402+$X$8)/$X$2&lt;$BB$3)</f>
        <v>#VALUE!</v>
      </c>
      <c r="BB402" s="27" t="e">
        <f>AND(AA402&lt;$BA$3,AND(W402/$W$2&gt;$BB$3,X402/$X$2&gt;$BB$3))</f>
        <v>#VALUE!</v>
      </c>
      <c r="BC402" s="27" t="e">
        <f>AND(AA402&lt;$BA$3,OR(W402/$W$2&gt;$BB$3,X402/$X$2&gt;$BB$3))</f>
        <v>#VALUE!</v>
      </c>
      <c r="BE402" s="32">
        <v>32</v>
      </c>
    </row>
    <row r="403" spans="1:57" s="27" customFormat="1" ht="12.75" customHeight="1" x14ac:dyDescent="0.2">
      <c r="A403" s="10">
        <v>763179</v>
      </c>
      <c r="B403" s="2">
        <v>25</v>
      </c>
      <c r="C403" s="10">
        <v>25</v>
      </c>
      <c r="D403" s="10">
        <v>25</v>
      </c>
      <c r="E403" s="10"/>
      <c r="F403" s="10"/>
      <c r="G403" s="3"/>
      <c r="H403" s="10"/>
      <c r="I403" s="10"/>
      <c r="J403" s="2">
        <v>30</v>
      </c>
      <c r="K403" s="10">
        <v>52</v>
      </c>
      <c r="L403" s="10">
        <v>50</v>
      </c>
      <c r="M403" s="10"/>
      <c r="N403" s="10"/>
      <c r="O403" s="12"/>
      <c r="P403" s="7">
        <v>101</v>
      </c>
      <c r="Q403" s="7"/>
      <c r="R403" s="2"/>
      <c r="S403" s="10"/>
      <c r="T403" s="13"/>
      <c r="U403" s="35">
        <f t="array" ref="U403">IF(AND(A403&lt;&gt;"",OR(ISNUMBER(B403:I403))),SUM(B403:I403),"")</f>
        <v>75</v>
      </c>
      <c r="V403" s="10">
        <f t="array" ref="V403">IF(AND(A403&lt;&gt;"",OR(ISNUMBER(J403:O403))),SUM(J403:O403),"")</f>
        <v>132</v>
      </c>
      <c r="W403" s="10">
        <f t="array" ref="W403">IF(AND(A403&lt;&gt;"",OR(ISNUMBER(P403),ISNUMBER(Q403))),SUM(MAX(P403:Q403),Q403),"")</f>
        <v>101</v>
      </c>
      <c r="X403" s="10" t="str">
        <f t="array" ref="X403">IF(AND(A403&lt;&gt;"",OR(ISNUMBER(S403),ISNUMBER(T403))),SUM(S403,T403),"")</f>
        <v/>
      </c>
      <c r="Y403" s="13">
        <v>1</v>
      </c>
      <c r="Z403" s="13">
        <f>IF(A403&lt;&gt;"",SUM(U403:Y403),"")</f>
        <v>309</v>
      </c>
      <c r="AA403" s="27">
        <f>IF(A403&lt;&gt;"",(Z403+Normalize_To_Add)/(Point_Total_So_Far)*100,"")</f>
        <v>101.31147540983608</v>
      </c>
      <c r="AB403" s="10">
        <f>IF(A403&lt;&gt;"",RANK(AA403,All_Student_XC),"")</f>
        <v>35</v>
      </c>
      <c r="AC403" s="32" t="str">
        <f>IF(A403&lt;&gt;"",CHOOSE(10-MIN(9,TRUNC((AA403+0.5)/10)),"A","B","C","D","F","F","F","F","F","F"),"")</f>
        <v>A</v>
      </c>
      <c r="AD403" s="32" t="str">
        <f>IF(A403&lt;&gt;"",IF(OR(AA403+0.5&gt;=93,AA403+0.5&lt;60),"",IF(MOD(AA403+0.5,10)&gt;=7,"+",IF(MOD(AA403+0.5,10)&lt;3,"-",""))),"")</f>
        <v/>
      </c>
      <c r="AE403" s="32">
        <f>IF(A403&lt;&gt;"",SUM(W403:X403,$W$8:$X$8)/SUM($W$2:$X$2)*100,"")</f>
        <v>101</v>
      </c>
      <c r="AF403" s="32" t="str">
        <f>IF(A403&lt;&gt;"",CHOOSE(10-MIN(9,TRUNC((AE403+0.5)/10)),"A","B","C","D","F","F","F","F","F","F"),"")</f>
        <v>A</v>
      </c>
      <c r="AG403" s="32" t="str">
        <f>IF(A403&lt;&gt;"",IF(OR(AE403+0.5&gt;=93,AE403+0.5&lt;60),"",IF(MOD(AE403+0.5,10)&gt;=7,"+",IF(MOD(AE403+0.5,10)&lt;3,"-",""))),"")</f>
        <v/>
      </c>
      <c r="AH403" s="36">
        <f>IF(A403&lt;&gt;"",MIN(MAX(AA403,AE403),AA403+$AH$8,AE403+$AH$8),"")</f>
        <v>101.31147540983608</v>
      </c>
      <c r="AI403" s="32" t="str">
        <f>IF(A403&lt;&gt;"",CHOOSE(10-MIN(9,TRUNC((AH403+0.5)/10)),"A","B","C","D","F","F","F","F","F","F"),"")</f>
        <v>A</v>
      </c>
      <c r="AJ403" s="32" t="str">
        <f>IF(A403&lt;&gt;"",IF(OR(AH403+0.5&gt;=93,AH403+0.5&lt;60),"",IF(MOD(AH403+0.5,10)&gt;=7,"+",IF(MOD(AH403+0.5,10)&lt;3,"-",""))),"")</f>
        <v/>
      </c>
      <c r="AK403" s="32" t="b">
        <f>IF(A403&lt;&gt;"",OR(AI403&lt;&gt;AC403,AJ403&lt;&gt;AD403),"")</f>
        <v>0</v>
      </c>
      <c r="AL403" s="84">
        <f>IF(AND(A403&lt;&gt;"",U403&lt;&gt;""),SUM(U403,$AL$8)/$AL$2*100,"")</f>
        <v>100</v>
      </c>
      <c r="AM403" s="24">
        <f>IF(AND(A403&lt;&gt;"",V403&lt;&gt;""),SUM(V403,$AM$8)/$AM$2*100,"")</f>
        <v>101.53846153846153</v>
      </c>
      <c r="AN403" s="24">
        <f>IF(AND(A403&lt;&gt;"",ISNUMBER(P403),P403&gt;=0),SUM(P403,$AN$8)/$AN$2*100,"")</f>
        <v>101</v>
      </c>
      <c r="AO403" s="24" t="str">
        <f>IF(AND(A403&lt;&gt;"",ISNUMBER(Q403),Q403&gt;=0),SUM(Q403,$AO$8)/$AO$2*100,"")</f>
        <v/>
      </c>
      <c r="AP403" s="24" t="str">
        <f>IF(AND(A403&lt;&gt;"",R403&lt;&gt;""),SUM(R403,$AP$8)/$AP$2*100,"")</f>
        <v/>
      </c>
      <c r="AQ403" s="24">
        <f>IF(AND(A403&lt;&gt;"",ISNUMBER(W403),W403&gt;=0),SUM(W403,$AQ$8)/$AQ$2*100,"")</f>
        <v>101</v>
      </c>
      <c r="AR403" s="24" t="str">
        <f>IF(AND(A403&lt;&gt;"",T403&gt;0,ISNUMBER(T403)),SUM(T403,$AR$8)/$AR$2*100,"")</f>
        <v/>
      </c>
      <c r="AS403" s="24" t="str">
        <f>IF(AND(A403&lt;&gt;"",X403&lt;&gt;""),SUM(X403,$AS$8)/$AS$2*100,"")</f>
        <v/>
      </c>
      <c r="AT403" s="89">
        <f>IF(AND(A403&lt;&gt;"",OR(ISNUMBER(W403),ISNUMBER(X403))),SUM(W403:X403,$AT$8)/$AT$2*100,"")</f>
        <v>101</v>
      </c>
      <c r="AU403" s="24">
        <f>AA403</f>
        <v>101.31147540983608</v>
      </c>
      <c r="AV403" s="24"/>
      <c r="AW403" s="27">
        <f>IF(A403&lt;&gt;"",AE403-AA403,"")</f>
        <v>-0.31147540983607769</v>
      </c>
      <c r="AY403" s="27" t="b">
        <f>S403&gt;R403</f>
        <v>0</v>
      </c>
      <c r="BA403" s="27" t="e">
        <f>AND(AA403&gt;$BA$3,(W403+$W$8)/$W$2&lt;$BB$3,(X403+$X$8)/$X$2&lt;$BB$3)</f>
        <v>#VALUE!</v>
      </c>
      <c r="BB403" s="27" t="e">
        <f>AND(AA403&lt;$BA$3,AND(W403/$W$2&gt;$BB$3,X403/$X$2&gt;$BB$3))</f>
        <v>#VALUE!</v>
      </c>
      <c r="BC403" s="27" t="e">
        <f>AND(AA403&lt;$BA$3,OR(W403/$W$2&gt;$BB$3,X403/$X$2&gt;$BB$3))</f>
        <v>#VALUE!</v>
      </c>
      <c r="BE403" s="32" t="s">
        <v>84</v>
      </c>
    </row>
    <row r="404" spans="1:57" s="27" customFormat="1" ht="12.75" customHeight="1" x14ac:dyDescent="0.2">
      <c r="A404" s="10">
        <v>763556</v>
      </c>
      <c r="B404" s="2">
        <v>24</v>
      </c>
      <c r="C404" s="10">
        <v>21</v>
      </c>
      <c r="D404" s="10">
        <v>25</v>
      </c>
      <c r="E404" s="10"/>
      <c r="F404" s="10"/>
      <c r="G404" s="10"/>
      <c r="H404" s="10"/>
      <c r="I404" s="10"/>
      <c r="J404" s="2">
        <v>28</v>
      </c>
      <c r="K404" s="10">
        <v>50</v>
      </c>
      <c r="L404" s="10">
        <v>46</v>
      </c>
      <c r="M404" s="10"/>
      <c r="N404" s="93"/>
      <c r="O404" s="13"/>
      <c r="P404" s="10">
        <v>100</v>
      </c>
      <c r="Q404" s="10"/>
      <c r="R404" s="2"/>
      <c r="S404" s="10"/>
      <c r="T404" s="13"/>
      <c r="U404" s="7">
        <f t="array" ref="U404">IF(AND(A404&lt;&gt;"",OR(ISNUMBER(B404:I404))),SUM(B404:I404),"")</f>
        <v>70</v>
      </c>
      <c r="V404" s="10">
        <f t="array" ref="V404">IF(AND(A404&lt;&gt;"",OR(ISNUMBER(J404:O404))),SUM(J404:O404),"")</f>
        <v>124</v>
      </c>
      <c r="W404" s="10">
        <f t="array" ref="W404">IF(AND(A404&lt;&gt;"",OR(ISNUMBER(P404),ISNUMBER(Q404))),SUM(MAX(P404:Q404),Q404),"")</f>
        <v>100</v>
      </c>
      <c r="X404" s="10" t="str">
        <f t="array" ref="X404">IF(AND(A404&lt;&gt;"",OR(ISNUMBER(S404),ISNUMBER(T404))),SUM(S404,T404),"")</f>
        <v/>
      </c>
      <c r="Y404" s="13">
        <v>1</v>
      </c>
      <c r="Z404" s="13">
        <f>IF(A404&lt;&gt;"",SUM(U404:Y404),"")</f>
        <v>295</v>
      </c>
      <c r="AA404" s="27">
        <f>IF(A404&lt;&gt;"",(Z404+Normalize_To_Add)/(Point_Total_So_Far)*100,"")</f>
        <v>96.721311475409834</v>
      </c>
      <c r="AB404" s="10">
        <f>IF(A404&lt;&gt;"",RANK(AA404,All_Student_XC),"")</f>
        <v>243</v>
      </c>
      <c r="AC404" s="32" t="str">
        <f>IF(A404&lt;&gt;"",CHOOSE(10-MIN(9,TRUNC((AA404+0.5)/10)),"A","B","C","D","F","F","F","F","F","F"),"")</f>
        <v>A</v>
      </c>
      <c r="AD404" s="31" t="str">
        <f>IF(A404&lt;&gt;"",IF(OR(AA404+0.5&gt;=93,AA404+0.5&lt;60),"",IF(MOD(AA404+0.5,10)&gt;=7,"+",IF(MOD(AA404+0.5,10)&lt;3,"-",""))),"")</f>
        <v/>
      </c>
      <c r="AE404" s="32">
        <f>IF(A404&lt;&gt;"",SUM(W404:X404,$W$8:$X$8)/SUM($W$2:$X$2)*100,"")</f>
        <v>100</v>
      </c>
      <c r="AF404" s="32" t="str">
        <f>IF(A404&lt;&gt;"",CHOOSE(10-MIN(9,TRUNC((AE404+0.5)/10)),"A","B","C","D","F","F","F","F","F","F"),"")</f>
        <v>A</v>
      </c>
      <c r="AG404" s="32" t="str">
        <f>IF(A404&lt;&gt;"",IF(OR(AE404+0.5&gt;=93,AE404+0.5&lt;60),"",IF(MOD(AE404+0.5,10)&gt;=7,"+",IF(MOD(AE404+0.5,10)&lt;3,"-",""))),"")</f>
        <v/>
      </c>
      <c r="AH404" s="36">
        <f>IF(A404&lt;&gt;"",MIN(MAX(AA404,AE404),AA404+$AH$8,AE404+$AH$8),"")</f>
        <v>100</v>
      </c>
      <c r="AI404" s="32" t="str">
        <f>IF(A404&lt;&gt;"",CHOOSE(10-MIN(9,TRUNC((AH404+0.5)/10)),"A","B","C","D","F","F","F","F","F","F"),"")</f>
        <v>A</v>
      </c>
      <c r="AJ404" s="32" t="str">
        <f>IF(A404&lt;&gt;"",IF(OR(AH404+0.5&gt;=93,AH404+0.5&lt;60),"",IF(MOD(AH404+0.5,10)&gt;=7,"+",IF(MOD(AH404+0.5,10)&lt;3,"-",""))),"")</f>
        <v/>
      </c>
      <c r="AK404" s="71" t="b">
        <f>IF(A404&lt;&gt;"",OR(AI404&lt;&gt;AC404,AJ404&lt;&gt;AD404),"")</f>
        <v>0</v>
      </c>
      <c r="AL404" s="86">
        <f>IF(AND(A404&lt;&gt;"",U404&lt;&gt;""),SUM(U404,$AL$8)/$AL$2*100,"")</f>
        <v>93.333333333333329</v>
      </c>
      <c r="AM404" s="71">
        <f>IF(AND(A404&lt;&gt;"",V404&lt;&gt;""),SUM(V404,$AM$8)/$AM$2*100,"")</f>
        <v>95.384615384615387</v>
      </c>
      <c r="AN404" s="71">
        <f>IF(AND(A404&lt;&gt;"",ISNUMBER(P404),P404&gt;=0),SUM(P404,$AN$8)/$AN$2*100,"")</f>
        <v>100</v>
      </c>
      <c r="AO404" s="71" t="str">
        <f>IF(AND(A404&lt;&gt;"",ISNUMBER(Q404),Q404&gt;=0),SUM(Q404,$AO$8)/$AO$2*100,"")</f>
        <v/>
      </c>
      <c r="AP404" s="24" t="str">
        <f>IF(AND(A404&lt;&gt;"",R404&lt;&gt;""),SUM(R404,$AP$8)/$AP$2*100,"")</f>
        <v/>
      </c>
      <c r="AQ404" s="24">
        <f>IF(AND(A404&lt;&gt;"",ISNUMBER(W404),W404&gt;=0),SUM(W404,$AQ$8)/$AQ$2*100,"")</f>
        <v>100</v>
      </c>
      <c r="AR404" s="24" t="str">
        <f>IF(AND(A404&lt;&gt;"",T404&gt;0,ISNUMBER(T404)),SUM(T404,$AR$8)/$AR$2*100,"")</f>
        <v/>
      </c>
      <c r="AS404" s="24" t="str">
        <f>IF(AND(A404&lt;&gt;"",X404&lt;&gt;""),SUM(X404,$AS$8)/$AS$2*100,"")</f>
        <v/>
      </c>
      <c r="AT404" s="89">
        <f>IF(AND(A404&lt;&gt;"",OR(ISNUMBER(W404),ISNUMBER(X404))),SUM(W404:X404,$AT$8)/$AT$2*100,"")</f>
        <v>100</v>
      </c>
      <c r="AU404" s="24">
        <f>AA404</f>
        <v>96.721311475409834</v>
      </c>
      <c r="AV404" s="71"/>
      <c r="AW404" s="27">
        <f>IF(A404&lt;&gt;"",AE404-AA404,"")</f>
        <v>3.2786885245901658</v>
      </c>
      <c r="AY404" s="27" t="b">
        <f>S404&gt;R404</f>
        <v>0</v>
      </c>
      <c r="BA404" s="27" t="e">
        <f>AND(AA404&gt;$BA$3,(W404+$W$8)/$W$2&lt;$BB$3,(X404+$X$8)/$X$2&lt;$BB$3)</f>
        <v>#VALUE!</v>
      </c>
      <c r="BB404" s="27" t="e">
        <f>AND(AA404&lt;$BA$3,AND(W404/$W$2&gt;$BB$3,X404/$X$2&gt;$BB$3))</f>
        <v>#VALUE!</v>
      </c>
      <c r="BC404" s="27" t="e">
        <f>AND(AA404&lt;$BA$3,OR(W404/$W$2&gt;$BB$3,X404/$X$2&gt;$BB$3))</f>
        <v>#VALUE!</v>
      </c>
      <c r="BE404" s="32" t="s">
        <v>84</v>
      </c>
    </row>
    <row r="405" spans="1:57" s="27" customFormat="1" ht="12.75" customHeight="1" x14ac:dyDescent="0.2">
      <c r="A405" s="10">
        <v>765199</v>
      </c>
      <c r="B405" s="2">
        <v>22</v>
      </c>
      <c r="C405" s="10">
        <v>23</v>
      </c>
      <c r="D405" s="10">
        <v>25</v>
      </c>
      <c r="E405" s="10"/>
      <c r="F405" s="10"/>
      <c r="G405" s="10"/>
      <c r="H405" s="10"/>
      <c r="I405" s="10"/>
      <c r="J405" s="2">
        <v>29</v>
      </c>
      <c r="K405" s="10">
        <v>52</v>
      </c>
      <c r="L405" s="10">
        <v>52</v>
      </c>
      <c r="M405" s="10"/>
      <c r="N405" s="93"/>
      <c r="O405" s="13"/>
      <c r="P405" s="10">
        <v>101</v>
      </c>
      <c r="Q405" s="10"/>
      <c r="R405" s="2"/>
      <c r="S405" s="10"/>
      <c r="T405" s="13"/>
      <c r="U405" s="7">
        <f t="array" ref="U405">IF(AND(A405&lt;&gt;"",OR(ISNUMBER(B405:I405))),SUM(B405:I405),"")</f>
        <v>70</v>
      </c>
      <c r="V405" s="10">
        <f t="array" ref="V405">IF(AND(A405&lt;&gt;"",OR(ISNUMBER(J405:O405))),SUM(J405:O405),"")</f>
        <v>133</v>
      </c>
      <c r="W405" s="10">
        <f t="array" ref="W405">IF(AND(A405&lt;&gt;"",OR(ISNUMBER(P405),ISNUMBER(Q405))),SUM(MAX(P405:Q405),Q405),"")</f>
        <v>101</v>
      </c>
      <c r="X405" s="10" t="str">
        <f t="array" ref="X405">IF(AND(A405&lt;&gt;"",OR(ISNUMBER(S405),ISNUMBER(T405))),SUM(S405,T405),"")</f>
        <v/>
      </c>
      <c r="Y405" s="13">
        <v>1</v>
      </c>
      <c r="Z405" s="13">
        <f>IF(A405&lt;&gt;"",SUM(U405:Y405),"")</f>
        <v>305</v>
      </c>
      <c r="AA405" s="27">
        <f>IF(A405&lt;&gt;"",(Z405+Normalize_To_Add)/(Point_Total_So_Far)*100,"")</f>
        <v>100</v>
      </c>
      <c r="AB405" s="10">
        <f>IF(A405&lt;&gt;"",RANK(AA405,All_Student_XC),"")</f>
        <v>109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/>
      </c>
      <c r="AE405" s="32">
        <f>IF(A405&lt;&gt;"",SUM(W405:X405,$W$8:$X$8)/SUM($W$2:$X$2)*100,"")</f>
        <v>101</v>
      </c>
      <c r="AF405" s="32" t="str">
        <f>IF(A405&lt;&gt;"",CHOOSE(10-MIN(9,TRUNC((AE405+0.5)/10)),"A","B","C","D","F","F","F","F","F","F"),"")</f>
        <v>A</v>
      </c>
      <c r="AG405" s="32" t="str">
        <f>IF(A405&lt;&gt;"",IF(OR(AE405+0.5&gt;=93,AE405+0.5&lt;60),"",IF(MOD(AE405+0.5,10)&gt;=7,"+",IF(MOD(AE405+0.5,10)&lt;3,"-",""))),"")</f>
        <v/>
      </c>
      <c r="AH405" s="36">
        <f>IF(A405&lt;&gt;"",MIN(MAX(AA405,AE405),AA405+$AH$8,AE405+$AH$8),"")</f>
        <v>101</v>
      </c>
      <c r="AI405" s="32" t="str">
        <f>IF(A405&lt;&gt;"",CHOOSE(10-MIN(9,TRUNC((AH405+0.5)/10)),"A","B","C","D","F","F","F","F","F","F"),"")</f>
        <v>A</v>
      </c>
      <c r="AJ405" s="32" t="str">
        <f>IF(A405&lt;&gt;"",IF(OR(AH405+0.5&gt;=93,AH405+0.5&lt;60),"",IF(MOD(AH405+0.5,10)&gt;=7,"+",IF(MOD(AH405+0.5,10)&lt;3,"-",""))),"")</f>
        <v/>
      </c>
      <c r="AK405" s="71" t="b">
        <f>IF(A405&lt;&gt;"",OR(AI405&lt;&gt;AC405,AJ405&lt;&gt;AD405),"")</f>
        <v>0</v>
      </c>
      <c r="AL405" s="86">
        <f>IF(AND(A405&lt;&gt;"",U405&lt;&gt;""),SUM(U405,$AL$8)/$AL$2*100,"")</f>
        <v>93.333333333333329</v>
      </c>
      <c r="AM405" s="71">
        <f>IF(AND(A405&lt;&gt;"",V405&lt;&gt;""),SUM(V405,$AM$8)/$AM$2*100,"")</f>
        <v>102.30769230769229</v>
      </c>
      <c r="AN405" s="71">
        <f>IF(AND(A405&lt;&gt;"",ISNUMBER(P405),P405&gt;=0),SUM(P405,$AN$8)/$AN$2*100,"")</f>
        <v>101</v>
      </c>
      <c r="AO405" s="71" t="str">
        <f>IF(AND(A405&lt;&gt;"",ISNUMBER(Q405),Q405&gt;=0),SUM(Q405,$AO$8)/$AO$2*100,"")</f>
        <v/>
      </c>
      <c r="AP405" s="24" t="str">
        <f>IF(AND(A405&lt;&gt;"",R405&lt;&gt;""),SUM(R405,$AP$8)/$AP$2*100,"")</f>
        <v/>
      </c>
      <c r="AQ405" s="24">
        <f>IF(AND(A405&lt;&gt;"",ISNUMBER(W405),W405&gt;=0),SUM(W405,$AQ$8)/$AQ$2*100,"")</f>
        <v>101</v>
      </c>
      <c r="AR405" s="24" t="str">
        <f>IF(AND(A405&lt;&gt;"",T405&gt;0,ISNUMBER(T405)),SUM(T405,$AR$8)/$AR$2*100,"")</f>
        <v/>
      </c>
      <c r="AS405" s="24" t="str">
        <f>IF(AND(A405&lt;&gt;"",X405&lt;&gt;""),SUM(X405,$AS$8)/$AS$2*100,"")</f>
        <v/>
      </c>
      <c r="AT405" s="89">
        <f>IF(AND(A405&lt;&gt;"",OR(ISNUMBER(W405),ISNUMBER(X405))),SUM(W405:X405,$AT$8)/$AT$2*100,"")</f>
        <v>101</v>
      </c>
      <c r="AU405" s="24">
        <f>AA405</f>
        <v>100</v>
      </c>
      <c r="AV405" s="71"/>
      <c r="AW405" s="27">
        <f>IF(A405&lt;&gt;"",AE405-AA405,"")</f>
        <v>1</v>
      </c>
      <c r="AY405" s="27" t="b">
        <f>S405&gt;R405</f>
        <v>0</v>
      </c>
      <c r="BA405" s="27" t="e">
        <f>AND(AA405&gt;$BA$3,(W405+$W$8)/$W$2&lt;$BB$3,(X405+$X$8)/$X$2&lt;$BB$3)</f>
        <v>#VALUE!</v>
      </c>
      <c r="BB405" s="27" t="e">
        <f>AND(AA405&lt;$BA$3,AND(W405/$W$2&gt;$BB$3,X405/$X$2&gt;$BB$3))</f>
        <v>#VALUE!</v>
      </c>
      <c r="BC405" s="27" t="e">
        <f>AND(AA405&lt;$BA$3,OR(W405/$W$2&gt;$BB$3,X405/$X$2&gt;$BB$3))</f>
        <v>#VALUE!</v>
      </c>
      <c r="BE405" s="32" t="s">
        <v>84</v>
      </c>
    </row>
    <row r="406" spans="1:57" s="27" customFormat="1" ht="12.75" customHeight="1" x14ac:dyDescent="0.2">
      <c r="A406" s="10">
        <v>765385</v>
      </c>
      <c r="B406" s="2">
        <v>24</v>
      </c>
      <c r="C406" s="10">
        <v>23</v>
      </c>
      <c r="D406" s="10">
        <v>25</v>
      </c>
      <c r="E406" s="10"/>
      <c r="F406" s="10"/>
      <c r="G406" s="10"/>
      <c r="H406" s="10"/>
      <c r="I406" s="10"/>
      <c r="J406" s="2">
        <v>31</v>
      </c>
      <c r="K406" s="10">
        <v>51</v>
      </c>
      <c r="L406" s="10">
        <v>51</v>
      </c>
      <c r="M406" s="10"/>
      <c r="N406" s="93"/>
      <c r="O406" s="13"/>
      <c r="P406" s="10">
        <v>101</v>
      </c>
      <c r="Q406" s="10"/>
      <c r="R406" s="2"/>
      <c r="S406" s="10"/>
      <c r="T406" s="13"/>
      <c r="U406" s="7">
        <f t="array" ref="U406">IF(AND(A406&lt;&gt;"",OR(ISNUMBER(B406:I406))),SUM(B406:I406),"")</f>
        <v>72</v>
      </c>
      <c r="V406" s="10">
        <f t="array" ref="V406">IF(AND(A406&lt;&gt;"",OR(ISNUMBER(J406:O406))),SUM(J406:O406),"")</f>
        <v>133</v>
      </c>
      <c r="W406" s="10">
        <f t="array" ref="W406">IF(AND(A406&lt;&gt;"",OR(ISNUMBER(P406),ISNUMBER(Q406))),SUM(MAX(P406:Q406),Q406),"")</f>
        <v>101</v>
      </c>
      <c r="X406" s="10" t="str">
        <f t="array" ref="X406">IF(AND(A406&lt;&gt;"",OR(ISNUMBER(S406),ISNUMBER(T406))),SUM(S406,T406),"")</f>
        <v/>
      </c>
      <c r="Y406" s="13">
        <v>1</v>
      </c>
      <c r="Z406" s="13">
        <f>IF(A406&lt;&gt;"",SUM(U406:Y406),"")</f>
        <v>307</v>
      </c>
      <c r="AA406" s="27">
        <f>IF(A406&lt;&gt;"",(Z406+Normalize_To_Add)/(Point_Total_So_Far)*100,"")</f>
        <v>100.65573770491802</v>
      </c>
      <c r="AB406" s="10">
        <f>IF(A406&lt;&gt;"",RANK(AA406,All_Student_XC),"")</f>
        <v>72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>
        <f>IF(A406&lt;&gt;"",SUM(W406:X406,$W$8:$X$8)/SUM($W$2:$X$2)*100,"")</f>
        <v>101</v>
      </c>
      <c r="AF406" s="32" t="str">
        <f>IF(A406&lt;&gt;"",CHOOSE(10-MIN(9,TRUNC((AE406+0.5)/10)),"A","B","C","D","F","F","F","F","F","F"),"")</f>
        <v>A</v>
      </c>
      <c r="AG406" s="32" t="str">
        <f>IF(A406&lt;&gt;"",IF(OR(AE406+0.5&gt;=93,AE406+0.5&lt;60),"",IF(MOD(AE406+0.5,10)&gt;=7,"+",IF(MOD(AE406+0.5,10)&lt;3,"-",""))),"")</f>
        <v/>
      </c>
      <c r="AH406" s="36">
        <f>IF(A406&lt;&gt;"",MIN(MAX(AA406,AE406),AA406+$AH$8,AE406+$AH$8),"")</f>
        <v>101</v>
      </c>
      <c r="AI406" s="32" t="str">
        <f>IF(A406&lt;&gt;"",CHOOSE(10-MIN(9,TRUNC((AH406+0.5)/10)),"A","B","C","D","F","F","F","F","F","F"),"")</f>
        <v>A</v>
      </c>
      <c r="AJ406" s="32" t="str">
        <f>IF(A406&lt;&gt;"",IF(OR(AH406+0.5&gt;=93,AH406+0.5&lt;60),"",IF(MOD(AH406+0.5,10)&gt;=7,"+",IF(MOD(AH406+0.5,10)&lt;3,"-",""))),"")</f>
        <v/>
      </c>
      <c r="AK406" s="71" t="b">
        <f>IF(A406&lt;&gt;"",OR(AI406&lt;&gt;AC406,AJ406&lt;&gt;AD406),"")</f>
        <v>0</v>
      </c>
      <c r="AL406" s="86">
        <f>IF(AND(A406&lt;&gt;"",U406&lt;&gt;""),SUM(U406,$AL$8)/$AL$2*100,"")</f>
        <v>96</v>
      </c>
      <c r="AM406" s="71">
        <f>IF(AND(A406&lt;&gt;"",V406&lt;&gt;""),SUM(V406,$AM$8)/$AM$2*100,"")</f>
        <v>102.30769230769229</v>
      </c>
      <c r="AN406" s="71">
        <f>IF(AND(A406&lt;&gt;"",ISNUMBER(P406),P406&gt;=0),SUM(P406,$AN$8)/$AN$2*100,"")</f>
        <v>101</v>
      </c>
      <c r="AO406" s="71" t="str">
        <f>IF(AND(A406&lt;&gt;"",ISNUMBER(Q406),Q406&gt;=0),SUM(Q406,$AO$8)/$AO$2*100,"")</f>
        <v/>
      </c>
      <c r="AP406" s="24" t="str">
        <f>IF(AND(A406&lt;&gt;"",R406&lt;&gt;""),SUM(R406,$AP$8)/$AP$2*100,"")</f>
        <v/>
      </c>
      <c r="AQ406" s="24">
        <f>IF(AND(A406&lt;&gt;"",ISNUMBER(W406),W406&gt;=0),SUM(W406,$AQ$8)/$AQ$2*100,"")</f>
        <v>101</v>
      </c>
      <c r="AR406" s="24" t="str">
        <f>IF(AND(A406&lt;&gt;"",T406&gt;0,ISNUMBER(T406)),SUM(T406,$AR$8)/$AR$2*100,"")</f>
        <v/>
      </c>
      <c r="AS406" s="24" t="str">
        <f>IF(AND(A406&lt;&gt;"",X406&lt;&gt;""),SUM(X406,$AS$8)/$AS$2*100,"")</f>
        <v/>
      </c>
      <c r="AT406" s="89">
        <f>IF(AND(A406&lt;&gt;"",OR(ISNUMBER(W406),ISNUMBER(X406))),SUM(W406:X406,$AT$8)/$AT$2*100,"")</f>
        <v>101</v>
      </c>
      <c r="AU406" s="24">
        <f>AA406</f>
        <v>100.65573770491802</v>
      </c>
      <c r="AV406" s="71"/>
      <c r="AW406" s="27">
        <f>IF(A406&lt;&gt;"",AE406-AA406,"")</f>
        <v>0.34426229508197537</v>
      </c>
      <c r="AY406" s="27" t="b">
        <f>S406&gt;R406</f>
        <v>0</v>
      </c>
      <c r="BA406" s="27" t="e">
        <f>AND(AA406&gt;$BA$3,(W406+$W$8)/$W$2&lt;$BB$3,(X406+$X$8)/$X$2&lt;$BB$3)</f>
        <v>#VALUE!</v>
      </c>
      <c r="BB406" s="27" t="e">
        <f>AND(AA406&lt;$BA$3,AND(W406/$W$2&gt;$BB$3,X406/$X$2&gt;$BB$3))</f>
        <v>#VALUE!</v>
      </c>
      <c r="BC406" s="27" t="e">
        <f>AND(AA406&lt;$BA$3,OR(W406/$W$2&gt;$BB$3,X406/$X$2&gt;$BB$3))</f>
        <v>#VALUE!</v>
      </c>
      <c r="BE406" s="32">
        <v>32</v>
      </c>
    </row>
    <row r="407" spans="1:57" s="27" customFormat="1" ht="12.75" customHeight="1" x14ac:dyDescent="0.2">
      <c r="A407" s="56">
        <v>765752</v>
      </c>
      <c r="B407" s="2">
        <v>3</v>
      </c>
      <c r="C407" s="10">
        <v>20</v>
      </c>
      <c r="D407" s="10">
        <v>8</v>
      </c>
      <c r="E407" s="10"/>
      <c r="F407" s="10"/>
      <c r="G407" s="3"/>
      <c r="H407" s="10"/>
      <c r="I407" s="10"/>
      <c r="J407" s="2">
        <v>27</v>
      </c>
      <c r="K407" s="10" t="s">
        <v>67</v>
      </c>
      <c r="L407" s="10">
        <v>39</v>
      </c>
      <c r="M407" s="10"/>
      <c r="N407" s="10"/>
      <c r="O407" s="12"/>
      <c r="P407" s="10">
        <v>30</v>
      </c>
      <c r="Q407" s="41"/>
      <c r="R407" s="2"/>
      <c r="S407" s="10"/>
      <c r="T407" s="13"/>
      <c r="U407" s="7">
        <f t="array" ref="U407">IF(AND(A407&lt;&gt;"",OR(ISNUMBER(B407:I407))),SUM(B407:I407),"")</f>
        <v>31</v>
      </c>
      <c r="V407" s="10">
        <f t="array" ref="V407">IF(AND(A407&lt;&gt;"",OR(ISNUMBER(J407:O407))),SUM(J407:O407),"")</f>
        <v>66</v>
      </c>
      <c r="W407" s="10">
        <f t="array" ref="W407">IF(AND(A407&lt;&gt;"",OR(ISNUMBER(P407),ISNUMBER(Q407))),SUM(MAX(P407:Q407),Q407),"")</f>
        <v>30</v>
      </c>
      <c r="X407" s="10" t="str">
        <f t="array" ref="X407">IF(AND(A407&lt;&gt;"",OR(ISNUMBER(S407),ISNUMBER(T407))),SUM(S407,T407),"")</f>
        <v/>
      </c>
      <c r="Y407" s="13">
        <v>1</v>
      </c>
      <c r="Z407" s="13">
        <f>IF(A407&lt;&gt;"",SUM(U407:Y407),"")</f>
        <v>128</v>
      </c>
      <c r="AA407" s="27">
        <f>IF(A407&lt;&gt;"",(Z407+Normalize_To_Add)/(Point_Total_So_Far)*100,"")</f>
        <v>41.967213114754095</v>
      </c>
      <c r="AB407" s="10">
        <f>IF(A407&lt;&gt;"",RANK(AA407,All_Student_XC),"")</f>
        <v>497</v>
      </c>
      <c r="AC407" s="32" t="str">
        <f>IF(A407&lt;&gt;"",CHOOSE(10-MIN(9,TRUNC((AA407+0.5)/10)),"A","B","C","D","F","F","F","F","F","F"),"")</f>
        <v>F</v>
      </c>
      <c r="AD407" s="32" t="str">
        <f>IF(A407&lt;&gt;"",IF(OR(AA407+0.5&gt;=93,AA407+0.5&lt;60),"",IF(MOD(AA407+0.5,10)&gt;=7,"+",IF(MOD(AA407+0.5,10)&lt;3,"-",""))),"")</f>
        <v/>
      </c>
      <c r="AE407" s="32">
        <f>IF(A407&lt;&gt;"",SUM(W407:X407,$W$8:$X$8)/SUM($W$2:$X$2)*100,"")</f>
        <v>30</v>
      </c>
      <c r="AF407" s="32" t="str">
        <f>IF(A407&lt;&gt;"",CHOOSE(10-MIN(9,TRUNC((AE407+0.5)/10)),"A","B","C","D","F","F","F","F","F","F"),"")</f>
        <v>F</v>
      </c>
      <c r="AG407" s="32" t="str">
        <f>IF(A407&lt;&gt;"",IF(OR(AE407+0.5&gt;=93,AE407+0.5&lt;60),"",IF(MOD(AE407+0.5,10)&gt;=7,"+",IF(MOD(AE407+0.5,10)&lt;3,"-",""))),"")</f>
        <v/>
      </c>
      <c r="AH407" s="36">
        <f>IF(A407&lt;&gt;"",MIN(MAX(AA407,AE407),AA407+$AH$8,AE407+$AH$8),"")</f>
        <v>41.967213114754095</v>
      </c>
      <c r="AI407" s="32" t="str">
        <f>IF(A407&lt;&gt;"",CHOOSE(10-MIN(9,TRUNC((AH407+0.5)/10)),"A","B","C","D","F","F","F","F","F","F"),"")</f>
        <v>F</v>
      </c>
      <c r="AJ407" s="32" t="str">
        <f>IF(A407&lt;&gt;"",IF(OR(AH407+0.5&gt;=93,AH407+0.5&lt;60),"",IF(MOD(AH407+0.5,10)&gt;=7,"+",IF(MOD(AH407+0.5,10)&lt;3,"-",""))),"")</f>
        <v/>
      </c>
      <c r="AK407" s="32" t="b">
        <f>IF(A407&lt;&gt;"",OR(AI407&lt;&gt;AC407,AJ407&lt;&gt;AD407),"")</f>
        <v>0</v>
      </c>
      <c r="AL407" s="84">
        <f>IF(AND(A407&lt;&gt;"",U407&lt;&gt;""),SUM(U407,$AL$8)/$AL$2*100,"")</f>
        <v>41.333333333333336</v>
      </c>
      <c r="AM407" s="24">
        <f>IF(AND(A407&lt;&gt;"",V407&lt;&gt;""),SUM(V407,$AM$8)/$AM$2*100,"")</f>
        <v>50.769230769230766</v>
      </c>
      <c r="AN407" s="24">
        <f>IF(AND(A407&lt;&gt;"",ISNUMBER(P407),P407&gt;=0),SUM(P407,$AN$8)/$AN$2*100,"")</f>
        <v>30</v>
      </c>
      <c r="AO407" s="24" t="str">
        <f>IF(AND(A407&lt;&gt;"",ISNUMBER(Q407),Q407&gt;=0),SUM(Q407,$AO$8)/$AO$2*100,"")</f>
        <v/>
      </c>
      <c r="AP407" s="24" t="str">
        <f>IF(AND(A407&lt;&gt;"",R407&lt;&gt;""),SUM(R407,$AP$8)/$AP$2*100,"")</f>
        <v/>
      </c>
      <c r="AQ407" s="24">
        <f>IF(AND(A407&lt;&gt;"",ISNUMBER(W407),W407&gt;=0),SUM(W407,$AQ$8)/$AQ$2*100,"")</f>
        <v>30</v>
      </c>
      <c r="AR407" s="24" t="str">
        <f>IF(AND(A407&lt;&gt;"",T407&gt;0,ISNUMBER(T407)),SUM(T407,$AR$8)/$AR$2*100,"")</f>
        <v/>
      </c>
      <c r="AS407" s="24" t="str">
        <f>IF(AND(A407&lt;&gt;"",X407&lt;&gt;""),SUM(X407,$AS$8)/$AS$2*100,"")</f>
        <v/>
      </c>
      <c r="AT407" s="89">
        <f>IF(AND(A407&lt;&gt;"",OR(ISNUMBER(W407),ISNUMBER(X407))),SUM(W407:X407,$AT$8)/$AT$2*100,"")</f>
        <v>30</v>
      </c>
      <c r="AU407" s="24">
        <f>AA407</f>
        <v>41.967213114754095</v>
      </c>
      <c r="AV407" s="24"/>
      <c r="AW407" s="27">
        <f>IF(A407&lt;&gt;"",AE407-AA407,"")</f>
        <v>-11.967213114754095</v>
      </c>
      <c r="AY407" s="27" t="b">
        <f>S407&gt;R407</f>
        <v>0</v>
      </c>
      <c r="BA407" s="27" t="e">
        <f>AND(AA407&gt;$BA$3,(W407+$W$8)/$W$2&lt;$BB$3,(X407+$X$8)/$X$2&lt;$BB$3)</f>
        <v>#VALUE!</v>
      </c>
      <c r="BB407" s="27" t="e">
        <f>AND(AA407&lt;$BA$3,AND(W407/$W$2&gt;$BB$3,X407/$X$2&gt;$BB$3))</f>
        <v>#VALUE!</v>
      </c>
      <c r="BC407" s="27" t="e">
        <f>AND(AA407&lt;$BA$3,OR(W407/$W$2&gt;$BB$3,X407/$X$2&gt;$BB$3))</f>
        <v>#VALUE!</v>
      </c>
      <c r="BE407" s="32" t="s">
        <v>85</v>
      </c>
    </row>
    <row r="408" spans="1:57" s="99" customFormat="1" ht="12.75" customHeight="1" x14ac:dyDescent="0.2">
      <c r="A408" s="78">
        <v>766649</v>
      </c>
      <c r="B408" s="97">
        <v>19</v>
      </c>
      <c r="C408" s="78">
        <v>22</v>
      </c>
      <c r="D408" s="78">
        <v>25</v>
      </c>
      <c r="E408" s="78"/>
      <c r="F408" s="78"/>
      <c r="G408" s="78"/>
      <c r="H408" s="78"/>
      <c r="I408" s="78"/>
      <c r="J408" s="97">
        <v>31</v>
      </c>
      <c r="K408" s="78">
        <v>52</v>
      </c>
      <c r="L408" s="78">
        <v>51</v>
      </c>
      <c r="M408" s="78"/>
      <c r="N408" s="103"/>
      <c r="O408" s="98"/>
      <c r="P408" s="78">
        <v>101</v>
      </c>
      <c r="Q408" s="78"/>
      <c r="R408" s="97"/>
      <c r="S408" s="78"/>
      <c r="T408" s="98"/>
      <c r="U408" s="79">
        <f t="array" ref="U408">IF(AND(A408&lt;&gt;"",OR(ISNUMBER(B408:I408))),SUM(B408:I408),"")</f>
        <v>66</v>
      </c>
      <c r="V408" s="78">
        <f t="array" ref="V408">IF(AND(A408&lt;&gt;"",OR(ISNUMBER(J408:O408))),SUM(J408:O408),"")</f>
        <v>134</v>
      </c>
      <c r="W408" s="78">
        <f t="array" ref="W408">IF(AND(A408&lt;&gt;"",OR(ISNUMBER(P408),ISNUMBER(Q408))),SUM(MAX(P408:Q408),Q408),"")</f>
        <v>101</v>
      </c>
      <c r="X408" s="78" t="str">
        <f t="array" ref="X408">IF(AND(A408&lt;&gt;"",OR(ISNUMBER(S408),ISNUMBER(T408))),SUM(S408,T408),"")</f>
        <v/>
      </c>
      <c r="Y408" s="98">
        <v>1</v>
      </c>
      <c r="Z408" s="98">
        <f>IF(A408&lt;&gt;"",SUM(U408:Y408),"")</f>
        <v>302</v>
      </c>
      <c r="AA408" s="99">
        <f>IF(A408&lt;&gt;"",(Z408+Normalize_To_Add)/(Point_Total_So_Far)*100,"")</f>
        <v>99.016393442622956</v>
      </c>
      <c r="AB408" s="78">
        <f>IF(A408&lt;&gt;"",RANK(AA408,All_Student_XC),"")</f>
        <v>164</v>
      </c>
      <c r="AC408" s="100" t="str">
        <f>IF(A408&lt;&gt;"",CHOOSE(10-MIN(9,TRUNC((AA408+0.5)/10)),"A","B","C","D","F","F","F","F","F","F"),"")</f>
        <v>A</v>
      </c>
      <c r="AD408" s="96" t="str">
        <f>IF(A408&lt;&gt;"",IF(OR(AA408+0.5&gt;=93,AA408+0.5&lt;60),"",IF(MOD(AA408+0.5,10)&gt;=7,"+",IF(MOD(AA408+0.5,10)&lt;3,"-",""))),"")</f>
        <v/>
      </c>
      <c r="AE408" s="100">
        <f>IF(A408&lt;&gt;"",SUM(W408:X408,$W$8:$X$8)/SUM($W$2:$X$2)*100,"")</f>
        <v>101</v>
      </c>
      <c r="AF408" s="100" t="str">
        <f>IF(A408&lt;&gt;"",CHOOSE(10-MIN(9,TRUNC((AE408+0.5)/10)),"A","B","C","D","F","F","F","F","F","F"),"")</f>
        <v>A</v>
      </c>
      <c r="AG408" s="100" t="str">
        <f>IF(A408&lt;&gt;"",IF(OR(AE408+0.5&gt;=93,AE408+0.5&lt;60),"",IF(MOD(AE408+0.5,10)&gt;=7,"+",IF(MOD(AE408+0.5,10)&lt;3,"-",""))),"")</f>
        <v/>
      </c>
      <c r="AH408" s="101">
        <f>IF(A408&lt;&gt;"",MIN(MAX(AA408,AE408),AA408+$AH$8,AE408+$AH$8),"")</f>
        <v>101</v>
      </c>
      <c r="AI408" s="100" t="str">
        <f>IF(A408&lt;&gt;"",CHOOSE(10-MIN(9,TRUNC((AH408+0.5)/10)),"A","B","C","D","F","F","F","F","F","F"),"")</f>
        <v>A</v>
      </c>
      <c r="AJ408" s="100" t="str">
        <f>IF(A408&lt;&gt;"",IF(OR(AH408+0.5&gt;=93,AH408+0.5&lt;60),"",IF(MOD(AH408+0.5,10)&gt;=7,"+",IF(MOD(AH408+0.5,10)&lt;3,"-",""))),"")</f>
        <v/>
      </c>
      <c r="AK408" s="95" t="b">
        <f>IF(A408&lt;&gt;"",OR(AI408&lt;&gt;AC408,AJ408&lt;&gt;AD408),"")</f>
        <v>0</v>
      </c>
      <c r="AL408" s="104">
        <f>IF(AND(A408&lt;&gt;"",U408&lt;&gt;""),SUM(U408,$AL$8)/$AL$2*100,"")</f>
        <v>88</v>
      </c>
      <c r="AM408" s="95">
        <f>IF(AND(A408&lt;&gt;"",V408&lt;&gt;""),SUM(V408,$AM$8)/$AM$2*100,"")</f>
        <v>103.07692307692307</v>
      </c>
      <c r="AN408" s="95">
        <f>IF(AND(A408&lt;&gt;"",ISNUMBER(P408),P408&gt;=0),SUM(P408,$AN$8)/$AN$2*100,"")</f>
        <v>101</v>
      </c>
      <c r="AO408" s="95" t="str">
        <f>IF(AND(A408&lt;&gt;"",ISNUMBER(Q408),Q408&gt;=0),SUM(Q408,$AO$8)/$AO$2*100,"")</f>
        <v/>
      </c>
      <c r="AP408" s="94" t="str">
        <f>IF(AND(A408&lt;&gt;"",R408&lt;&gt;""),SUM(R408,$AP$8)/$AP$2*100,"")</f>
        <v/>
      </c>
      <c r="AQ408" s="94">
        <f>IF(AND(A408&lt;&gt;"",ISNUMBER(W408),W408&gt;=0),SUM(W408,$AQ$8)/$AQ$2*100,"")</f>
        <v>101</v>
      </c>
      <c r="AR408" s="94" t="str">
        <f>IF(AND(A408&lt;&gt;"",T408&gt;0,ISNUMBER(T408)),SUM(T408,$AR$8)/$AR$2*100,"")</f>
        <v/>
      </c>
      <c r="AS408" s="94" t="str">
        <f>IF(AND(A408&lt;&gt;"",X408&lt;&gt;""),SUM(X408,$AS$8)/$AS$2*100,"")</f>
        <v/>
      </c>
      <c r="AT408" s="102">
        <f>IF(AND(A408&lt;&gt;"",OR(ISNUMBER(W408),ISNUMBER(X408))),SUM(W408:X408,$AT$8)/$AT$2*100,"")</f>
        <v>101</v>
      </c>
      <c r="AU408" s="94">
        <f>AA408</f>
        <v>99.016393442622956</v>
      </c>
      <c r="AV408" s="95"/>
      <c r="AW408" s="99">
        <f>IF(A408&lt;&gt;"",AE408-AA408,"")</f>
        <v>1.9836065573770441</v>
      </c>
      <c r="AY408" s="99" t="b">
        <f>S408&gt;R408</f>
        <v>0</v>
      </c>
      <c r="BA408" s="99" t="e">
        <f>AND(AA408&gt;$BA$3,(W408+$W$8)/$W$2&lt;$BB$3,(X408+$X$8)/$X$2&lt;$BB$3)</f>
        <v>#VALUE!</v>
      </c>
      <c r="BB408" s="99" t="e">
        <f>AND(AA408&lt;$BA$3,AND(W408/$W$2&gt;$BB$3,X408/$X$2&gt;$BB$3))</f>
        <v>#VALUE!</v>
      </c>
      <c r="BC408" s="99" t="e">
        <f>AND(AA408&lt;$BA$3,OR(W408/$W$2&gt;$BB$3,X408/$X$2&gt;$BB$3))</f>
        <v>#VALUE!</v>
      </c>
      <c r="BE408" s="100" t="s">
        <v>85</v>
      </c>
    </row>
    <row r="409" spans="1:57" s="27" customFormat="1" ht="12.75" customHeight="1" x14ac:dyDescent="0.2">
      <c r="A409" s="10">
        <v>766695</v>
      </c>
      <c r="B409" s="2">
        <v>24</v>
      </c>
      <c r="C409" s="10">
        <v>22</v>
      </c>
      <c r="D409" s="10">
        <v>25</v>
      </c>
      <c r="E409" s="10"/>
      <c r="F409" s="10"/>
      <c r="G409" s="10"/>
      <c r="H409" s="10"/>
      <c r="I409" s="10"/>
      <c r="J409" s="2">
        <v>30</v>
      </c>
      <c r="K409" s="10">
        <v>52</v>
      </c>
      <c r="L409" s="10">
        <v>51</v>
      </c>
      <c r="M409" s="10"/>
      <c r="N409" s="93"/>
      <c r="O409" s="13"/>
      <c r="P409" s="10">
        <v>101</v>
      </c>
      <c r="Q409" s="10"/>
      <c r="R409" s="2"/>
      <c r="S409" s="10"/>
      <c r="T409" s="13"/>
      <c r="U409" s="7">
        <f t="array" ref="U409">IF(AND(A409&lt;&gt;"",OR(ISNUMBER(B409:I409))),SUM(B409:I409),"")</f>
        <v>71</v>
      </c>
      <c r="V409" s="10">
        <f t="array" ref="V409">IF(AND(A409&lt;&gt;"",OR(ISNUMBER(J409:O409))),SUM(J409:O409),"")</f>
        <v>133</v>
      </c>
      <c r="W409" s="10">
        <f t="array" ref="W409">IF(AND(A409&lt;&gt;"",OR(ISNUMBER(P409),ISNUMBER(Q409))),SUM(MAX(P409:Q409),Q409),"")</f>
        <v>101</v>
      </c>
      <c r="X409" s="10" t="str">
        <f t="array" ref="X409">IF(AND(A409&lt;&gt;"",OR(ISNUMBER(S409),ISNUMBER(T409))),SUM(S409,T409),"")</f>
        <v/>
      </c>
      <c r="Y409" s="13">
        <v>1</v>
      </c>
      <c r="Z409" s="13">
        <f>IF(A409&lt;&gt;"",SUM(U409:Y409),"")</f>
        <v>306</v>
      </c>
      <c r="AA409" s="27">
        <f>IF(A409&lt;&gt;"",(Z409+Normalize_To_Add)/(Point_Total_So_Far)*100,"")</f>
        <v>100.32786885245901</v>
      </c>
      <c r="AB409" s="10">
        <f>IF(A409&lt;&gt;"",RANK(AA409,All_Student_XC),"")</f>
        <v>99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>
        <f>IF(A409&lt;&gt;"",SUM(W409:X409,$W$8:$X$8)/SUM($W$2:$X$2)*100,"")</f>
        <v>101</v>
      </c>
      <c r="AF409" s="32" t="str">
        <f>IF(A409&lt;&gt;"",CHOOSE(10-MIN(9,TRUNC((AE409+0.5)/10)),"A","B","C","D","F","F","F","F","F","F"),"")</f>
        <v>A</v>
      </c>
      <c r="AG409" s="32" t="str">
        <f>IF(A409&lt;&gt;"",IF(OR(AE409+0.5&gt;=93,AE409+0.5&lt;60),"",IF(MOD(AE409+0.5,10)&gt;=7,"+",IF(MOD(AE409+0.5,10)&lt;3,"-",""))),"")</f>
        <v/>
      </c>
      <c r="AH409" s="36">
        <f>IF(A409&lt;&gt;"",MIN(MAX(AA409,AE409),AA409+$AH$8,AE409+$AH$8),"")</f>
        <v>101</v>
      </c>
      <c r="AI409" s="32" t="str">
        <f>IF(A409&lt;&gt;"",CHOOSE(10-MIN(9,TRUNC((AH409+0.5)/10)),"A","B","C","D","F","F","F","F","F","F"),"")</f>
        <v>A</v>
      </c>
      <c r="AJ409" s="32" t="str">
        <f>IF(A409&lt;&gt;"",IF(OR(AH409+0.5&gt;=93,AH409+0.5&lt;60),"",IF(MOD(AH409+0.5,10)&gt;=7,"+",IF(MOD(AH409+0.5,10)&lt;3,"-",""))),"")</f>
        <v/>
      </c>
      <c r="AK409" s="71" t="b">
        <f>IF(A409&lt;&gt;"",OR(AI409&lt;&gt;AC409,AJ409&lt;&gt;AD409),"")</f>
        <v>0</v>
      </c>
      <c r="AL409" s="86">
        <f>IF(AND(A409&lt;&gt;"",U409&lt;&gt;""),SUM(U409,$AL$8)/$AL$2*100,"")</f>
        <v>94.666666666666671</v>
      </c>
      <c r="AM409" s="71">
        <f>IF(AND(A409&lt;&gt;"",V409&lt;&gt;""),SUM(V409,$AM$8)/$AM$2*100,"")</f>
        <v>102.30769230769229</v>
      </c>
      <c r="AN409" s="71">
        <f>IF(AND(A409&lt;&gt;"",ISNUMBER(P409),P409&gt;=0),SUM(P409,$AN$8)/$AN$2*100,"")</f>
        <v>101</v>
      </c>
      <c r="AO409" s="71" t="str">
        <f>IF(AND(A409&lt;&gt;"",ISNUMBER(Q409),Q409&gt;=0),SUM(Q409,$AO$8)/$AO$2*100,"")</f>
        <v/>
      </c>
      <c r="AP409" s="24" t="str">
        <f>IF(AND(A409&lt;&gt;"",R409&lt;&gt;""),SUM(R409,$AP$8)/$AP$2*100,"")</f>
        <v/>
      </c>
      <c r="AQ409" s="24">
        <f>IF(AND(A409&lt;&gt;"",ISNUMBER(W409),W409&gt;=0),SUM(W409,$AQ$8)/$AQ$2*100,"")</f>
        <v>101</v>
      </c>
      <c r="AR409" s="24" t="str">
        <f>IF(AND(A409&lt;&gt;"",T409&gt;0,ISNUMBER(T409)),SUM(T409,$AR$8)/$AR$2*100,"")</f>
        <v/>
      </c>
      <c r="AS409" s="24" t="str">
        <f>IF(AND(A409&lt;&gt;"",X409&lt;&gt;""),SUM(X409,$AS$8)/$AS$2*100,"")</f>
        <v/>
      </c>
      <c r="AT409" s="89">
        <f>IF(AND(A409&lt;&gt;"",OR(ISNUMBER(W409),ISNUMBER(X409))),SUM(W409:X409,$AT$8)/$AT$2*100,"")</f>
        <v>101</v>
      </c>
      <c r="AU409" s="24">
        <f>AA409</f>
        <v>100.32786885245901</v>
      </c>
      <c r="AV409" s="71"/>
      <c r="AW409" s="27">
        <f>IF(A409&lt;&gt;"",AE409-AA409,"")</f>
        <v>0.67213114754099479</v>
      </c>
      <c r="AY409" s="27" t="b">
        <f>S409&gt;R409</f>
        <v>0</v>
      </c>
      <c r="BA409" s="27" t="e">
        <f>AND(AA409&gt;$BA$3,(W409+$W$8)/$W$2&lt;$BB$3,(X409+$X$8)/$X$2&lt;$BB$3)</f>
        <v>#VALUE!</v>
      </c>
      <c r="BB409" s="27" t="e">
        <f>AND(AA409&lt;$BA$3,AND(W409/$W$2&gt;$BB$3,X409/$X$2&gt;$BB$3))</f>
        <v>#VALUE!</v>
      </c>
      <c r="BC409" s="27" t="e">
        <f>AND(AA409&lt;$BA$3,OR(W409/$W$2&gt;$BB$3,X409/$X$2&gt;$BB$3))</f>
        <v>#VALUE!</v>
      </c>
      <c r="BE409" s="32" t="s">
        <v>84</v>
      </c>
    </row>
    <row r="410" spans="1:57" s="27" customFormat="1" ht="12.75" customHeight="1" x14ac:dyDescent="0.2">
      <c r="A410" s="10">
        <v>767208</v>
      </c>
      <c r="B410" s="2">
        <v>19</v>
      </c>
      <c r="C410" s="10">
        <v>12</v>
      </c>
      <c r="D410" s="10">
        <v>17</v>
      </c>
      <c r="E410" s="10"/>
      <c r="F410" s="10"/>
      <c r="G410" s="3"/>
      <c r="H410" s="10"/>
      <c r="I410" s="10"/>
      <c r="J410" s="2">
        <v>28</v>
      </c>
      <c r="K410" s="10">
        <v>4</v>
      </c>
      <c r="L410" s="10">
        <v>49</v>
      </c>
      <c r="M410" s="10"/>
      <c r="N410" s="10"/>
      <c r="O410" s="12"/>
      <c r="P410" s="41">
        <v>100</v>
      </c>
      <c r="Q410" s="41"/>
      <c r="R410" s="2"/>
      <c r="S410" s="10"/>
      <c r="T410" s="13"/>
      <c r="U410" s="7">
        <f t="array" ref="U410">IF(AND(A410&lt;&gt;"",OR(ISNUMBER(B410:I410))),SUM(B410:I410),"")</f>
        <v>48</v>
      </c>
      <c r="V410" s="10">
        <f t="array" ref="V410">IF(AND(A410&lt;&gt;"",OR(ISNUMBER(J410:O410))),SUM(J410:O410),"")</f>
        <v>81</v>
      </c>
      <c r="W410" s="10">
        <f t="array" ref="W410">IF(AND(A410&lt;&gt;"",OR(ISNUMBER(P410),ISNUMBER(Q410))),SUM(MAX(P410:Q410),Q410),"")</f>
        <v>100</v>
      </c>
      <c r="X410" s="10" t="str">
        <f t="array" ref="X410">IF(AND(A410&lt;&gt;"",OR(ISNUMBER(S410),ISNUMBER(T410))),SUM(S410,T410),"")</f>
        <v/>
      </c>
      <c r="Y410" s="13">
        <v>1</v>
      </c>
      <c r="Z410" s="13">
        <f>IF(A410&lt;&gt;"",SUM(U410:Y410),"")</f>
        <v>230</v>
      </c>
      <c r="AA410" s="27">
        <f>IF(A410&lt;&gt;"",(Z410+Normalize_To_Add)/(Point_Total_So_Far)*100,"")</f>
        <v>75.409836065573771</v>
      </c>
      <c r="AB410" s="10">
        <f>IF(A410&lt;&gt;"",RANK(AA410,All_Student_XC),"")</f>
        <v>436</v>
      </c>
      <c r="AC410" s="32" t="str">
        <f>IF(A410&lt;&gt;"",CHOOSE(10-MIN(9,TRUNC((AA410+0.5)/10)),"A","B","C","D","F","F","F","F","F","F"),"")</f>
        <v>C</v>
      </c>
      <c r="AD410" s="32" t="str">
        <f>IF(A410&lt;&gt;"",IF(OR(AA410+0.5&gt;=93,AA410+0.5&lt;60),"",IF(MOD(AA410+0.5,10)&gt;=7,"+",IF(MOD(AA410+0.5,10)&lt;3,"-",""))),"")</f>
        <v/>
      </c>
      <c r="AE410" s="32">
        <f>IF(A410&lt;&gt;"",SUM(W410:X410,$W$8:$X$8)/SUM($W$2:$X$2)*100,"")</f>
        <v>100</v>
      </c>
      <c r="AF410" s="32" t="str">
        <f>IF(A410&lt;&gt;"",CHOOSE(10-MIN(9,TRUNC((AE410+0.5)/10)),"A","B","C","D","F","F","F","F","F","F"),"")</f>
        <v>A</v>
      </c>
      <c r="AG410" s="32" t="str">
        <f>IF(A410&lt;&gt;"",IF(OR(AE410+0.5&gt;=93,AE410+0.5&lt;60),"",IF(MOD(AE410+0.5,10)&gt;=7,"+",IF(MOD(AE410+0.5,10)&lt;3,"-",""))),"")</f>
        <v/>
      </c>
      <c r="AH410" s="36">
        <f>IF(A410&lt;&gt;"",MIN(MAX(AA410,AE410),AA410+$AH$8,AE410+$AH$8),"")</f>
        <v>100</v>
      </c>
      <c r="AI410" s="32" t="str">
        <f>IF(A410&lt;&gt;"",CHOOSE(10-MIN(9,TRUNC((AH410+0.5)/10)),"A","B","C","D","F","F","F","F","F","F"),"")</f>
        <v>A</v>
      </c>
      <c r="AJ410" s="32" t="str">
        <f>IF(A410&lt;&gt;"",IF(OR(AH410+0.5&gt;=93,AH410+0.5&lt;60),"",IF(MOD(AH410+0.5,10)&gt;=7,"+",IF(MOD(AH410+0.5,10)&lt;3,"-",""))),"")</f>
        <v/>
      </c>
      <c r="AK410" s="32" t="b">
        <f>IF(A410&lt;&gt;"",OR(AI410&lt;&gt;AC410,AJ410&lt;&gt;AD410),"")</f>
        <v>1</v>
      </c>
      <c r="AL410" s="84">
        <f>IF(AND(A410&lt;&gt;"",U410&lt;&gt;""),SUM(U410,$AL$8)/$AL$2*100,"")</f>
        <v>64</v>
      </c>
      <c r="AM410" s="24">
        <f>IF(AND(A410&lt;&gt;"",V410&lt;&gt;""),SUM(V410,$AM$8)/$AM$2*100,"")</f>
        <v>62.307692307692307</v>
      </c>
      <c r="AN410" s="24">
        <f>IF(AND(A410&lt;&gt;"",ISNUMBER(P410),P410&gt;=0),SUM(P410,$AN$8)/$AN$2*100,"")</f>
        <v>100</v>
      </c>
      <c r="AO410" s="24" t="str">
        <f>IF(AND(A410&lt;&gt;"",ISNUMBER(Q410),Q410&gt;=0),SUM(Q410,$AO$8)/$AO$2*100,"")</f>
        <v/>
      </c>
      <c r="AP410" s="24" t="str">
        <f>IF(AND(A410&lt;&gt;"",R410&lt;&gt;""),SUM(R410,$AP$8)/$AP$2*100,"")</f>
        <v/>
      </c>
      <c r="AQ410" s="24">
        <f>IF(AND(A410&lt;&gt;"",ISNUMBER(W410),W410&gt;=0),SUM(W410,$AQ$8)/$AQ$2*100,"")</f>
        <v>100</v>
      </c>
      <c r="AR410" s="24" t="str">
        <f>IF(AND(A410&lt;&gt;"",T410&gt;0,ISNUMBER(T410)),SUM(T410,$AR$8)/$AR$2*100,"")</f>
        <v/>
      </c>
      <c r="AS410" s="24" t="str">
        <f>IF(AND(A410&lt;&gt;"",X410&lt;&gt;""),SUM(X410,$AS$8)/$AS$2*100,"")</f>
        <v/>
      </c>
      <c r="AT410" s="89">
        <f>IF(AND(A410&lt;&gt;"",OR(ISNUMBER(W410),ISNUMBER(X410))),SUM(W410:X410,$AT$8)/$AT$2*100,"")</f>
        <v>100</v>
      </c>
      <c r="AU410" s="24">
        <f>AA410</f>
        <v>75.409836065573771</v>
      </c>
      <c r="AV410" s="24"/>
      <c r="AW410" s="27">
        <f>IF(A410&lt;&gt;"",AE410-AA410,"")</f>
        <v>24.590163934426229</v>
      </c>
      <c r="AY410" s="27" t="b">
        <f>S410&gt;R410</f>
        <v>0</v>
      </c>
      <c r="BA410" s="27" t="e">
        <f>AND(AA410&gt;$BA$3,(W410+$W$8)/$W$2&lt;$BB$3,(X410+$X$8)/$X$2&lt;$BB$3)</f>
        <v>#VALUE!</v>
      </c>
      <c r="BB410" s="27" t="e">
        <f>AND(AA410&lt;$BA$3,AND(W410/$W$2&gt;$BB$3,X410/$X$2&gt;$BB$3))</f>
        <v>#VALUE!</v>
      </c>
      <c r="BC410" s="27" t="e">
        <f>AND(AA410&lt;$BA$3,OR(W410/$W$2&gt;$BB$3,X410/$X$2&gt;$BB$3))</f>
        <v>#VALUE!</v>
      </c>
      <c r="BE410" s="32">
        <v>32</v>
      </c>
    </row>
    <row r="411" spans="1:57" s="27" customFormat="1" ht="12.75" customHeight="1" x14ac:dyDescent="0.2">
      <c r="A411" s="10">
        <v>768230</v>
      </c>
      <c r="B411" s="2">
        <v>24</v>
      </c>
      <c r="C411" s="10">
        <v>25</v>
      </c>
      <c r="D411" s="10">
        <v>25</v>
      </c>
      <c r="E411" s="10"/>
      <c r="F411" s="10"/>
      <c r="G411" s="3"/>
      <c r="H411" s="10"/>
      <c r="I411" s="10"/>
      <c r="J411" s="2">
        <v>30</v>
      </c>
      <c r="K411" s="10">
        <v>52</v>
      </c>
      <c r="L411" s="10">
        <v>52</v>
      </c>
      <c r="M411" s="10"/>
      <c r="N411" s="93"/>
      <c r="O411" s="12"/>
      <c r="P411" s="10">
        <v>101</v>
      </c>
      <c r="Q411" s="41"/>
      <c r="R411" s="2"/>
      <c r="S411" s="10"/>
      <c r="T411" s="13"/>
      <c r="U411" s="7">
        <f t="array" ref="U411">IF(AND(A411&lt;&gt;"",OR(ISNUMBER(B411:I411))),SUM(B411:I411),"")</f>
        <v>74</v>
      </c>
      <c r="V411" s="10">
        <f t="array" ref="V411">IF(AND(A411&lt;&gt;"",OR(ISNUMBER(J411:O411))),SUM(J411:O411),"")</f>
        <v>134</v>
      </c>
      <c r="W411" s="10">
        <f t="array" ref="W411">IF(AND(A411&lt;&gt;"",OR(ISNUMBER(P411),ISNUMBER(Q411))),SUM(MAX(P411:Q411),Q411),"")</f>
        <v>101</v>
      </c>
      <c r="X411" s="10" t="str">
        <f t="array" ref="X411">IF(AND(A411&lt;&gt;"",OR(ISNUMBER(S411),ISNUMBER(T411))),SUM(S411,T411),"")</f>
        <v/>
      </c>
      <c r="Y411" s="13">
        <v>1</v>
      </c>
      <c r="Z411" s="13">
        <f>IF(A411&lt;&gt;"",SUM(U411:Y411),"")</f>
        <v>310</v>
      </c>
      <c r="AA411" s="27">
        <f>IF(A411&lt;&gt;"",(Z411+Normalize_To_Add)/(Point_Total_So_Far)*100,"")</f>
        <v>101.63934426229508</v>
      </c>
      <c r="AB411" s="10">
        <f>IF(A411&lt;&gt;"",RANK(AA411,All_Student_XC),"")</f>
        <v>19</v>
      </c>
      <c r="AC411" s="32" t="str">
        <f>IF(A411&lt;&gt;"",CHOOSE(10-MIN(9,TRUNC((AA411+0.5)/10)),"A","B","C","D","F","F","F","F","F","F"),"")</f>
        <v>A</v>
      </c>
      <c r="AD411" s="32" t="str">
        <f>IF(A411&lt;&gt;"",IF(OR(AA411+0.5&gt;=93,AA411+0.5&lt;60),"",IF(MOD(AA411+0.5,10)&gt;=7,"+",IF(MOD(AA411+0.5,10)&lt;3,"-",""))),"")</f>
        <v/>
      </c>
      <c r="AE411" s="32">
        <f>IF(A411&lt;&gt;"",SUM(W411:X411,$W$8:$X$8)/SUM($W$2:$X$2)*100,"")</f>
        <v>101</v>
      </c>
      <c r="AF411" s="32" t="str">
        <f>IF(A411&lt;&gt;"",CHOOSE(10-MIN(9,TRUNC((AE411+0.5)/10)),"A","B","C","D","F","F","F","F","F","F"),"")</f>
        <v>A</v>
      </c>
      <c r="AG411" s="32" t="str">
        <f>IF(A411&lt;&gt;"",IF(OR(AE411+0.5&gt;=93,AE411+0.5&lt;60),"",IF(MOD(AE411+0.5,10)&gt;=7,"+",IF(MOD(AE411+0.5,10)&lt;3,"-",""))),"")</f>
        <v/>
      </c>
      <c r="AH411" s="36">
        <f>IF(A411&lt;&gt;"",MIN(MAX(AA411,AE411),AA411+$AH$8,AE411+$AH$8),"")</f>
        <v>101.63934426229508</v>
      </c>
      <c r="AI411" s="32" t="str">
        <f>IF(A411&lt;&gt;"",CHOOSE(10-MIN(9,TRUNC((AH411+0.5)/10)),"A","B","C","D","F","F","F","F","F","F"),"")</f>
        <v>A</v>
      </c>
      <c r="AJ411" s="32" t="str">
        <f>IF(A411&lt;&gt;"",IF(OR(AH411+0.5&gt;=93,AH411+0.5&lt;60),"",IF(MOD(AH411+0.5,10)&gt;=7,"+",IF(MOD(AH411+0.5,10)&lt;3,"-",""))),"")</f>
        <v/>
      </c>
      <c r="AK411" s="32" t="b">
        <f>IF(A411&lt;&gt;"",OR(AI411&lt;&gt;AC411,AJ411&lt;&gt;AD411),"")</f>
        <v>0</v>
      </c>
      <c r="AL411" s="84">
        <f>IF(AND(A411&lt;&gt;"",U411&lt;&gt;""),SUM(U411,$AL$8)/$AL$2*100,"")</f>
        <v>98.666666666666671</v>
      </c>
      <c r="AM411" s="24">
        <f>IF(AND(A411&lt;&gt;"",V411&lt;&gt;""),SUM(V411,$AM$8)/$AM$2*100,"")</f>
        <v>103.07692307692307</v>
      </c>
      <c r="AN411" s="24">
        <f>IF(AND(A411&lt;&gt;"",ISNUMBER(P411),P411&gt;=0),SUM(P411,$AN$8)/$AN$2*100,"")</f>
        <v>101</v>
      </c>
      <c r="AO411" s="24" t="str">
        <f>IF(AND(A411&lt;&gt;"",ISNUMBER(Q411),Q411&gt;=0),SUM(Q411,$AO$8)/$AO$2*100,"")</f>
        <v/>
      </c>
      <c r="AP411" s="24" t="str">
        <f>IF(AND(A411&lt;&gt;"",R411&lt;&gt;""),SUM(R411,$AP$8)/$AP$2*100,"")</f>
        <v/>
      </c>
      <c r="AQ411" s="24">
        <f>IF(AND(A411&lt;&gt;"",ISNUMBER(W411),W411&gt;=0),SUM(W411,$AQ$8)/$AQ$2*100,"")</f>
        <v>101</v>
      </c>
      <c r="AR411" s="24" t="str">
        <f>IF(AND(A411&lt;&gt;"",T411&gt;0,ISNUMBER(T411)),SUM(T411,$AR$8)/$AR$2*100,"")</f>
        <v/>
      </c>
      <c r="AS411" s="24" t="str">
        <f>IF(AND(A411&lt;&gt;"",X411&lt;&gt;""),SUM(X411,$AS$8)/$AS$2*100,"")</f>
        <v/>
      </c>
      <c r="AT411" s="89">
        <f>IF(AND(A411&lt;&gt;"",OR(ISNUMBER(W411),ISNUMBER(X411))),SUM(W411:X411,$AT$8)/$AT$2*100,"")</f>
        <v>101</v>
      </c>
      <c r="AU411" s="24">
        <f>AA411</f>
        <v>101.63934426229508</v>
      </c>
      <c r="AV411" s="24"/>
      <c r="AW411" s="27">
        <f>IF(A411&lt;&gt;"",AE411-AA411,"")</f>
        <v>-0.6393442622950829</v>
      </c>
      <c r="AY411" s="27" t="b">
        <f>S411&gt;R411</f>
        <v>0</v>
      </c>
      <c r="BA411" s="27" t="e">
        <f>AND(AA411&gt;$BA$3,(W411+$W$8)/$W$2&lt;$BB$3,(X411+$X$8)/$X$2&lt;$BB$3)</f>
        <v>#VALUE!</v>
      </c>
      <c r="BB411" s="27" t="e">
        <f>AND(AA411&lt;$BA$3,AND(W411/$W$2&gt;$BB$3,X411/$X$2&gt;$BB$3))</f>
        <v>#VALUE!</v>
      </c>
      <c r="BC411" s="27" t="e">
        <f>AND(AA411&lt;$BA$3,OR(W411/$W$2&gt;$BB$3,X411/$X$2&gt;$BB$3))</f>
        <v>#VALUE!</v>
      </c>
      <c r="BE411" s="32">
        <v>32</v>
      </c>
    </row>
    <row r="412" spans="1:57" s="27" customFormat="1" ht="12.75" customHeight="1" x14ac:dyDescent="0.2">
      <c r="A412" s="10">
        <v>772290</v>
      </c>
      <c r="B412" s="2">
        <v>25</v>
      </c>
      <c r="C412" s="10">
        <v>23</v>
      </c>
      <c r="D412" s="10">
        <v>25</v>
      </c>
      <c r="E412" s="10"/>
      <c r="F412" s="10"/>
      <c r="G412" s="3"/>
      <c r="H412" s="10"/>
      <c r="I412" s="10"/>
      <c r="J412" s="2">
        <v>32</v>
      </c>
      <c r="K412" s="10">
        <v>52</v>
      </c>
      <c r="L412" s="10">
        <v>52</v>
      </c>
      <c r="M412" s="10"/>
      <c r="N412" s="10"/>
      <c r="O412" s="12"/>
      <c r="P412" s="7">
        <v>101</v>
      </c>
      <c r="Q412" s="7"/>
      <c r="R412" s="2"/>
      <c r="S412" s="10"/>
      <c r="T412" s="13"/>
      <c r="U412" s="35">
        <f t="array" ref="U412">IF(AND(A412&lt;&gt;"",OR(ISNUMBER(B412:I412))),SUM(B412:I412),"")</f>
        <v>73</v>
      </c>
      <c r="V412" s="10">
        <f t="array" ref="V412">IF(AND(A412&lt;&gt;"",OR(ISNUMBER(J412:O412))),SUM(J412:O412),"")</f>
        <v>136</v>
      </c>
      <c r="W412" s="10">
        <f t="array" ref="W412">IF(AND(A412&lt;&gt;"",OR(ISNUMBER(P412),ISNUMBER(Q412))),SUM(MAX(P412:Q412),Q412),"")</f>
        <v>101</v>
      </c>
      <c r="X412" s="10" t="str">
        <f t="array" ref="X412">IF(AND(A412&lt;&gt;"",OR(ISNUMBER(S412),ISNUMBER(T412))),SUM(S412,T412),"")</f>
        <v/>
      </c>
      <c r="Y412" s="13">
        <v>1</v>
      </c>
      <c r="Z412" s="13">
        <f>IF(A412&lt;&gt;"",SUM(U412:Y412),"")</f>
        <v>311</v>
      </c>
      <c r="AA412" s="27">
        <f>IF(A412&lt;&gt;"",(Z412+Normalize_To_Add)/(Point_Total_So_Far)*100,"")</f>
        <v>101.9672131147541</v>
      </c>
      <c r="AB412" s="10">
        <f>IF(A412&lt;&gt;"",RANK(AA412,All_Student_XC),"")</f>
        <v>7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>
        <f>IF(A412&lt;&gt;"",SUM(W412:X412,$W$8:$X$8)/SUM($W$2:$X$2)*100,"")</f>
        <v>101</v>
      </c>
      <c r="AF412" s="32" t="str">
        <f>IF(A412&lt;&gt;"",CHOOSE(10-MIN(9,TRUNC((AE412+0.5)/10)),"A","B","C","D","F","F","F","F","F","F"),"")</f>
        <v>A</v>
      </c>
      <c r="AG412" s="32" t="str">
        <f>IF(A412&lt;&gt;"",IF(OR(AE412+0.5&gt;=93,AE412+0.5&lt;60),"",IF(MOD(AE412+0.5,10)&gt;=7,"+",IF(MOD(AE412+0.5,10)&lt;3,"-",""))),"")</f>
        <v/>
      </c>
      <c r="AH412" s="36">
        <f>IF(A412&lt;&gt;"",MIN(MAX(AA412,AE412),AA412+$AH$8,AE412+$AH$8),"")</f>
        <v>101.9672131147541</v>
      </c>
      <c r="AI412" s="32" t="str">
        <f>IF(A412&lt;&gt;"",CHOOSE(10-MIN(9,TRUNC((AH412+0.5)/10)),"A","B","C","D","F","F","F","F","F","F"),"")</f>
        <v>A</v>
      </c>
      <c r="AJ412" s="32" t="str">
        <f>IF(A412&lt;&gt;"",IF(OR(AH412+0.5&gt;=93,AH412+0.5&lt;60),"",IF(MOD(AH412+0.5,10)&gt;=7,"+",IF(MOD(AH412+0.5,10)&lt;3,"-",""))),"")</f>
        <v/>
      </c>
      <c r="AK412" s="32" t="b">
        <f>IF(A412&lt;&gt;"",OR(AI412&lt;&gt;AC412,AJ412&lt;&gt;AD412),"")</f>
        <v>0</v>
      </c>
      <c r="AL412" s="84">
        <f>IF(AND(A412&lt;&gt;"",U412&lt;&gt;""),SUM(U412,$AL$8)/$AL$2*100,"")</f>
        <v>97.333333333333343</v>
      </c>
      <c r="AM412" s="24">
        <f>IF(AND(A412&lt;&gt;"",V412&lt;&gt;""),SUM(V412,$AM$8)/$AM$2*100,"")</f>
        <v>104.61538461538463</v>
      </c>
      <c r="AN412" s="24">
        <f>IF(AND(A412&lt;&gt;"",ISNUMBER(P412),P412&gt;=0),SUM(P412,$AN$8)/$AN$2*100,"")</f>
        <v>101</v>
      </c>
      <c r="AO412" s="24" t="str">
        <f>IF(AND(A412&lt;&gt;"",ISNUMBER(Q412),Q412&gt;=0),SUM(Q412,$AO$8)/$AO$2*100,"")</f>
        <v/>
      </c>
      <c r="AP412" s="24" t="str">
        <f>IF(AND(A412&lt;&gt;"",R412&lt;&gt;""),SUM(R412,$AP$8)/$AP$2*100,"")</f>
        <v/>
      </c>
      <c r="AQ412" s="24">
        <f>IF(AND(A412&lt;&gt;"",ISNUMBER(W412),W412&gt;=0),SUM(W412,$AQ$8)/$AQ$2*100,"")</f>
        <v>101</v>
      </c>
      <c r="AR412" s="24" t="str">
        <f>IF(AND(A412&lt;&gt;"",T412&gt;0,ISNUMBER(T412)),SUM(T412,$AR$8)/$AR$2*100,"")</f>
        <v/>
      </c>
      <c r="AS412" s="24" t="str">
        <f>IF(AND(A412&lt;&gt;"",X412&lt;&gt;""),SUM(X412,$AS$8)/$AS$2*100,"")</f>
        <v/>
      </c>
      <c r="AT412" s="89">
        <f>IF(AND(A412&lt;&gt;"",OR(ISNUMBER(W412),ISNUMBER(X412))),SUM(W412:X412,$AT$8)/$AT$2*100,"")</f>
        <v>101</v>
      </c>
      <c r="AU412" s="24">
        <f>AA412</f>
        <v>101.9672131147541</v>
      </c>
      <c r="AV412" s="24"/>
      <c r="AW412" s="27">
        <f>IF(A412&lt;&gt;"",AE412-AA412,"")</f>
        <v>-0.96721311475410232</v>
      </c>
      <c r="AY412" s="27" t="b">
        <f>S412&gt;R412</f>
        <v>0</v>
      </c>
      <c r="BA412" s="27" t="e">
        <f>AND(AA412&gt;$BA$3,(W412+$W$8)/$W$2&lt;$BB$3,(X412+$X$8)/$X$2&lt;$BB$3)</f>
        <v>#VALUE!</v>
      </c>
      <c r="BB412" s="27" t="e">
        <f>AND(AA412&lt;$BA$3,AND(W412/$W$2&gt;$BB$3,X412/$X$2&gt;$BB$3))</f>
        <v>#VALUE!</v>
      </c>
      <c r="BC412" s="27" t="e">
        <f>AND(AA412&lt;$BA$3,OR(W412/$W$2&gt;$BB$3,X412/$X$2&gt;$BB$3))</f>
        <v>#VALUE!</v>
      </c>
      <c r="BE412" s="32" t="s">
        <v>84</v>
      </c>
    </row>
    <row r="413" spans="1:57" s="27" customFormat="1" ht="12.75" customHeight="1" x14ac:dyDescent="0.2">
      <c r="A413" s="10">
        <v>772571</v>
      </c>
      <c r="B413" s="2">
        <v>22</v>
      </c>
      <c r="C413" s="10">
        <v>20</v>
      </c>
      <c r="D413" s="10">
        <v>25</v>
      </c>
      <c r="E413" s="10"/>
      <c r="F413" s="10"/>
      <c r="G413" s="3"/>
      <c r="H413" s="10"/>
      <c r="I413" s="10"/>
      <c r="J413" s="2">
        <v>32</v>
      </c>
      <c r="K413" s="10">
        <v>49</v>
      </c>
      <c r="L413" s="10">
        <v>52</v>
      </c>
      <c r="M413" s="10"/>
      <c r="N413" s="10"/>
      <c r="O413" s="13"/>
      <c r="P413" s="10">
        <v>100</v>
      </c>
      <c r="Q413" s="10"/>
      <c r="R413" s="2"/>
      <c r="S413" s="10"/>
      <c r="T413" s="13"/>
      <c r="U413" s="7">
        <f t="array" ref="U413">IF(AND(A413&lt;&gt;"",OR(ISNUMBER(B413:I413))),SUM(B413:I413),"")</f>
        <v>67</v>
      </c>
      <c r="V413" s="10">
        <f t="array" ref="V413">IF(AND(A413&lt;&gt;"",OR(ISNUMBER(J413:O413))),SUM(J413:O413),"")</f>
        <v>133</v>
      </c>
      <c r="W413" s="10">
        <f t="array" ref="W413">IF(AND(A413&lt;&gt;"",OR(ISNUMBER(P413),ISNUMBER(Q413))),SUM(MAX(P413:Q413),Q413),"")</f>
        <v>100</v>
      </c>
      <c r="X413" s="10" t="str">
        <f t="array" ref="X413">IF(AND(A413&lt;&gt;"",OR(ISNUMBER(S413),ISNUMBER(T413))),SUM(S413,T413),"")</f>
        <v/>
      </c>
      <c r="Y413" s="13">
        <v>1</v>
      </c>
      <c r="Z413" s="13">
        <f>IF(A413&lt;&gt;"",SUM(U413:Y413),"")</f>
        <v>301</v>
      </c>
      <c r="AA413" s="27">
        <f>IF(A413&lt;&gt;"",(Z413+Normalize_To_Add)/(Point_Total_So_Far)*100,"")</f>
        <v>98.688524590163937</v>
      </c>
      <c r="AB413" s="10">
        <f>IF(A413&lt;&gt;"",RANK(AA413,All_Student_XC),"")</f>
        <v>176</v>
      </c>
      <c r="AC413" s="32" t="str">
        <f>IF(A413&lt;&gt;"",CHOOSE(10-MIN(9,TRUNC((AA413+0.5)/10)),"A","B","C","D","F","F","F","F","F","F"),"")</f>
        <v>A</v>
      </c>
      <c r="AD413" s="31" t="str">
        <f>IF(A413&lt;&gt;"",IF(OR(AA413+0.5&gt;=93,AA413+0.5&lt;60),"",IF(MOD(AA413+0.5,10)&gt;=7,"+",IF(MOD(AA413+0.5,10)&lt;3,"-",""))),"")</f>
        <v/>
      </c>
      <c r="AE413" s="32">
        <f>IF(A413&lt;&gt;"",SUM(W413:X413,$W$8:$X$8)/SUM($W$2:$X$2)*100,"")</f>
        <v>100</v>
      </c>
      <c r="AF413" s="32" t="str">
        <f>IF(A413&lt;&gt;"",CHOOSE(10-MIN(9,TRUNC((AE413+0.5)/10)),"A","B","C","D","F","F","F","F","F","F"),"")</f>
        <v>A</v>
      </c>
      <c r="AG413" s="32" t="str">
        <f>IF(A413&lt;&gt;"",IF(OR(AE413+0.5&gt;=93,AE413+0.5&lt;60),"",IF(MOD(AE413+0.5,10)&gt;=7,"+",IF(MOD(AE413+0.5,10)&lt;3,"-",""))),"")</f>
        <v/>
      </c>
      <c r="AH413" s="36">
        <f>IF(A413&lt;&gt;"",MIN(MAX(AA413,AE413),AA413+$AH$8,AE413+$AH$8),"")</f>
        <v>100</v>
      </c>
      <c r="AI413" s="32" t="str">
        <f>IF(A413&lt;&gt;"",CHOOSE(10-MIN(9,TRUNC((AH413+0.5)/10)),"A","B","C","D","F","F","F","F","F","F"),"")</f>
        <v>A</v>
      </c>
      <c r="AJ413" s="32" t="str">
        <f>IF(A413&lt;&gt;"",IF(OR(AH413+0.5&gt;=93,AH413+0.5&lt;60),"",IF(MOD(AH413+0.5,10)&gt;=7,"+",IF(MOD(AH413+0.5,10)&lt;3,"-",""))),"")</f>
        <v/>
      </c>
      <c r="AK413" s="71" t="b">
        <f>IF(A413&lt;&gt;"",OR(AI413&lt;&gt;AC413,AJ413&lt;&gt;AD413),"")</f>
        <v>0</v>
      </c>
      <c r="AL413" s="86">
        <f>IF(AND(A413&lt;&gt;"",U413&lt;&gt;""),SUM(U413,$AL$8)/$AL$2*100,"")</f>
        <v>89.333333333333329</v>
      </c>
      <c r="AM413" s="71">
        <f>IF(AND(A413&lt;&gt;"",V413&lt;&gt;""),SUM(V413,$AM$8)/$AM$2*100,"")</f>
        <v>102.30769230769229</v>
      </c>
      <c r="AN413" s="71">
        <f>IF(AND(A413&lt;&gt;"",ISNUMBER(P413),P413&gt;=0),SUM(P413,$AN$8)/$AN$2*100,"")</f>
        <v>100</v>
      </c>
      <c r="AO413" s="71" t="str">
        <f>IF(AND(A413&lt;&gt;"",ISNUMBER(Q413),Q413&gt;=0),SUM(Q413,$AO$8)/$AO$2*100,"")</f>
        <v/>
      </c>
      <c r="AP413" s="24" t="str">
        <f>IF(AND(A413&lt;&gt;"",R413&lt;&gt;""),SUM(R413,$AP$8)/$AP$2*100,"")</f>
        <v/>
      </c>
      <c r="AQ413" s="24">
        <f>IF(AND(A413&lt;&gt;"",ISNUMBER(W413),W413&gt;=0),SUM(W413,$AQ$8)/$AQ$2*100,"")</f>
        <v>100</v>
      </c>
      <c r="AR413" s="24" t="str">
        <f>IF(AND(A413&lt;&gt;"",T413&gt;0,ISNUMBER(T413)),SUM(T413,$AR$8)/$AR$2*100,"")</f>
        <v/>
      </c>
      <c r="AS413" s="24" t="str">
        <f>IF(AND(A413&lt;&gt;"",X413&lt;&gt;""),SUM(X413,$AS$8)/$AS$2*100,"")</f>
        <v/>
      </c>
      <c r="AT413" s="89">
        <f>IF(AND(A413&lt;&gt;"",OR(ISNUMBER(W413),ISNUMBER(X413))),SUM(W413:X413,$AT$8)/$AT$2*100,"")</f>
        <v>100</v>
      </c>
      <c r="AU413" s="24">
        <f>AA413</f>
        <v>98.688524590163937</v>
      </c>
      <c r="AV413" s="71"/>
      <c r="AW413" s="27">
        <f>IF(A413&lt;&gt;"",AE413-AA413,"")</f>
        <v>1.3114754098360635</v>
      </c>
      <c r="AY413" s="27" t="b">
        <f>S413&gt;R413</f>
        <v>0</v>
      </c>
      <c r="BA413" s="27" t="e">
        <f>AND(AA413&gt;$BA$3,(W413+$W$8)/$W$2&lt;$BB$3,(X413+$X$8)/$X$2&lt;$BB$3)</f>
        <v>#VALUE!</v>
      </c>
      <c r="BB413" s="27" t="e">
        <f>AND(AA413&lt;$BA$3,AND(W413/$W$2&gt;$BB$3,X413/$X$2&gt;$BB$3))</f>
        <v>#VALUE!</v>
      </c>
      <c r="BC413" s="27" t="e">
        <f>AND(AA413&lt;$BA$3,OR(W413/$W$2&gt;$BB$3,X413/$X$2&gt;$BB$3))</f>
        <v>#VALUE!</v>
      </c>
      <c r="BE413" s="32" t="s">
        <v>84</v>
      </c>
    </row>
    <row r="414" spans="1:57" s="27" customFormat="1" ht="12.75" customHeight="1" x14ac:dyDescent="0.2">
      <c r="A414" s="10">
        <v>775177</v>
      </c>
      <c r="B414" s="2">
        <v>21</v>
      </c>
      <c r="C414" s="10">
        <v>23</v>
      </c>
      <c r="D414" s="10">
        <v>6</v>
      </c>
      <c r="E414" s="10"/>
      <c r="F414" s="10"/>
      <c r="G414" s="3"/>
      <c r="H414" s="10"/>
      <c r="I414" s="10"/>
      <c r="J414" s="2">
        <v>31</v>
      </c>
      <c r="K414" s="10">
        <v>52</v>
      </c>
      <c r="L414" s="10">
        <v>49</v>
      </c>
      <c r="M414" s="10"/>
      <c r="N414" s="10"/>
      <c r="O414" s="12"/>
      <c r="P414" s="7">
        <v>101</v>
      </c>
      <c r="Q414" s="7"/>
      <c r="R414" s="2"/>
      <c r="S414" s="10"/>
      <c r="T414" s="13"/>
      <c r="U414" s="35">
        <f t="array" ref="U414">IF(AND(A414&lt;&gt;"",OR(ISNUMBER(B414:I414))),SUM(B414:I414),"")</f>
        <v>50</v>
      </c>
      <c r="V414" s="10">
        <f t="array" ref="V414">IF(AND(A414&lt;&gt;"",OR(ISNUMBER(J414:O414))),SUM(J414:O414),"")</f>
        <v>132</v>
      </c>
      <c r="W414" s="10">
        <f t="array" ref="W414">IF(AND(A414&lt;&gt;"",OR(ISNUMBER(P414),ISNUMBER(Q414))),SUM(MAX(P414:Q414),Q414),"")</f>
        <v>101</v>
      </c>
      <c r="X414" s="10" t="str">
        <f t="array" ref="X414">IF(AND(A414&lt;&gt;"",OR(ISNUMBER(S414),ISNUMBER(T414))),SUM(S414,T414),"")</f>
        <v/>
      </c>
      <c r="Y414" s="13">
        <v>1</v>
      </c>
      <c r="Z414" s="13">
        <f>IF(A414&lt;&gt;"",SUM(U414:Y414),"")</f>
        <v>284</v>
      </c>
      <c r="AA414" s="27">
        <f>IF(A414&lt;&gt;"",(Z414+Normalize_To_Add)/(Point_Total_So_Far)*100,"")</f>
        <v>93.114754098360649</v>
      </c>
      <c r="AB414" s="10">
        <f>IF(A414&lt;&gt;"",RANK(AA414,All_Student_XC),"")</f>
        <v>297</v>
      </c>
      <c r="AC414" s="32" t="str">
        <f>IF(A414&lt;&gt;"",CHOOSE(10-MIN(9,TRUNC((AA414+0.5)/10)),"A","B","C","D","F","F","F","F","F","F"),"")</f>
        <v>A</v>
      </c>
      <c r="AD414" s="32" t="str">
        <f>IF(A414&lt;&gt;"",IF(OR(AA414+0.5&gt;=93,AA414+0.5&lt;60),"",IF(MOD(AA414+0.5,10)&gt;=7,"+",IF(MOD(AA414+0.5,10)&lt;3,"-",""))),"")</f>
        <v/>
      </c>
      <c r="AE414" s="32">
        <f>IF(A414&lt;&gt;"",SUM(W414:X414,$W$8:$X$8)/SUM($W$2:$X$2)*100,"")</f>
        <v>101</v>
      </c>
      <c r="AF414" s="32" t="str">
        <f>IF(A414&lt;&gt;"",CHOOSE(10-MIN(9,TRUNC((AE414+0.5)/10)),"A","B","C","D","F","F","F","F","F","F"),"")</f>
        <v>A</v>
      </c>
      <c r="AG414" s="32" t="str">
        <f>IF(A414&lt;&gt;"",IF(OR(AE414+0.5&gt;=93,AE414+0.5&lt;60),"",IF(MOD(AE414+0.5,10)&gt;=7,"+",IF(MOD(AE414+0.5,10)&lt;3,"-",""))),"")</f>
        <v/>
      </c>
      <c r="AH414" s="36">
        <f>IF(A414&lt;&gt;"",MIN(MAX(AA414,AE414),AA414+$AH$8,AE414+$AH$8),"")</f>
        <v>101</v>
      </c>
      <c r="AI414" s="32" t="str">
        <f>IF(A414&lt;&gt;"",CHOOSE(10-MIN(9,TRUNC((AH414+0.5)/10)),"A","B","C","D","F","F","F","F","F","F"),"")</f>
        <v>A</v>
      </c>
      <c r="AJ414" s="32" t="str">
        <f>IF(A414&lt;&gt;"",IF(OR(AH414+0.5&gt;=93,AH414+0.5&lt;60),"",IF(MOD(AH414+0.5,10)&gt;=7,"+",IF(MOD(AH414+0.5,10)&lt;3,"-",""))),"")</f>
        <v/>
      </c>
      <c r="AK414" s="32" t="b">
        <f>IF(A414&lt;&gt;"",OR(AI414&lt;&gt;AC414,AJ414&lt;&gt;AD414),"")</f>
        <v>0</v>
      </c>
      <c r="AL414" s="84">
        <f>IF(AND(A414&lt;&gt;"",U414&lt;&gt;""),SUM(U414,$AL$8)/$AL$2*100,"")</f>
        <v>66.666666666666657</v>
      </c>
      <c r="AM414" s="24">
        <f>IF(AND(A414&lt;&gt;"",V414&lt;&gt;""),SUM(V414,$AM$8)/$AM$2*100,"")</f>
        <v>101.53846153846153</v>
      </c>
      <c r="AN414" s="24">
        <f>IF(AND(A414&lt;&gt;"",ISNUMBER(P414),P414&gt;=0),SUM(P414,$AN$8)/$AN$2*100,"")</f>
        <v>101</v>
      </c>
      <c r="AO414" s="24" t="str">
        <f>IF(AND(A414&lt;&gt;"",ISNUMBER(Q414),Q414&gt;=0),SUM(Q414,$AO$8)/$AO$2*100,"")</f>
        <v/>
      </c>
      <c r="AP414" s="24" t="str">
        <f>IF(AND(A414&lt;&gt;"",R414&lt;&gt;""),SUM(R414,$AP$8)/$AP$2*100,"")</f>
        <v/>
      </c>
      <c r="AQ414" s="24">
        <f>IF(AND(A414&lt;&gt;"",ISNUMBER(W414),W414&gt;=0),SUM(W414,$AQ$8)/$AQ$2*100,"")</f>
        <v>101</v>
      </c>
      <c r="AR414" s="24" t="str">
        <f>IF(AND(A414&lt;&gt;"",T414&gt;0,ISNUMBER(T414)),SUM(T414,$AR$8)/$AR$2*100,"")</f>
        <v/>
      </c>
      <c r="AS414" s="24" t="str">
        <f>IF(AND(A414&lt;&gt;"",X414&lt;&gt;""),SUM(X414,$AS$8)/$AS$2*100,"")</f>
        <v/>
      </c>
      <c r="AT414" s="89">
        <f>IF(AND(A414&lt;&gt;"",OR(ISNUMBER(W414),ISNUMBER(X414))),SUM(W414:X414,$AT$8)/$AT$2*100,"")</f>
        <v>101</v>
      </c>
      <c r="AU414" s="24">
        <f>AA414</f>
        <v>93.114754098360649</v>
      </c>
      <c r="AV414" s="24"/>
      <c r="AW414" s="27">
        <f>IF(A414&lt;&gt;"",AE414-AA414,"")</f>
        <v>7.885245901639351</v>
      </c>
      <c r="AY414" s="27" t="b">
        <f>S414&gt;R414</f>
        <v>0</v>
      </c>
      <c r="BA414" s="27" t="e">
        <f>AND(AA414&gt;$BA$3,(W414+$W$8)/$W$2&lt;$BB$3,(X414+$X$8)/$X$2&lt;$BB$3)</f>
        <v>#VALUE!</v>
      </c>
      <c r="BB414" s="27" t="e">
        <f>AND(AA414&lt;$BA$3,AND(W414/$W$2&gt;$BB$3,X414/$X$2&gt;$BB$3))</f>
        <v>#VALUE!</v>
      </c>
      <c r="BC414" s="27" t="e">
        <f>AND(AA414&lt;$BA$3,OR(W414/$W$2&gt;$BB$3,X414/$X$2&gt;$BB$3))</f>
        <v>#VALUE!</v>
      </c>
      <c r="BE414" s="32" t="s">
        <v>84</v>
      </c>
    </row>
    <row r="415" spans="1:57" s="27" customFormat="1" ht="12.75" customHeight="1" x14ac:dyDescent="0.2">
      <c r="A415" s="10">
        <v>775882</v>
      </c>
      <c r="B415" s="2">
        <v>23</v>
      </c>
      <c r="C415" s="10">
        <v>20</v>
      </c>
      <c r="D415" s="10">
        <v>25</v>
      </c>
      <c r="E415" s="10"/>
      <c r="F415" s="10"/>
      <c r="G415" s="3"/>
      <c r="H415" s="10"/>
      <c r="I415" s="10"/>
      <c r="J415" s="2">
        <v>28</v>
      </c>
      <c r="K415" s="10">
        <v>52</v>
      </c>
      <c r="L415" s="10">
        <v>51</v>
      </c>
      <c r="M415" s="10"/>
      <c r="N415" s="10"/>
      <c r="O415" s="12"/>
      <c r="P415" s="7">
        <v>80</v>
      </c>
      <c r="Q415" s="7"/>
      <c r="R415" s="2"/>
      <c r="S415" s="10"/>
      <c r="T415" s="13"/>
      <c r="U415" s="35">
        <f t="array" ref="U415">IF(AND(A415&lt;&gt;"",OR(ISNUMBER(B415:I415))),SUM(B415:I415),"")</f>
        <v>68</v>
      </c>
      <c r="V415" s="10">
        <f t="array" ref="V415">IF(AND(A415&lt;&gt;"",OR(ISNUMBER(J415:O415))),SUM(J415:O415),"")</f>
        <v>131</v>
      </c>
      <c r="W415" s="10">
        <f t="array" ref="W415">IF(AND(A415&lt;&gt;"",OR(ISNUMBER(P415),ISNUMBER(Q415))),SUM(MAX(P415:Q415),Q415),"")</f>
        <v>80</v>
      </c>
      <c r="X415" s="10" t="str">
        <f t="array" ref="X415">IF(AND(A415&lt;&gt;"",OR(ISNUMBER(S415),ISNUMBER(T415))),SUM(S415,T415),"")</f>
        <v/>
      </c>
      <c r="Y415" s="13">
        <v>1</v>
      </c>
      <c r="Z415" s="13">
        <f>IF(A415&lt;&gt;"",SUM(U415:Y415),"")</f>
        <v>280</v>
      </c>
      <c r="AA415" s="27">
        <f>IF(A415&lt;&gt;"",(Z415+Normalize_To_Add)/(Point_Total_So_Far)*100,"")</f>
        <v>91.803278688524586</v>
      </c>
      <c r="AB415" s="10">
        <f>IF(A415&lt;&gt;"",RANK(AA415,All_Student_XC),"")</f>
        <v>310</v>
      </c>
      <c r="AC415" s="32" t="str">
        <f>IF(A415&lt;&gt;"",CHOOSE(10-MIN(9,TRUNC((AA415+0.5)/10)),"A","B","C","D","F","F","F","F","F","F"),"")</f>
        <v>A</v>
      </c>
      <c r="AD415" s="32" t="str">
        <f>IF(A415&lt;&gt;"",IF(OR(AA415+0.5&gt;=93,AA415+0.5&lt;60),"",IF(MOD(AA415+0.5,10)&gt;=7,"+",IF(MOD(AA415+0.5,10)&lt;3,"-",""))),"")</f>
        <v>-</v>
      </c>
      <c r="AE415" s="32">
        <f>IF(A415&lt;&gt;"",SUM(W415:X415,$W$8:$X$8)/SUM($W$2:$X$2)*100,"")</f>
        <v>80</v>
      </c>
      <c r="AF415" s="32" t="str">
        <f>IF(A415&lt;&gt;"",CHOOSE(10-MIN(9,TRUNC((AE415+0.5)/10)),"A","B","C","D","F","F","F","F","F","F"),"")</f>
        <v>B</v>
      </c>
      <c r="AG415" s="32" t="str">
        <f>IF(A415&lt;&gt;"",IF(OR(AE415+0.5&gt;=93,AE415+0.5&lt;60),"",IF(MOD(AE415+0.5,10)&gt;=7,"+",IF(MOD(AE415+0.5,10)&lt;3,"-",""))),"")</f>
        <v>-</v>
      </c>
      <c r="AH415" s="36">
        <f>IF(A415&lt;&gt;"",MIN(MAX(AA415,AE415),AA415+$AH$8,AE415+$AH$8),"")</f>
        <v>91.803278688524586</v>
      </c>
      <c r="AI415" s="32" t="str">
        <f>IF(A415&lt;&gt;"",CHOOSE(10-MIN(9,TRUNC((AH415+0.5)/10)),"A","B","C","D","F","F","F","F","F","F"),"")</f>
        <v>A</v>
      </c>
      <c r="AJ415" s="32" t="str">
        <f>IF(A415&lt;&gt;"",IF(OR(AH415+0.5&gt;=93,AH415+0.5&lt;60),"",IF(MOD(AH415+0.5,10)&gt;=7,"+",IF(MOD(AH415+0.5,10)&lt;3,"-",""))),"")</f>
        <v>-</v>
      </c>
      <c r="AK415" s="32" t="b">
        <f>IF(A415&lt;&gt;"",OR(AI415&lt;&gt;AC415,AJ415&lt;&gt;AD415),"")</f>
        <v>0</v>
      </c>
      <c r="AL415" s="84">
        <f>IF(AND(A415&lt;&gt;"",U415&lt;&gt;""),SUM(U415,$AL$8)/$AL$2*100,"")</f>
        <v>90.666666666666657</v>
      </c>
      <c r="AM415" s="24">
        <f>IF(AND(A415&lt;&gt;"",V415&lt;&gt;""),SUM(V415,$AM$8)/$AM$2*100,"")</f>
        <v>100.76923076923077</v>
      </c>
      <c r="AN415" s="24">
        <f>IF(AND(A415&lt;&gt;"",ISNUMBER(P415),P415&gt;=0),SUM(P415,$AN$8)/$AN$2*100,"")</f>
        <v>80</v>
      </c>
      <c r="AO415" s="24" t="str">
        <f>IF(AND(A415&lt;&gt;"",ISNUMBER(Q415),Q415&gt;=0),SUM(Q415,$AO$8)/$AO$2*100,"")</f>
        <v/>
      </c>
      <c r="AP415" s="24" t="str">
        <f>IF(AND(A415&lt;&gt;"",R415&lt;&gt;""),SUM(R415,$AP$8)/$AP$2*100,"")</f>
        <v/>
      </c>
      <c r="AQ415" s="24">
        <f>IF(AND(A415&lt;&gt;"",ISNUMBER(W415),W415&gt;=0),SUM(W415,$AQ$8)/$AQ$2*100,"")</f>
        <v>80</v>
      </c>
      <c r="AR415" s="24" t="str">
        <f>IF(AND(A415&lt;&gt;"",T415&gt;0,ISNUMBER(T415)),SUM(T415,$AR$8)/$AR$2*100,"")</f>
        <v/>
      </c>
      <c r="AS415" s="24" t="str">
        <f>IF(AND(A415&lt;&gt;"",X415&lt;&gt;""),SUM(X415,$AS$8)/$AS$2*100,"")</f>
        <v/>
      </c>
      <c r="AT415" s="89">
        <f>IF(AND(A415&lt;&gt;"",OR(ISNUMBER(W415),ISNUMBER(X415))),SUM(W415:X415,$AT$8)/$AT$2*100,"")</f>
        <v>80</v>
      </c>
      <c r="AU415" s="24">
        <f>AA415</f>
        <v>91.803278688524586</v>
      </c>
      <c r="AV415" s="24"/>
      <c r="AW415" s="27">
        <f>IF(A415&lt;&gt;"",AE415-AA415,"")</f>
        <v>-11.803278688524586</v>
      </c>
      <c r="AY415" s="27" t="b">
        <f>S415&gt;R415</f>
        <v>0</v>
      </c>
      <c r="BA415" s="27" t="e">
        <f>AND(AA415&gt;$BA$3,(W415+$W$8)/$W$2&lt;$BB$3,(X415+$X$8)/$X$2&lt;$BB$3)</f>
        <v>#VALUE!</v>
      </c>
      <c r="BB415" s="27" t="e">
        <f>AND(AA415&lt;$BA$3,AND(W415/$W$2&gt;$BB$3,X415/$X$2&gt;$BB$3))</f>
        <v>#VALUE!</v>
      </c>
      <c r="BC415" s="27" t="e">
        <f>AND(AA415&lt;$BA$3,OR(W415/$W$2&gt;$BB$3,X415/$X$2&gt;$BB$3))</f>
        <v>#VALUE!</v>
      </c>
      <c r="BE415" s="32">
        <v>32</v>
      </c>
    </row>
    <row r="416" spans="1:57" s="27" customFormat="1" ht="12.75" customHeight="1" x14ac:dyDescent="0.2">
      <c r="A416" s="10">
        <v>777283</v>
      </c>
      <c r="B416" s="2">
        <v>21</v>
      </c>
      <c r="C416" s="10">
        <v>20</v>
      </c>
      <c r="D416" s="10">
        <v>25</v>
      </c>
      <c r="E416" s="10"/>
      <c r="F416" s="10"/>
      <c r="G416" s="3"/>
      <c r="H416" s="10"/>
      <c r="I416" s="10"/>
      <c r="J416" s="2">
        <v>28</v>
      </c>
      <c r="K416" s="10">
        <v>51</v>
      </c>
      <c r="L416" s="10">
        <v>51</v>
      </c>
      <c r="M416" s="10"/>
      <c r="N416" s="93"/>
      <c r="O416" s="12"/>
      <c r="P416" s="10">
        <v>101</v>
      </c>
      <c r="Q416" s="41"/>
      <c r="R416" s="2"/>
      <c r="S416" s="10"/>
      <c r="T416" s="13"/>
      <c r="U416" s="7">
        <f t="array" ref="U416">IF(AND(A416&lt;&gt;"",OR(ISNUMBER(B416:I416))),SUM(B416:I416),"")</f>
        <v>66</v>
      </c>
      <c r="V416" s="10">
        <f t="array" ref="V416">IF(AND(A416&lt;&gt;"",OR(ISNUMBER(J416:O416))),SUM(J416:O416),"")</f>
        <v>130</v>
      </c>
      <c r="W416" s="10">
        <f t="array" ref="W416">IF(AND(A416&lt;&gt;"",OR(ISNUMBER(P416),ISNUMBER(Q416))),SUM(MAX(P416:Q416),Q416),"")</f>
        <v>101</v>
      </c>
      <c r="X416" s="10" t="str">
        <f t="array" ref="X416">IF(AND(A416&lt;&gt;"",OR(ISNUMBER(S416),ISNUMBER(T416))),SUM(S416,T416),"")</f>
        <v/>
      </c>
      <c r="Y416" s="13">
        <v>1</v>
      </c>
      <c r="Z416" s="13">
        <f>IF(A416&lt;&gt;"",SUM(U416:Y416),"")</f>
        <v>298</v>
      </c>
      <c r="AA416" s="27">
        <f>IF(A416&lt;&gt;"",(Z416+Normalize_To_Add)/(Point_Total_So_Far)*100,"")</f>
        <v>97.704918032786878</v>
      </c>
      <c r="AB416" s="10">
        <f>IF(A416&lt;&gt;"",RANK(AA416,All_Student_XC),"")</f>
        <v>210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>
        <f>IF(A416&lt;&gt;"",SUM(W416:X416,$W$8:$X$8)/SUM($W$2:$X$2)*100,"")</f>
        <v>101</v>
      </c>
      <c r="AF416" s="44" t="str">
        <f>IF(A416&lt;&gt;"",CHOOSE(10-MIN(9,TRUNC((AE416+0.5)/10)),"A","B","C","D","F","F","F","F","F","F"),"")</f>
        <v>A</v>
      </c>
      <c r="AG416" s="44" t="str">
        <f>IF(A416&lt;&gt;"",IF(OR(AE416+0.5&gt;=93,AE416+0.5&lt;60),"",IF(MOD(AE416+0.5,10)&gt;=7,"+",IF(MOD(AE416+0.5,10)&lt;3,"-",""))),"")</f>
        <v/>
      </c>
      <c r="AH416" s="36">
        <f>IF(A416&lt;&gt;"",MIN(MAX(AA416,AE416),AA416+$AH$8,AE416+$AH$8),"")</f>
        <v>101</v>
      </c>
      <c r="AI416" s="32" t="str">
        <f>IF(A416&lt;&gt;"",CHOOSE(10-MIN(9,TRUNC((AH416+0.5)/10)),"A","B","C","D","F","F","F","F","F","F"),"")</f>
        <v>A</v>
      </c>
      <c r="AJ416" s="32" t="str">
        <f>IF(A416&lt;&gt;"",IF(OR(AH416+0.5&gt;=93,AH416+0.5&lt;60),"",IF(MOD(AH416+0.5,10)&gt;=7,"+",IF(MOD(AH416+0.5,10)&lt;3,"-",""))),"")</f>
        <v/>
      </c>
      <c r="AK416" s="32" t="b">
        <f>IF(A416&lt;&gt;"",OR(AI416&lt;&gt;AC416,AJ416&lt;&gt;AD416),"")</f>
        <v>0</v>
      </c>
      <c r="AL416" s="84">
        <f>IF(AND(A416&lt;&gt;"",U416&lt;&gt;""),SUM(U416,$AL$8)/$AL$2*100,"")</f>
        <v>88</v>
      </c>
      <c r="AM416" s="24">
        <f>IF(AND(A416&lt;&gt;"",V416&lt;&gt;""),SUM(V416,$AM$8)/$AM$2*100,"")</f>
        <v>100</v>
      </c>
      <c r="AN416" s="24">
        <f>IF(AND(A416&lt;&gt;"",ISNUMBER(P416),P416&gt;=0),SUM(P416,$AN$8)/$AN$2*100,"")</f>
        <v>101</v>
      </c>
      <c r="AO416" s="24" t="str">
        <f>IF(AND(A416&lt;&gt;"",ISNUMBER(Q416),Q416&gt;=0),SUM(Q416,$AO$8)/$AO$2*100,"")</f>
        <v/>
      </c>
      <c r="AP416" s="24" t="str">
        <f>IF(AND(A416&lt;&gt;"",R416&lt;&gt;""),SUM(R416,$AP$8)/$AP$2*100,"")</f>
        <v/>
      </c>
      <c r="AQ416" s="24">
        <f>IF(AND(A416&lt;&gt;"",ISNUMBER(W416),W416&gt;=0),SUM(W416,$AQ$8)/$AQ$2*100,"")</f>
        <v>101</v>
      </c>
      <c r="AR416" s="24" t="str">
        <f>IF(AND(A416&lt;&gt;"",T416&gt;0,ISNUMBER(T416)),SUM(T416,$AR$8)/$AR$2*100,"")</f>
        <v/>
      </c>
      <c r="AS416" s="24" t="str">
        <f>IF(AND(A416&lt;&gt;"",X416&lt;&gt;""),SUM(X416,$AS$8)/$AS$2*100,"")</f>
        <v/>
      </c>
      <c r="AT416" s="89">
        <f>IF(AND(A416&lt;&gt;"",OR(ISNUMBER(W416),ISNUMBER(X416))),SUM(W416:X416,$AT$8)/$AT$2*100,"")</f>
        <v>101</v>
      </c>
      <c r="AU416" s="24">
        <f>AA416</f>
        <v>97.704918032786878</v>
      </c>
      <c r="AV416" s="24"/>
      <c r="AW416" s="27">
        <f>IF(A416&lt;&gt;"",AE416-AA416,"")</f>
        <v>3.2950819672131217</v>
      </c>
      <c r="AY416" s="27" t="b">
        <f>S416&gt;R416</f>
        <v>0</v>
      </c>
      <c r="BA416" s="27" t="e">
        <f>AND(AA416&gt;$BA$3,(W416+$W$8)/$W$2&lt;$BB$3,(X416+$X$8)/$X$2&lt;$BB$3)</f>
        <v>#VALUE!</v>
      </c>
      <c r="BB416" s="27" t="e">
        <f>AND(AA416&lt;$BA$3,AND(W416/$W$2&gt;$BB$3,X416/$X$2&gt;$BB$3))</f>
        <v>#VALUE!</v>
      </c>
      <c r="BC416" s="27" t="e">
        <f>AND(AA416&lt;$BA$3,OR(W416/$W$2&gt;$BB$3,X416/$X$2&gt;$BB$3))</f>
        <v>#VALUE!</v>
      </c>
      <c r="BE416" s="32" t="s">
        <v>84</v>
      </c>
    </row>
    <row r="417" spans="1:57" s="27" customFormat="1" ht="12.75" customHeight="1" x14ac:dyDescent="0.2">
      <c r="A417" s="10">
        <v>777867</v>
      </c>
      <c r="B417" s="2">
        <v>23</v>
      </c>
      <c r="C417" s="10">
        <v>22</v>
      </c>
      <c r="D417" s="10">
        <v>25</v>
      </c>
      <c r="E417" s="10"/>
      <c r="F417" s="10"/>
      <c r="G417" s="3"/>
      <c r="H417" s="10"/>
      <c r="I417" s="10"/>
      <c r="J417" s="2">
        <v>32</v>
      </c>
      <c r="K417" s="10">
        <v>50</v>
      </c>
      <c r="L417" s="10">
        <v>50</v>
      </c>
      <c r="M417" s="10"/>
      <c r="N417" s="10"/>
      <c r="O417" s="12"/>
      <c r="P417" s="7">
        <v>101</v>
      </c>
      <c r="Q417" s="7"/>
      <c r="R417" s="2"/>
      <c r="S417" s="10"/>
      <c r="T417" s="13"/>
      <c r="U417" s="35">
        <f t="array" ref="U417">IF(AND(A417&lt;&gt;"",OR(ISNUMBER(B417:I417))),SUM(B417:I417),"")</f>
        <v>70</v>
      </c>
      <c r="V417" s="10">
        <f t="array" ref="V417">IF(AND(A417&lt;&gt;"",OR(ISNUMBER(J417:O417))),SUM(J417:O417),"")</f>
        <v>132</v>
      </c>
      <c r="W417" s="10">
        <f t="array" ref="W417">IF(AND(A417&lt;&gt;"",OR(ISNUMBER(P417),ISNUMBER(Q417))),SUM(MAX(P417:Q417),Q417),"")</f>
        <v>101</v>
      </c>
      <c r="X417" s="10" t="str">
        <f t="array" ref="X417">IF(AND(A417&lt;&gt;"",OR(ISNUMBER(S417),ISNUMBER(T417))),SUM(S417,T417),"")</f>
        <v/>
      </c>
      <c r="Y417" s="13">
        <v>1</v>
      </c>
      <c r="Z417" s="13">
        <f>IF(A417&lt;&gt;"",SUM(U417:Y417),"")</f>
        <v>304</v>
      </c>
      <c r="AA417" s="27">
        <f>IF(A417&lt;&gt;"",(Z417+Normalize_To_Add)/(Point_Total_So_Far)*100,"")</f>
        <v>99.672131147540995</v>
      </c>
      <c r="AB417" s="10">
        <f>IF(A417&lt;&gt;"",RANK(AA417,All_Student_XC),"")</f>
        <v>124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>
        <f>IF(A417&lt;&gt;"",SUM(W417:X417,$W$8:$X$8)/SUM($W$2:$X$2)*100,"")</f>
        <v>101</v>
      </c>
      <c r="AF417" s="32" t="str">
        <f>IF(A417&lt;&gt;"",CHOOSE(10-MIN(9,TRUNC((AE417+0.5)/10)),"A","B","C","D","F","F","F","F","F","F"),"")</f>
        <v>A</v>
      </c>
      <c r="AG417" s="32" t="str">
        <f>IF(A417&lt;&gt;"",IF(OR(AE417+0.5&gt;=93,AE417+0.5&lt;60),"",IF(MOD(AE417+0.5,10)&gt;=7,"+",IF(MOD(AE417+0.5,10)&lt;3,"-",""))),"")</f>
        <v/>
      </c>
      <c r="AH417" s="36">
        <f>IF(A417&lt;&gt;"",MIN(MAX(AA417,AE417),AA417+$AH$8,AE417+$AH$8),"")</f>
        <v>101</v>
      </c>
      <c r="AI417" s="32" t="str">
        <f>IF(A417&lt;&gt;"",CHOOSE(10-MIN(9,TRUNC((AH417+0.5)/10)),"A","B","C","D","F","F","F","F","F","F"),"")</f>
        <v>A</v>
      </c>
      <c r="AJ417" s="32" t="str">
        <f>IF(A417&lt;&gt;"",IF(OR(AH417+0.5&gt;=93,AH417+0.5&lt;60),"",IF(MOD(AH417+0.5,10)&gt;=7,"+",IF(MOD(AH417+0.5,10)&lt;3,"-",""))),"")</f>
        <v/>
      </c>
      <c r="AK417" s="32" t="b">
        <f>IF(A417&lt;&gt;"",OR(AI417&lt;&gt;AC417,AJ417&lt;&gt;AD417),"")</f>
        <v>0</v>
      </c>
      <c r="AL417" s="84">
        <f>IF(AND(A417&lt;&gt;"",U417&lt;&gt;""),SUM(U417,$AL$8)/$AL$2*100,"")</f>
        <v>93.333333333333329</v>
      </c>
      <c r="AM417" s="24">
        <f>IF(AND(A417&lt;&gt;"",V417&lt;&gt;""),SUM(V417,$AM$8)/$AM$2*100,"")</f>
        <v>101.53846153846153</v>
      </c>
      <c r="AN417" s="24">
        <f>IF(AND(A417&lt;&gt;"",ISNUMBER(P417),P417&gt;=0),SUM(P417,$AN$8)/$AN$2*100,"")</f>
        <v>101</v>
      </c>
      <c r="AO417" s="24" t="str">
        <f>IF(AND(A417&lt;&gt;"",ISNUMBER(Q417),Q417&gt;=0),SUM(Q417,$AO$8)/$AO$2*100,"")</f>
        <v/>
      </c>
      <c r="AP417" s="24" t="str">
        <f>IF(AND(A417&lt;&gt;"",R417&lt;&gt;""),SUM(R417,$AP$8)/$AP$2*100,"")</f>
        <v/>
      </c>
      <c r="AQ417" s="24">
        <f>IF(AND(A417&lt;&gt;"",ISNUMBER(W417),W417&gt;=0),SUM(W417,$AQ$8)/$AQ$2*100,"")</f>
        <v>101</v>
      </c>
      <c r="AR417" s="24" t="str">
        <f>IF(AND(A417&lt;&gt;"",T417&gt;0,ISNUMBER(T417)),SUM(T417,$AR$8)/$AR$2*100,"")</f>
        <v/>
      </c>
      <c r="AS417" s="24" t="str">
        <f>IF(AND(A417&lt;&gt;"",X417&lt;&gt;""),SUM(X417,$AS$8)/$AS$2*100,"")</f>
        <v/>
      </c>
      <c r="AT417" s="89">
        <f>IF(AND(A417&lt;&gt;"",OR(ISNUMBER(W417),ISNUMBER(X417))),SUM(W417:X417,$AT$8)/$AT$2*100,"")</f>
        <v>101</v>
      </c>
      <c r="AU417" s="24">
        <f>AA417</f>
        <v>99.672131147540995</v>
      </c>
      <c r="AV417" s="24"/>
      <c r="AW417" s="27">
        <f>IF(A417&lt;&gt;"",AE417-AA417,"")</f>
        <v>1.3278688524590052</v>
      </c>
      <c r="AY417" s="27" t="b">
        <f>S417&gt;R417</f>
        <v>0</v>
      </c>
      <c r="BA417" s="27" t="e">
        <f>AND(AA417&gt;$BA$3,(W417+$W$8)/$W$2&lt;$BB$3,(X417+$X$8)/$X$2&lt;$BB$3)</f>
        <v>#VALUE!</v>
      </c>
      <c r="BB417" s="27" t="e">
        <f>AND(AA417&lt;$BA$3,AND(W417/$W$2&gt;$BB$3,X417/$X$2&gt;$BB$3))</f>
        <v>#VALUE!</v>
      </c>
      <c r="BC417" s="27" t="e">
        <f>AND(AA417&lt;$BA$3,OR(W417/$W$2&gt;$BB$3,X417/$X$2&gt;$BB$3))</f>
        <v>#VALUE!</v>
      </c>
      <c r="BE417" s="32" t="s">
        <v>84</v>
      </c>
    </row>
    <row r="418" spans="1:57" s="27" customFormat="1" ht="12.75" customHeight="1" x14ac:dyDescent="0.2">
      <c r="A418" s="10">
        <v>785798</v>
      </c>
      <c r="B418" s="2">
        <v>19</v>
      </c>
      <c r="C418" s="10">
        <v>22</v>
      </c>
      <c r="D418" s="10">
        <v>25</v>
      </c>
      <c r="E418" s="10"/>
      <c r="F418" s="10"/>
      <c r="G418" s="10"/>
      <c r="H418" s="10"/>
      <c r="I418" s="10"/>
      <c r="J418" s="2">
        <v>31</v>
      </c>
      <c r="K418" s="10">
        <v>24</v>
      </c>
      <c r="L418" s="10">
        <v>51</v>
      </c>
      <c r="M418" s="10"/>
      <c r="N418" s="93"/>
      <c r="O418" s="13"/>
      <c r="P418" s="10">
        <v>100</v>
      </c>
      <c r="Q418" s="10"/>
      <c r="R418" s="2"/>
      <c r="S418" s="10"/>
      <c r="T418" s="13"/>
      <c r="U418" s="7">
        <f t="array" ref="U418">IF(AND(A418&lt;&gt;"",OR(ISNUMBER(B418:I418))),SUM(B418:I418),"")</f>
        <v>66</v>
      </c>
      <c r="V418" s="10">
        <f t="array" ref="V418">IF(AND(A418&lt;&gt;"",OR(ISNUMBER(J418:O418))),SUM(J418:O418),"")</f>
        <v>106</v>
      </c>
      <c r="W418" s="10">
        <f t="array" ref="W418">IF(AND(A418&lt;&gt;"",OR(ISNUMBER(P418),ISNUMBER(Q418))),SUM(MAX(P418:Q418),Q418),"")</f>
        <v>100</v>
      </c>
      <c r="X418" s="10" t="str">
        <f t="array" ref="X418">IF(AND(A418&lt;&gt;"",OR(ISNUMBER(S418),ISNUMBER(T418))),SUM(S418,T418),"")</f>
        <v/>
      </c>
      <c r="Y418" s="13">
        <v>1</v>
      </c>
      <c r="Z418" s="13">
        <f>IF(A418&lt;&gt;"",SUM(U418:Y418),"")</f>
        <v>273</v>
      </c>
      <c r="AA418" s="27">
        <f>IF(A418&lt;&gt;"",(Z418+Normalize_To_Add)/(Point_Total_So_Far)*100,"")</f>
        <v>89.508196721311478</v>
      </c>
      <c r="AB418" s="10">
        <f>IF(A418&lt;&gt;"",RANK(AA418,All_Student_XC),"")</f>
        <v>340</v>
      </c>
      <c r="AC418" s="32" t="str">
        <f>IF(A418&lt;&gt;"",CHOOSE(10-MIN(9,TRUNC((AA418+0.5)/10)),"A","B","C","D","F","F","F","F","F","F"),"")</f>
        <v>A</v>
      </c>
      <c r="AD418" s="31" t="str">
        <f>IF(A418&lt;&gt;"",IF(OR(AA418+0.5&gt;=93,AA418+0.5&lt;60),"",IF(MOD(AA418+0.5,10)&gt;=7,"+",IF(MOD(AA418+0.5,10)&lt;3,"-",""))),"")</f>
        <v>-</v>
      </c>
      <c r="AE418" s="32">
        <f>IF(A418&lt;&gt;"",SUM(W418:X418,$W$8:$X$8)/SUM($W$2:$X$2)*100,"")</f>
        <v>100</v>
      </c>
      <c r="AF418" s="32" t="str">
        <f>IF(A418&lt;&gt;"",CHOOSE(10-MIN(9,TRUNC((AE418+0.5)/10)),"A","B","C","D","F","F","F","F","F","F"),"")</f>
        <v>A</v>
      </c>
      <c r="AG418" s="32" t="str">
        <f>IF(A418&lt;&gt;"",IF(OR(AE418+0.5&gt;=93,AE418+0.5&lt;60),"",IF(MOD(AE418+0.5,10)&gt;=7,"+",IF(MOD(AE418+0.5,10)&lt;3,"-",""))),"")</f>
        <v/>
      </c>
      <c r="AH418" s="36">
        <f>IF(A418&lt;&gt;"",MIN(MAX(AA418,AE418),AA418+$AH$8,AE418+$AH$8),"")</f>
        <v>100</v>
      </c>
      <c r="AI418" s="32" t="str">
        <f>IF(A418&lt;&gt;"",CHOOSE(10-MIN(9,TRUNC((AH418+0.5)/10)),"A","B","C","D","F","F","F","F","F","F"),"")</f>
        <v>A</v>
      </c>
      <c r="AJ418" s="32" t="str">
        <f>IF(A418&lt;&gt;"",IF(OR(AH418+0.5&gt;=93,AH418+0.5&lt;60),"",IF(MOD(AH418+0.5,10)&gt;=7,"+",IF(MOD(AH418+0.5,10)&lt;3,"-",""))),"")</f>
        <v/>
      </c>
      <c r="AK418" s="71" t="b">
        <f>IF(A418&lt;&gt;"",OR(AI418&lt;&gt;AC418,AJ418&lt;&gt;AD418),"")</f>
        <v>1</v>
      </c>
      <c r="AL418" s="86">
        <f>IF(AND(A418&lt;&gt;"",U418&lt;&gt;""),SUM(U418,$AL$8)/$AL$2*100,"")</f>
        <v>88</v>
      </c>
      <c r="AM418" s="71">
        <f>IF(AND(A418&lt;&gt;"",V418&lt;&gt;""),SUM(V418,$AM$8)/$AM$2*100,"")</f>
        <v>81.538461538461533</v>
      </c>
      <c r="AN418" s="71">
        <f>IF(AND(A418&lt;&gt;"",ISNUMBER(P418),P418&gt;=0),SUM(P418,$AN$8)/$AN$2*100,"")</f>
        <v>100</v>
      </c>
      <c r="AO418" s="71" t="str">
        <f>IF(AND(A418&lt;&gt;"",ISNUMBER(Q418),Q418&gt;=0),SUM(Q418,$AO$8)/$AO$2*100,"")</f>
        <v/>
      </c>
      <c r="AP418" s="24" t="str">
        <f>IF(AND(A418&lt;&gt;"",R418&lt;&gt;""),SUM(R418,$AP$8)/$AP$2*100,"")</f>
        <v/>
      </c>
      <c r="AQ418" s="24">
        <f>IF(AND(A418&lt;&gt;"",ISNUMBER(W418),W418&gt;=0),SUM(W418,$AQ$8)/$AQ$2*100,"")</f>
        <v>100</v>
      </c>
      <c r="AR418" s="24" t="str">
        <f>IF(AND(A418&lt;&gt;"",T418&gt;0,ISNUMBER(T418)),SUM(T418,$AR$8)/$AR$2*100,"")</f>
        <v/>
      </c>
      <c r="AS418" s="24" t="str">
        <f>IF(AND(A418&lt;&gt;"",X418&lt;&gt;""),SUM(X418,$AS$8)/$AS$2*100,"")</f>
        <v/>
      </c>
      <c r="AT418" s="89">
        <f>IF(AND(A418&lt;&gt;"",OR(ISNUMBER(W418),ISNUMBER(X418))),SUM(W418:X418,$AT$8)/$AT$2*100,"")</f>
        <v>100</v>
      </c>
      <c r="AU418" s="24">
        <f>AA418</f>
        <v>89.508196721311478</v>
      </c>
      <c r="AV418" s="71"/>
      <c r="AW418" s="27">
        <f>IF(A418&lt;&gt;"",AE418-AA418,"")</f>
        <v>10.491803278688522</v>
      </c>
      <c r="AY418" s="27" t="b">
        <f>S418&gt;R418</f>
        <v>0</v>
      </c>
      <c r="BA418" s="27" t="e">
        <f>AND(AA418&gt;$BA$3,(W418+$W$8)/$W$2&lt;$BB$3,(X418+$X$8)/$X$2&lt;$BB$3)</f>
        <v>#VALUE!</v>
      </c>
      <c r="BB418" s="27" t="e">
        <f>AND(AA418&lt;$BA$3,AND(W418/$W$2&gt;$BB$3,X418/$X$2&gt;$BB$3))</f>
        <v>#VALUE!</v>
      </c>
      <c r="BC418" s="27" t="e">
        <f>AND(AA418&lt;$BA$3,OR(W418/$W$2&gt;$BB$3,X418/$X$2&gt;$BB$3))</f>
        <v>#VALUE!</v>
      </c>
      <c r="BE418" s="32">
        <v>32</v>
      </c>
    </row>
    <row r="419" spans="1:57" s="27" customFormat="1" ht="12.75" customHeight="1" x14ac:dyDescent="0.2">
      <c r="A419" s="10">
        <v>793794</v>
      </c>
      <c r="B419" s="2">
        <v>21</v>
      </c>
      <c r="C419" s="10">
        <v>23</v>
      </c>
      <c r="D419" s="10">
        <v>20</v>
      </c>
      <c r="E419" s="10"/>
      <c r="F419" s="10"/>
      <c r="G419" s="10"/>
      <c r="H419" s="10"/>
      <c r="I419" s="10"/>
      <c r="J419" s="2">
        <v>25</v>
      </c>
      <c r="K419" s="10">
        <v>36</v>
      </c>
      <c r="L419" s="10">
        <v>50</v>
      </c>
      <c r="M419" s="10"/>
      <c r="N419" s="93"/>
      <c r="O419" s="13"/>
      <c r="P419" s="10">
        <v>101</v>
      </c>
      <c r="Q419" s="10"/>
      <c r="R419" s="2"/>
      <c r="S419" s="10"/>
      <c r="T419" s="13"/>
      <c r="U419" s="7">
        <f t="array" ref="U419">IF(AND(A419&lt;&gt;"",OR(ISNUMBER(B419:I419))),SUM(B419:I419),"")</f>
        <v>64</v>
      </c>
      <c r="V419" s="10">
        <f t="array" ref="V419">IF(AND(A419&lt;&gt;"",OR(ISNUMBER(J419:O419))),SUM(J419:O419),"")</f>
        <v>111</v>
      </c>
      <c r="W419" s="10">
        <f t="array" ref="W419">IF(AND(A419&lt;&gt;"",OR(ISNUMBER(P419),ISNUMBER(Q419))),SUM(MAX(P419:Q419),Q419),"")</f>
        <v>101</v>
      </c>
      <c r="X419" s="10" t="str">
        <f t="array" ref="X419">IF(AND(A419&lt;&gt;"",OR(ISNUMBER(S419),ISNUMBER(T419))),SUM(S419,T419),"")</f>
        <v/>
      </c>
      <c r="Y419" s="13">
        <v>1</v>
      </c>
      <c r="Z419" s="13">
        <f>IF(A419&lt;&gt;"",SUM(U419:Y419),"")</f>
        <v>277</v>
      </c>
      <c r="AA419" s="27">
        <f>IF(A419&lt;&gt;"",(Z419+Normalize_To_Add)/(Point_Total_So_Far)*100,"")</f>
        <v>90.819672131147541</v>
      </c>
      <c r="AB419" s="10">
        <f>IF(A419&lt;&gt;"",RANK(AA419,All_Student_XC),"")</f>
        <v>324</v>
      </c>
      <c r="AC419" s="32" t="str">
        <f>IF(A419&lt;&gt;"",CHOOSE(10-MIN(9,TRUNC((AA419+0.5)/10)),"A","B","C","D","F","F","F","F","F","F"),"")</f>
        <v>A</v>
      </c>
      <c r="AD419" s="31" t="str">
        <f>IF(A419&lt;&gt;"",IF(OR(AA419+0.5&gt;=93,AA419+0.5&lt;60),"",IF(MOD(AA419+0.5,10)&gt;=7,"+",IF(MOD(AA419+0.5,10)&lt;3,"-",""))),"")</f>
        <v>-</v>
      </c>
      <c r="AE419" s="32">
        <f>IF(A419&lt;&gt;"",SUM(W419:X419,$W$8:$X$8)/SUM($W$2:$X$2)*100,"")</f>
        <v>101</v>
      </c>
      <c r="AF419" s="32" t="str">
        <f>IF(A419&lt;&gt;"",CHOOSE(10-MIN(9,TRUNC((AE419+0.5)/10)),"A","B","C","D","F","F","F","F","F","F"),"")</f>
        <v>A</v>
      </c>
      <c r="AG419" s="32" t="str">
        <f>IF(A419&lt;&gt;"",IF(OR(AE419+0.5&gt;=93,AE419+0.5&lt;60),"",IF(MOD(AE419+0.5,10)&gt;=7,"+",IF(MOD(AE419+0.5,10)&lt;3,"-",""))),"")</f>
        <v/>
      </c>
      <c r="AH419" s="36">
        <f>IF(A419&lt;&gt;"",MIN(MAX(AA419,AE419),AA419+$AH$8,AE419+$AH$8),"")</f>
        <v>101</v>
      </c>
      <c r="AI419" s="32" t="str">
        <f>IF(A419&lt;&gt;"",CHOOSE(10-MIN(9,TRUNC((AH419+0.5)/10)),"A","B","C","D","F","F","F","F","F","F"),"")</f>
        <v>A</v>
      </c>
      <c r="AJ419" s="32" t="str">
        <f>IF(A419&lt;&gt;"",IF(OR(AH419+0.5&gt;=93,AH419+0.5&lt;60),"",IF(MOD(AH419+0.5,10)&gt;=7,"+",IF(MOD(AH419+0.5,10)&lt;3,"-",""))),"")</f>
        <v/>
      </c>
      <c r="AK419" s="71" t="b">
        <f>IF(A419&lt;&gt;"",OR(AI419&lt;&gt;AC419,AJ419&lt;&gt;AD419),"")</f>
        <v>1</v>
      </c>
      <c r="AL419" s="86">
        <f>IF(AND(A419&lt;&gt;"",U419&lt;&gt;""),SUM(U419,$AL$8)/$AL$2*100,"")</f>
        <v>85.333333333333343</v>
      </c>
      <c r="AM419" s="71">
        <f>IF(AND(A419&lt;&gt;"",V419&lt;&gt;""),SUM(V419,$AM$8)/$AM$2*100,"")</f>
        <v>85.384615384615387</v>
      </c>
      <c r="AN419" s="71">
        <f>IF(AND(A419&lt;&gt;"",ISNUMBER(P419),P419&gt;=0),SUM(P419,$AN$8)/$AN$2*100,"")</f>
        <v>101</v>
      </c>
      <c r="AO419" s="71" t="str">
        <f>IF(AND(A419&lt;&gt;"",ISNUMBER(Q419),Q419&gt;=0),SUM(Q419,$AO$8)/$AO$2*100,"")</f>
        <v/>
      </c>
      <c r="AP419" s="24" t="str">
        <f>IF(AND(A419&lt;&gt;"",R419&lt;&gt;""),SUM(R419,$AP$8)/$AP$2*100,"")</f>
        <v/>
      </c>
      <c r="AQ419" s="24">
        <f>IF(AND(A419&lt;&gt;"",ISNUMBER(W419),W419&gt;=0),SUM(W419,$AQ$8)/$AQ$2*100,"")</f>
        <v>101</v>
      </c>
      <c r="AR419" s="24" t="str">
        <f>IF(AND(A419&lt;&gt;"",T419&gt;0,ISNUMBER(T419)),SUM(T419,$AR$8)/$AR$2*100,"")</f>
        <v/>
      </c>
      <c r="AS419" s="24" t="str">
        <f>IF(AND(A419&lt;&gt;"",X419&lt;&gt;""),SUM(X419,$AS$8)/$AS$2*100,"")</f>
        <v/>
      </c>
      <c r="AT419" s="89">
        <f>IF(AND(A419&lt;&gt;"",OR(ISNUMBER(W419),ISNUMBER(X419))),SUM(W419:X419,$AT$8)/$AT$2*100,"")</f>
        <v>101</v>
      </c>
      <c r="AU419" s="24">
        <f>AA419</f>
        <v>90.819672131147541</v>
      </c>
      <c r="AV419" s="71"/>
      <c r="AW419" s="27">
        <f>IF(A419&lt;&gt;"",AE419-AA419,"")</f>
        <v>10.180327868852459</v>
      </c>
      <c r="AY419" s="27" t="b">
        <f>S419&gt;R419</f>
        <v>0</v>
      </c>
      <c r="BA419" s="27" t="e">
        <f>AND(AA419&gt;$BA$3,(W419+$W$8)/$W$2&lt;$BB$3,(X419+$X$8)/$X$2&lt;$BB$3)</f>
        <v>#VALUE!</v>
      </c>
      <c r="BB419" s="27" t="e">
        <f>AND(AA419&lt;$BA$3,AND(W419/$W$2&gt;$BB$3,X419/$X$2&gt;$BB$3))</f>
        <v>#VALUE!</v>
      </c>
      <c r="BC419" s="27" t="e">
        <f>AND(AA419&lt;$BA$3,OR(W419/$W$2&gt;$BB$3,X419/$X$2&gt;$BB$3))</f>
        <v>#VALUE!</v>
      </c>
      <c r="BE419" s="32" t="s">
        <v>84</v>
      </c>
    </row>
    <row r="420" spans="1:57" s="27" customFormat="1" ht="12.75" customHeight="1" x14ac:dyDescent="0.2">
      <c r="A420" s="10">
        <v>793952</v>
      </c>
      <c r="B420" s="2">
        <v>15</v>
      </c>
      <c r="C420" s="10">
        <v>21</v>
      </c>
      <c r="D420" s="10">
        <v>25</v>
      </c>
      <c r="E420" s="10"/>
      <c r="F420" s="10"/>
      <c r="G420" s="10"/>
      <c r="H420" s="10"/>
      <c r="I420" s="10"/>
      <c r="J420" s="2">
        <v>27</v>
      </c>
      <c r="K420" s="10">
        <v>43</v>
      </c>
      <c r="L420" s="10">
        <v>49</v>
      </c>
      <c r="M420" s="10"/>
      <c r="N420" s="93"/>
      <c r="O420" s="13"/>
      <c r="P420" s="10">
        <v>100</v>
      </c>
      <c r="Q420" s="10"/>
      <c r="R420" s="2"/>
      <c r="S420" s="10"/>
      <c r="T420" s="13"/>
      <c r="U420" s="7">
        <f t="array" ref="U420">IF(AND(A420&lt;&gt;"",OR(ISNUMBER(B420:I420))),SUM(B420:I420),"")</f>
        <v>61</v>
      </c>
      <c r="V420" s="10">
        <f t="array" ref="V420">IF(AND(A420&lt;&gt;"",OR(ISNUMBER(J420:O420))),SUM(J420:O420),"")</f>
        <v>119</v>
      </c>
      <c r="W420" s="10">
        <f t="array" ref="W420">IF(AND(A420&lt;&gt;"",OR(ISNUMBER(P420),ISNUMBER(Q420))),SUM(MAX(P420:Q420),Q420),"")</f>
        <v>100</v>
      </c>
      <c r="X420" s="10" t="str">
        <f t="array" ref="X420">IF(AND(A420&lt;&gt;"",OR(ISNUMBER(S420),ISNUMBER(T420))),SUM(S420,T420),"")</f>
        <v/>
      </c>
      <c r="Y420" s="13">
        <v>1</v>
      </c>
      <c r="Z420" s="13">
        <f>IF(A420&lt;&gt;"",SUM(U420:Y420),"")</f>
        <v>281</v>
      </c>
      <c r="AA420" s="27">
        <f>IF(A420&lt;&gt;"",(Z420+Normalize_To_Add)/(Point_Total_So_Far)*100,"")</f>
        <v>92.131147540983605</v>
      </c>
      <c r="AB420" s="10">
        <f>IF(A420&lt;&gt;"",RANK(AA420,All_Student_XC),"")</f>
        <v>307</v>
      </c>
      <c r="AC420" s="32" t="str">
        <f>IF(A420&lt;&gt;"",CHOOSE(10-MIN(9,TRUNC((AA420+0.5)/10)),"A","B","C","D","F","F","F","F","F","F"),"")</f>
        <v>A</v>
      </c>
      <c r="AD420" s="31" t="str">
        <f>IF(A420&lt;&gt;"",IF(OR(AA420+0.5&gt;=93,AA420+0.5&lt;60),"",IF(MOD(AA420+0.5,10)&gt;=7,"+",IF(MOD(AA420+0.5,10)&lt;3,"-",""))),"")</f>
        <v>-</v>
      </c>
      <c r="AE420" s="32">
        <f>IF(A420&lt;&gt;"",SUM(W420:X420,$W$8:$X$8)/SUM($W$2:$X$2)*100,"")</f>
        <v>100</v>
      </c>
      <c r="AF420" s="32" t="str">
        <f>IF(A420&lt;&gt;"",CHOOSE(10-MIN(9,TRUNC((AE420+0.5)/10)),"A","B","C","D","F","F","F","F","F","F"),"")</f>
        <v>A</v>
      </c>
      <c r="AG420" s="32" t="str">
        <f>IF(A420&lt;&gt;"",IF(OR(AE420+0.5&gt;=93,AE420+0.5&lt;60),"",IF(MOD(AE420+0.5,10)&gt;=7,"+",IF(MOD(AE420+0.5,10)&lt;3,"-",""))),"")</f>
        <v/>
      </c>
      <c r="AH420" s="36">
        <f>IF(A420&lt;&gt;"",MIN(MAX(AA420,AE420),AA420+$AH$8,AE420+$AH$8),"")</f>
        <v>100</v>
      </c>
      <c r="AI420" s="32" t="str">
        <f>IF(A420&lt;&gt;"",CHOOSE(10-MIN(9,TRUNC((AH420+0.5)/10)),"A","B","C","D","F","F","F","F","F","F"),"")</f>
        <v>A</v>
      </c>
      <c r="AJ420" s="32" t="str">
        <f>IF(A420&lt;&gt;"",IF(OR(AH420+0.5&gt;=93,AH420+0.5&lt;60),"",IF(MOD(AH420+0.5,10)&gt;=7,"+",IF(MOD(AH420+0.5,10)&lt;3,"-",""))),"")</f>
        <v/>
      </c>
      <c r="AK420" s="71" t="b">
        <f>IF(A420&lt;&gt;"",OR(AI420&lt;&gt;AC420,AJ420&lt;&gt;AD420),"")</f>
        <v>1</v>
      </c>
      <c r="AL420" s="86">
        <f>IF(AND(A420&lt;&gt;"",U420&lt;&gt;""),SUM(U420,$AL$8)/$AL$2*100,"")</f>
        <v>81.333333333333329</v>
      </c>
      <c r="AM420" s="71">
        <f>IF(AND(A420&lt;&gt;"",V420&lt;&gt;""),SUM(V420,$AM$8)/$AM$2*100,"")</f>
        <v>91.538461538461533</v>
      </c>
      <c r="AN420" s="71">
        <f>IF(AND(A420&lt;&gt;"",ISNUMBER(P420),P420&gt;=0),SUM(P420,$AN$8)/$AN$2*100,"")</f>
        <v>100</v>
      </c>
      <c r="AO420" s="71" t="str">
        <f>IF(AND(A420&lt;&gt;"",ISNUMBER(Q420),Q420&gt;=0),SUM(Q420,$AO$8)/$AO$2*100,"")</f>
        <v/>
      </c>
      <c r="AP420" s="24" t="str">
        <f>IF(AND(A420&lt;&gt;"",R420&lt;&gt;""),SUM(R420,$AP$8)/$AP$2*100,"")</f>
        <v/>
      </c>
      <c r="AQ420" s="24">
        <f>IF(AND(A420&lt;&gt;"",ISNUMBER(W420),W420&gt;=0),SUM(W420,$AQ$8)/$AQ$2*100,"")</f>
        <v>100</v>
      </c>
      <c r="AR420" s="24" t="str">
        <f>IF(AND(A420&lt;&gt;"",T420&gt;0,ISNUMBER(T420)),SUM(T420,$AR$8)/$AR$2*100,"")</f>
        <v/>
      </c>
      <c r="AS420" s="24" t="str">
        <f>IF(AND(A420&lt;&gt;"",X420&lt;&gt;""),SUM(X420,$AS$8)/$AS$2*100,"")</f>
        <v/>
      </c>
      <c r="AT420" s="89">
        <f>IF(AND(A420&lt;&gt;"",OR(ISNUMBER(W420),ISNUMBER(X420))),SUM(W420:X420,$AT$8)/$AT$2*100,"")</f>
        <v>100</v>
      </c>
      <c r="AU420" s="24">
        <f>AA420</f>
        <v>92.131147540983605</v>
      </c>
      <c r="AV420" s="71"/>
      <c r="AW420" s="27">
        <f>IF(A420&lt;&gt;"",AE420-AA420,"")</f>
        <v>7.8688524590163951</v>
      </c>
      <c r="AY420" s="27" t="b">
        <f>S420&gt;R420</f>
        <v>0</v>
      </c>
      <c r="BA420" s="27" t="e">
        <f>AND(AA420&gt;$BA$3,(W420+$W$8)/$W$2&lt;$BB$3,(X420+$X$8)/$X$2&lt;$BB$3)</f>
        <v>#VALUE!</v>
      </c>
      <c r="BB420" s="27" t="e">
        <f>AND(AA420&lt;$BA$3,AND(W420/$W$2&gt;$BB$3,X420/$X$2&gt;$BB$3))</f>
        <v>#VALUE!</v>
      </c>
      <c r="BC420" s="27" t="e">
        <f>AND(AA420&lt;$BA$3,OR(W420/$W$2&gt;$BB$3,X420/$X$2&gt;$BB$3))</f>
        <v>#VALUE!</v>
      </c>
      <c r="BE420" s="32">
        <v>32</v>
      </c>
    </row>
    <row r="421" spans="1:57" s="27" customFormat="1" ht="12.75" customHeight="1" x14ac:dyDescent="0.2">
      <c r="A421" s="10">
        <v>795458</v>
      </c>
      <c r="B421" s="2">
        <v>22</v>
      </c>
      <c r="C421" s="10">
        <v>23</v>
      </c>
      <c r="D421" s="10">
        <v>25</v>
      </c>
      <c r="E421" s="10"/>
      <c r="F421" s="10"/>
      <c r="G421" s="10"/>
      <c r="H421" s="10"/>
      <c r="I421" s="10"/>
      <c r="J421" s="2">
        <v>28</v>
      </c>
      <c r="K421" s="10">
        <v>44</v>
      </c>
      <c r="L421" s="10">
        <v>51</v>
      </c>
      <c r="M421" s="10"/>
      <c r="N421" s="10"/>
      <c r="O421" s="12"/>
      <c r="P421" s="7">
        <v>101</v>
      </c>
      <c r="Q421" s="7"/>
      <c r="R421" s="2"/>
      <c r="S421" s="10"/>
      <c r="T421" s="13"/>
      <c r="U421" s="7">
        <f t="array" ref="U421">IF(AND(A421&lt;&gt;"",OR(ISNUMBER(B421:I421))),SUM(B421:I421),"")</f>
        <v>70</v>
      </c>
      <c r="V421" s="10">
        <f t="array" ref="V421">IF(AND(A421&lt;&gt;"",OR(ISNUMBER(J421:O421))),SUM(J421:O421),"")</f>
        <v>123</v>
      </c>
      <c r="W421" s="10">
        <f t="array" ref="W421">IF(AND(A421&lt;&gt;"",OR(ISNUMBER(P421),ISNUMBER(Q421))),SUM(MAX(P421:Q421),Q421),"")</f>
        <v>101</v>
      </c>
      <c r="X421" s="10" t="str">
        <f t="array" ref="X421">IF(AND(A421&lt;&gt;"",OR(ISNUMBER(S421),ISNUMBER(T421))),SUM(S421,T421),"")</f>
        <v/>
      </c>
      <c r="Y421" s="13">
        <v>1</v>
      </c>
      <c r="Z421" s="13">
        <f>IF(A421&lt;&gt;"",SUM(U421:Y421),"")</f>
        <v>295</v>
      </c>
      <c r="AA421" s="27">
        <f>IF(A421&lt;&gt;"",(Z421+Normalize_To_Add)/(Point_Total_So_Far)*100,"")</f>
        <v>96.721311475409834</v>
      </c>
      <c r="AB421" s="10">
        <f>IF(A421&lt;&gt;"",RANK(AA421,All_Student_XC),"")</f>
        <v>243</v>
      </c>
      <c r="AC421" s="32" t="str">
        <f>IF(A421&lt;&gt;"",CHOOSE(10-MIN(9,TRUNC((AA421+0.5)/10)),"A","B","C","D","F","F","F","F","F","F"),"")</f>
        <v>A</v>
      </c>
      <c r="AD421" s="32" t="str">
        <f>IF(A421&lt;&gt;"",IF(OR(AA421+0.5&gt;=93,AA421+0.5&lt;60),"",IF(MOD(AA421+0.5,10)&gt;=7,"+",IF(MOD(AA421+0.5,10)&lt;3,"-",""))),"")</f>
        <v/>
      </c>
      <c r="AE421" s="32">
        <f>IF(A421&lt;&gt;"",SUM(W421:X421,$W$8:$X$8)/SUM($W$2:$X$2)*100,"")</f>
        <v>101</v>
      </c>
      <c r="AF421" s="32" t="str">
        <f>IF(A421&lt;&gt;"",CHOOSE(10-MIN(9,TRUNC((AE421+0.5)/10)),"A","B","C","D","F","F","F","F","F","F"),"")</f>
        <v>A</v>
      </c>
      <c r="AG421" s="32" t="str">
        <f>IF(A421&lt;&gt;"",IF(OR(AE421+0.5&gt;=93,AE421+0.5&lt;60),"",IF(MOD(AE421+0.5,10)&gt;=7,"+",IF(MOD(AE421+0.5,10)&lt;3,"-",""))),"")</f>
        <v/>
      </c>
      <c r="AH421" s="36">
        <f>IF(A421&lt;&gt;"",MIN(MAX(AA421,AE421),AA421+$AH$8,AE421+$AH$8),"")</f>
        <v>101</v>
      </c>
      <c r="AI421" s="32" t="str">
        <f>IF(A421&lt;&gt;"",CHOOSE(10-MIN(9,TRUNC((AH421+0.5)/10)),"A","B","C","D","F","F","F","F","F","F"),"")</f>
        <v>A</v>
      </c>
      <c r="AJ421" s="32" t="str">
        <f>IF(A421&lt;&gt;"",IF(OR(AH421+0.5&gt;=93,AH421+0.5&lt;60),"",IF(MOD(AH421+0.5,10)&gt;=7,"+",IF(MOD(AH421+0.5,10)&lt;3,"-",""))),"")</f>
        <v/>
      </c>
      <c r="AK421" s="32" t="b">
        <f>IF(A421&lt;&gt;"",OR(AI421&lt;&gt;AC421,AJ421&lt;&gt;AD421),"")</f>
        <v>0</v>
      </c>
      <c r="AL421" s="84">
        <f>IF(AND(A421&lt;&gt;"",U421&lt;&gt;""),SUM(U421,$AL$8)/$AL$2*100,"")</f>
        <v>93.333333333333329</v>
      </c>
      <c r="AM421" s="24">
        <f>IF(AND(A421&lt;&gt;"",V421&lt;&gt;""),SUM(V421,$AM$8)/$AM$2*100,"")</f>
        <v>94.615384615384613</v>
      </c>
      <c r="AN421" s="24">
        <f>IF(AND(A421&lt;&gt;"",ISNUMBER(P421),P421&gt;=0),SUM(P421,$AN$8)/$AN$2*100,"")</f>
        <v>101</v>
      </c>
      <c r="AO421" s="24" t="str">
        <f>IF(AND(A421&lt;&gt;"",ISNUMBER(Q421),Q421&gt;=0),SUM(Q421,$AO$8)/$AO$2*100,"")</f>
        <v/>
      </c>
      <c r="AP421" s="24" t="str">
        <f>IF(AND(A421&lt;&gt;"",R421&lt;&gt;""),SUM(R421,$AP$8)/$AP$2*100,"")</f>
        <v/>
      </c>
      <c r="AQ421" s="24">
        <f>IF(AND(A421&lt;&gt;"",ISNUMBER(W421),W421&gt;=0),SUM(W421,$AQ$8)/$AQ$2*100,"")</f>
        <v>101</v>
      </c>
      <c r="AR421" s="24" t="str">
        <f>IF(AND(A421&lt;&gt;"",T421&gt;0,ISNUMBER(T421)),SUM(T421,$AR$8)/$AR$2*100,"")</f>
        <v/>
      </c>
      <c r="AS421" s="24" t="str">
        <f>IF(AND(A421&lt;&gt;"",X421&lt;&gt;""),SUM(X421,$AS$8)/$AS$2*100,"")</f>
        <v/>
      </c>
      <c r="AT421" s="89">
        <f>IF(AND(A421&lt;&gt;"",OR(ISNUMBER(W421),ISNUMBER(X421))),SUM(W421:X421,$AT$8)/$AT$2*100,"")</f>
        <v>101</v>
      </c>
      <c r="AU421" s="24">
        <f>AA421</f>
        <v>96.721311475409834</v>
      </c>
      <c r="AV421" s="24"/>
      <c r="AW421" s="27">
        <f>IF(A421&lt;&gt;"",AE421-AA421,"")</f>
        <v>4.2786885245901658</v>
      </c>
      <c r="AY421" s="27" t="b">
        <f>S421&gt;R421</f>
        <v>0</v>
      </c>
      <c r="BA421" s="27" t="e">
        <f>AND(AA421&gt;$BA$3,(W421+$W$8)/$W$2&lt;$BB$3,(X421+$X$8)/$X$2&lt;$BB$3)</f>
        <v>#VALUE!</v>
      </c>
      <c r="BB421" s="27" t="e">
        <f>AND(AA421&lt;$BA$3,AND(W421/$W$2&gt;$BB$3,X421/$X$2&gt;$BB$3))</f>
        <v>#VALUE!</v>
      </c>
      <c r="BC421" s="27" t="e">
        <f>AND(AA421&lt;$BA$3,OR(W421/$W$2&gt;$BB$3,X421/$X$2&gt;$BB$3))</f>
        <v>#VALUE!</v>
      </c>
      <c r="BE421" s="32">
        <v>32</v>
      </c>
    </row>
    <row r="422" spans="1:57" s="27" customFormat="1" ht="12.75" customHeight="1" x14ac:dyDescent="0.2">
      <c r="A422" s="10">
        <v>795800</v>
      </c>
      <c r="B422" s="2">
        <v>23</v>
      </c>
      <c r="C422" s="10">
        <v>20</v>
      </c>
      <c r="D422" s="10">
        <v>25</v>
      </c>
      <c r="E422" s="10"/>
      <c r="F422" s="10"/>
      <c r="G422" s="3"/>
      <c r="H422" s="10"/>
      <c r="I422" s="10"/>
      <c r="J422" s="2">
        <v>28</v>
      </c>
      <c r="K422" s="10">
        <v>21</v>
      </c>
      <c r="L422" s="10">
        <v>49</v>
      </c>
      <c r="M422" s="10"/>
      <c r="N422" s="10"/>
      <c r="O422" s="12"/>
      <c r="P422" s="7">
        <v>100</v>
      </c>
      <c r="Q422" s="7"/>
      <c r="R422" s="2"/>
      <c r="S422" s="10"/>
      <c r="T422" s="13"/>
      <c r="U422" s="35">
        <f t="array" ref="U422">IF(AND(A422&lt;&gt;"",OR(ISNUMBER(B422:I422))),SUM(B422:I422),"")</f>
        <v>68</v>
      </c>
      <c r="V422" s="10">
        <f t="array" ref="V422">IF(AND(A422&lt;&gt;"",OR(ISNUMBER(J422:O422))),SUM(J422:O422),"")</f>
        <v>98</v>
      </c>
      <c r="W422" s="10">
        <f t="array" ref="W422">IF(AND(A422&lt;&gt;"",OR(ISNUMBER(P422),ISNUMBER(Q422))),SUM(MAX(P422:Q422),Q422),"")</f>
        <v>100</v>
      </c>
      <c r="X422" s="10" t="str">
        <f t="array" ref="X422">IF(AND(A422&lt;&gt;"",OR(ISNUMBER(S422),ISNUMBER(T422))),SUM(S422,T422),"")</f>
        <v/>
      </c>
      <c r="Y422" s="13">
        <v>1</v>
      </c>
      <c r="Z422" s="13">
        <f>IF(A422&lt;&gt;"",SUM(U422:Y422),"")</f>
        <v>267</v>
      </c>
      <c r="AA422" s="27">
        <f>IF(A422&lt;&gt;"",(Z422+Normalize_To_Add)/(Point_Total_So_Far)*100,"")</f>
        <v>87.540983606557376</v>
      </c>
      <c r="AB422" s="10">
        <f>IF(A422&lt;&gt;"",RANK(AA422,All_Student_XC),"")</f>
        <v>357</v>
      </c>
      <c r="AC422" s="32" t="str">
        <f>IF(A422&lt;&gt;"",CHOOSE(10-MIN(9,TRUNC((AA422+0.5)/10)),"A","B","C","D","F","F","F","F","F","F"),"")</f>
        <v>B</v>
      </c>
      <c r="AD422" s="32" t="str">
        <f>IF(A422&lt;&gt;"",IF(OR(AA422+0.5&gt;=93,AA422+0.5&lt;60),"",IF(MOD(AA422+0.5,10)&gt;=7,"+",IF(MOD(AA422+0.5,10)&lt;3,"-",""))),"")</f>
        <v>+</v>
      </c>
      <c r="AE422" s="32">
        <f>IF(A422&lt;&gt;"",SUM(W422:X422,$W$8:$X$8)/SUM($W$2:$X$2)*100,"")</f>
        <v>100</v>
      </c>
      <c r="AF422" s="32" t="str">
        <f>IF(A422&lt;&gt;"",CHOOSE(10-MIN(9,TRUNC((AE422+0.5)/10)),"A","B","C","D","F","F","F","F","F","F"),"")</f>
        <v>A</v>
      </c>
      <c r="AG422" s="32" t="str">
        <f>IF(A422&lt;&gt;"",IF(OR(AE422+0.5&gt;=93,AE422+0.5&lt;60),"",IF(MOD(AE422+0.5,10)&gt;=7,"+",IF(MOD(AE422+0.5,10)&lt;3,"-",""))),"")</f>
        <v/>
      </c>
      <c r="AH422" s="36">
        <f>IF(A422&lt;&gt;"",MIN(MAX(AA422,AE422),AA422+$AH$8,AE422+$AH$8),"")</f>
        <v>100</v>
      </c>
      <c r="AI422" s="32" t="str">
        <f>IF(A422&lt;&gt;"",CHOOSE(10-MIN(9,TRUNC((AH422+0.5)/10)),"A","B","C","D","F","F","F","F","F","F"),"")</f>
        <v>A</v>
      </c>
      <c r="AJ422" s="32" t="str">
        <f>IF(A422&lt;&gt;"",IF(OR(AH422+0.5&gt;=93,AH422+0.5&lt;60),"",IF(MOD(AH422+0.5,10)&gt;=7,"+",IF(MOD(AH422+0.5,10)&lt;3,"-",""))),"")</f>
        <v/>
      </c>
      <c r="AK422" s="32" t="b">
        <f>IF(A422&lt;&gt;"",OR(AI422&lt;&gt;AC422,AJ422&lt;&gt;AD422),"")</f>
        <v>1</v>
      </c>
      <c r="AL422" s="84">
        <f>IF(AND(A422&lt;&gt;"",U422&lt;&gt;""),SUM(U422,$AL$8)/$AL$2*100,"")</f>
        <v>90.666666666666657</v>
      </c>
      <c r="AM422" s="24">
        <f>IF(AND(A422&lt;&gt;"",V422&lt;&gt;""),SUM(V422,$AM$8)/$AM$2*100,"")</f>
        <v>75.384615384615387</v>
      </c>
      <c r="AN422" s="24">
        <f>IF(AND(A422&lt;&gt;"",ISNUMBER(P422),P422&gt;=0),SUM(P422,$AN$8)/$AN$2*100,"")</f>
        <v>100</v>
      </c>
      <c r="AO422" s="24" t="str">
        <f>IF(AND(A422&lt;&gt;"",ISNUMBER(Q422),Q422&gt;=0),SUM(Q422,$AO$8)/$AO$2*100,"")</f>
        <v/>
      </c>
      <c r="AP422" s="24" t="str">
        <f>IF(AND(A422&lt;&gt;"",R422&lt;&gt;""),SUM(R422,$AP$8)/$AP$2*100,"")</f>
        <v/>
      </c>
      <c r="AQ422" s="24">
        <f>IF(AND(A422&lt;&gt;"",ISNUMBER(W422),W422&gt;=0),SUM(W422,$AQ$8)/$AQ$2*100,"")</f>
        <v>100</v>
      </c>
      <c r="AR422" s="24" t="str">
        <f>IF(AND(A422&lt;&gt;"",T422&gt;0,ISNUMBER(T422)),SUM(T422,$AR$8)/$AR$2*100,"")</f>
        <v/>
      </c>
      <c r="AS422" s="24" t="str">
        <f>IF(AND(A422&lt;&gt;"",X422&lt;&gt;""),SUM(X422,$AS$8)/$AS$2*100,"")</f>
        <v/>
      </c>
      <c r="AT422" s="89">
        <f>IF(AND(A422&lt;&gt;"",OR(ISNUMBER(W422),ISNUMBER(X422))),SUM(W422:X422,$AT$8)/$AT$2*100,"")</f>
        <v>100</v>
      </c>
      <c r="AU422" s="24">
        <f>AA422</f>
        <v>87.540983606557376</v>
      </c>
      <c r="AV422" s="24"/>
      <c r="AW422" s="27">
        <f>IF(A422&lt;&gt;"",AE422-AA422,"")</f>
        <v>12.459016393442624</v>
      </c>
      <c r="AY422" s="27" t="b">
        <f>S422&gt;R422</f>
        <v>0</v>
      </c>
      <c r="BA422" s="27" t="e">
        <f>AND(AA422&gt;$BA$3,(W422+$W$8)/$W$2&lt;$BB$3,(X422+$X$8)/$X$2&lt;$BB$3)</f>
        <v>#VALUE!</v>
      </c>
      <c r="BB422" s="27" t="e">
        <f>AND(AA422&lt;$BA$3,AND(W422/$W$2&gt;$BB$3,X422/$X$2&gt;$BB$3))</f>
        <v>#VALUE!</v>
      </c>
      <c r="BC422" s="27" t="e">
        <f>AND(AA422&lt;$BA$3,OR(W422/$W$2&gt;$BB$3,X422/$X$2&gt;$BB$3))</f>
        <v>#VALUE!</v>
      </c>
      <c r="BE422" s="32">
        <v>32</v>
      </c>
    </row>
    <row r="423" spans="1:57" s="27" customFormat="1" ht="12.75" customHeight="1" x14ac:dyDescent="0.2">
      <c r="A423" s="10">
        <v>799954</v>
      </c>
      <c r="B423" s="2">
        <v>6</v>
      </c>
      <c r="C423" s="10">
        <v>11</v>
      </c>
      <c r="D423" s="10">
        <v>19</v>
      </c>
      <c r="E423" s="10"/>
      <c r="F423" s="10"/>
      <c r="G423" s="3"/>
      <c r="H423" s="10"/>
      <c r="I423" s="10"/>
      <c r="J423" s="2">
        <v>20</v>
      </c>
      <c r="K423" s="10">
        <v>50</v>
      </c>
      <c r="L423" s="10">
        <v>44</v>
      </c>
      <c r="M423" s="10"/>
      <c r="N423" s="10"/>
      <c r="O423" s="12"/>
      <c r="P423" s="41">
        <v>40</v>
      </c>
      <c r="Q423" s="41"/>
      <c r="R423" s="2"/>
      <c r="S423" s="10"/>
      <c r="T423" s="13"/>
      <c r="U423" s="7">
        <f t="array" ref="U423">IF(AND(A423&lt;&gt;"",OR(ISNUMBER(B423:I423))),SUM(B423:I423),"")</f>
        <v>36</v>
      </c>
      <c r="V423" s="10">
        <f t="array" ref="V423">IF(AND(A423&lt;&gt;"",OR(ISNUMBER(J423:O423))),SUM(J423:O423),"")</f>
        <v>114</v>
      </c>
      <c r="W423" s="10">
        <f t="array" ref="W423">IF(AND(A423&lt;&gt;"",OR(ISNUMBER(P423),ISNUMBER(Q423))),SUM(MAX(P423:Q423),Q423),"")</f>
        <v>40</v>
      </c>
      <c r="X423" s="10" t="str">
        <f t="array" ref="X423">IF(AND(A423&lt;&gt;"",OR(ISNUMBER(S423),ISNUMBER(T423))),SUM(S423,T423),"")</f>
        <v/>
      </c>
      <c r="Y423" s="13">
        <v>1</v>
      </c>
      <c r="Z423" s="13">
        <f>IF(A423&lt;&gt;"",SUM(U423:Y423),"")</f>
        <v>191</v>
      </c>
      <c r="AA423" s="27">
        <f>IF(A423&lt;&gt;"",(Z423+Normalize_To_Add)/(Point_Total_So_Far)*100,"")</f>
        <v>62.622950819672127</v>
      </c>
      <c r="AB423" s="10">
        <f>IF(A423&lt;&gt;"",RANK(AA423,All_Student_XC),"")</f>
        <v>471</v>
      </c>
      <c r="AC423" s="32" t="str">
        <f>IF(A423&lt;&gt;"",CHOOSE(10-MIN(9,TRUNC((AA423+0.5)/10)),"A","B","C","D","F","F","F","F","F","F"),"")</f>
        <v>D</v>
      </c>
      <c r="AD423" s="32" t="str">
        <f>IF(A423&lt;&gt;"",IF(OR(AA423+0.5&gt;=93,AA423+0.5&lt;60),"",IF(MOD(AA423+0.5,10)&gt;=7,"+",IF(MOD(AA423+0.5,10)&lt;3,"-",""))),"")</f>
        <v/>
      </c>
      <c r="AE423" s="32">
        <f>IF(A423&lt;&gt;"",SUM(W423:X423,$W$8:$X$8)/SUM($W$2:$X$2)*100,"")</f>
        <v>40</v>
      </c>
      <c r="AF423" s="44" t="str">
        <f>IF(A423&lt;&gt;"",CHOOSE(10-MIN(9,TRUNC((AE423+0.5)/10)),"A","B","C","D","F","F","F","F","F","F"),"")</f>
        <v>F</v>
      </c>
      <c r="AG423" s="44" t="str">
        <f>IF(A423&lt;&gt;"",IF(OR(AE423+0.5&gt;=93,AE423+0.5&lt;60),"",IF(MOD(AE423+0.5,10)&gt;=7,"+",IF(MOD(AE423+0.5,10)&lt;3,"-",""))),"")</f>
        <v/>
      </c>
      <c r="AH423" s="36">
        <f>IF(A423&lt;&gt;"",MIN(MAX(AA423,AE423),AA423+$AH$8,AE423+$AH$8),"")</f>
        <v>62.622950819672127</v>
      </c>
      <c r="AI423" s="32" t="str">
        <f>IF(A423&lt;&gt;"",CHOOSE(10-MIN(9,TRUNC((AH423+0.5)/10)),"A","B","C","D","F","F","F","F","F","F"),"")</f>
        <v>D</v>
      </c>
      <c r="AJ423" s="32" t="str">
        <f>IF(A423&lt;&gt;"",IF(OR(AH423+0.5&gt;=93,AH423+0.5&lt;60),"",IF(MOD(AH423+0.5,10)&gt;=7,"+",IF(MOD(AH423+0.5,10)&lt;3,"-",""))),"")</f>
        <v/>
      </c>
      <c r="AK423" s="32" t="b">
        <f>IF(A423&lt;&gt;"",OR(AI423&lt;&gt;AC423,AJ423&lt;&gt;AD423),"")</f>
        <v>0</v>
      </c>
      <c r="AL423" s="84">
        <f>IF(AND(A423&lt;&gt;"",U423&lt;&gt;""),SUM(U423,$AL$8)/$AL$2*100,"")</f>
        <v>48</v>
      </c>
      <c r="AM423" s="24">
        <f>IF(AND(A423&lt;&gt;"",V423&lt;&gt;""),SUM(V423,$AM$8)/$AM$2*100,"")</f>
        <v>87.692307692307693</v>
      </c>
      <c r="AN423" s="24">
        <f>IF(AND(A423&lt;&gt;"",ISNUMBER(P423),P423&gt;=0),SUM(P423,$AN$8)/$AN$2*100,"")</f>
        <v>40</v>
      </c>
      <c r="AO423" s="24" t="str">
        <f>IF(AND(A423&lt;&gt;"",ISNUMBER(Q423),Q423&gt;=0),SUM(Q423,$AO$8)/$AO$2*100,"")</f>
        <v/>
      </c>
      <c r="AP423" s="24" t="str">
        <f>IF(AND(A423&lt;&gt;"",R423&lt;&gt;""),SUM(R423,$AP$8)/$AP$2*100,"")</f>
        <v/>
      </c>
      <c r="AQ423" s="24">
        <f>IF(AND(A423&lt;&gt;"",ISNUMBER(W423),W423&gt;=0),SUM(W423,$AQ$8)/$AQ$2*100,"")</f>
        <v>40</v>
      </c>
      <c r="AR423" s="24" t="str">
        <f>IF(AND(A423&lt;&gt;"",T423&gt;0,ISNUMBER(T423)),SUM(T423,$AR$8)/$AR$2*100,"")</f>
        <v/>
      </c>
      <c r="AS423" s="24" t="str">
        <f>IF(AND(A423&lt;&gt;"",X423&lt;&gt;""),SUM(X423,$AS$8)/$AS$2*100,"")</f>
        <v/>
      </c>
      <c r="AT423" s="89">
        <f>IF(AND(A423&lt;&gt;"",OR(ISNUMBER(W423),ISNUMBER(X423))),SUM(W423:X423,$AT$8)/$AT$2*100,"")</f>
        <v>40</v>
      </c>
      <c r="AU423" s="24">
        <f>AA423</f>
        <v>62.622950819672127</v>
      </c>
      <c r="AV423" s="24"/>
      <c r="AW423" s="27">
        <f>IF(A423&lt;&gt;"",AE423-AA423,"")</f>
        <v>-22.622950819672127</v>
      </c>
      <c r="AY423" s="27" t="b">
        <f>S423&gt;R423</f>
        <v>0</v>
      </c>
      <c r="BA423" s="27" t="e">
        <f>AND(AA423&gt;$BA$3,(W423+$W$8)/$W$2&lt;$BB$3,(X423+$X$8)/$X$2&lt;$BB$3)</f>
        <v>#VALUE!</v>
      </c>
      <c r="BB423" s="27" t="e">
        <f>AND(AA423&lt;$BA$3,AND(W423/$W$2&gt;$BB$3,X423/$X$2&gt;$BB$3))</f>
        <v>#VALUE!</v>
      </c>
      <c r="BC423" s="27" t="e">
        <f>AND(AA423&lt;$BA$3,OR(W423/$W$2&gt;$BB$3,X423/$X$2&gt;$BB$3))</f>
        <v>#VALUE!</v>
      </c>
      <c r="BE423" s="32">
        <v>32</v>
      </c>
    </row>
    <row r="424" spans="1:57" s="27" customFormat="1" ht="12.75" customHeight="1" x14ac:dyDescent="0.2">
      <c r="A424" s="10">
        <v>800317</v>
      </c>
      <c r="B424" s="2">
        <v>12</v>
      </c>
      <c r="C424" s="10">
        <v>18</v>
      </c>
      <c r="D424" s="10">
        <v>20</v>
      </c>
      <c r="E424" s="10"/>
      <c r="F424" s="10"/>
      <c r="G424" s="10"/>
      <c r="H424" s="10"/>
      <c r="I424" s="10"/>
      <c r="J424" s="2">
        <v>31</v>
      </c>
      <c r="K424" s="10">
        <v>44</v>
      </c>
      <c r="L424" s="10">
        <v>46</v>
      </c>
      <c r="M424" s="10"/>
      <c r="N424" s="93"/>
      <c r="O424" s="13"/>
      <c r="P424" s="10">
        <v>101</v>
      </c>
      <c r="Q424" s="10"/>
      <c r="R424" s="2"/>
      <c r="S424" s="10"/>
      <c r="T424" s="13"/>
      <c r="U424" s="7">
        <f t="array" ref="U424">IF(AND(A424&lt;&gt;"",OR(ISNUMBER(B424:I424))),SUM(B424:I424),"")</f>
        <v>50</v>
      </c>
      <c r="V424" s="10">
        <f t="array" ref="V424">IF(AND(A424&lt;&gt;"",OR(ISNUMBER(J424:O424))),SUM(J424:O424),"")</f>
        <v>121</v>
      </c>
      <c r="W424" s="10">
        <f t="array" ref="W424">IF(AND(A424&lt;&gt;"",OR(ISNUMBER(P424),ISNUMBER(Q424))),SUM(MAX(P424:Q424),Q424),"")</f>
        <v>101</v>
      </c>
      <c r="X424" s="10" t="str">
        <f t="array" ref="X424">IF(AND(A424&lt;&gt;"",OR(ISNUMBER(S424),ISNUMBER(T424))),SUM(S424,T424),"")</f>
        <v/>
      </c>
      <c r="Y424" s="13">
        <v>1</v>
      </c>
      <c r="Z424" s="13">
        <f>IF(A424&lt;&gt;"",SUM(U424:Y424),"")</f>
        <v>273</v>
      </c>
      <c r="AA424" s="27">
        <f>IF(A424&lt;&gt;"",(Z424+Normalize_To_Add)/(Point_Total_So_Far)*100,"")</f>
        <v>89.508196721311478</v>
      </c>
      <c r="AB424" s="10">
        <f>IF(A424&lt;&gt;"",RANK(AA424,All_Student_XC),"")</f>
        <v>340</v>
      </c>
      <c r="AC424" s="32" t="str">
        <f>IF(A424&lt;&gt;"",CHOOSE(10-MIN(9,TRUNC((AA424+0.5)/10)),"A","B","C","D","F","F","F","F","F","F"),"")</f>
        <v>A</v>
      </c>
      <c r="AD424" s="31" t="str">
        <f>IF(A424&lt;&gt;"",IF(OR(AA424+0.5&gt;=93,AA424+0.5&lt;60),"",IF(MOD(AA424+0.5,10)&gt;=7,"+",IF(MOD(AA424+0.5,10)&lt;3,"-",""))),"")</f>
        <v>-</v>
      </c>
      <c r="AE424" s="32">
        <f>IF(A424&lt;&gt;"",SUM(W424:X424,$W$8:$X$8)/SUM($W$2:$X$2)*100,"")</f>
        <v>101</v>
      </c>
      <c r="AF424" s="32" t="str">
        <f>IF(A424&lt;&gt;"",CHOOSE(10-MIN(9,TRUNC((AE424+0.5)/10)),"A","B","C","D","F","F","F","F","F","F"),"")</f>
        <v>A</v>
      </c>
      <c r="AG424" s="32" t="str">
        <f>IF(A424&lt;&gt;"",IF(OR(AE424+0.5&gt;=93,AE424+0.5&lt;60),"",IF(MOD(AE424+0.5,10)&gt;=7,"+",IF(MOD(AE424+0.5,10)&lt;3,"-",""))),"")</f>
        <v/>
      </c>
      <c r="AH424" s="36">
        <f>IF(A424&lt;&gt;"",MIN(MAX(AA424,AE424),AA424+$AH$8,AE424+$AH$8),"")</f>
        <v>101</v>
      </c>
      <c r="AI424" s="32" t="str">
        <f>IF(A424&lt;&gt;"",CHOOSE(10-MIN(9,TRUNC((AH424+0.5)/10)),"A","B","C","D","F","F","F","F","F","F"),"")</f>
        <v>A</v>
      </c>
      <c r="AJ424" s="32" t="str">
        <f>IF(A424&lt;&gt;"",IF(OR(AH424+0.5&gt;=93,AH424+0.5&lt;60),"",IF(MOD(AH424+0.5,10)&gt;=7,"+",IF(MOD(AH424+0.5,10)&lt;3,"-",""))),"")</f>
        <v/>
      </c>
      <c r="AK424" s="71" t="b">
        <f>IF(A424&lt;&gt;"",OR(AI424&lt;&gt;AC424,AJ424&lt;&gt;AD424),"")</f>
        <v>1</v>
      </c>
      <c r="AL424" s="86">
        <f>IF(AND(A424&lt;&gt;"",U424&lt;&gt;""),SUM(U424,$AL$8)/$AL$2*100,"")</f>
        <v>66.666666666666657</v>
      </c>
      <c r="AM424" s="71">
        <f>IF(AND(A424&lt;&gt;"",V424&lt;&gt;""),SUM(V424,$AM$8)/$AM$2*100,"")</f>
        <v>93.07692307692308</v>
      </c>
      <c r="AN424" s="71">
        <f>IF(AND(A424&lt;&gt;"",ISNUMBER(P424),P424&gt;=0),SUM(P424,$AN$8)/$AN$2*100,"")</f>
        <v>101</v>
      </c>
      <c r="AO424" s="71" t="str">
        <f>IF(AND(A424&lt;&gt;"",ISNUMBER(Q424),Q424&gt;=0),SUM(Q424,$AO$8)/$AO$2*100,"")</f>
        <v/>
      </c>
      <c r="AP424" s="24" t="str">
        <f>IF(AND(A424&lt;&gt;"",R424&lt;&gt;""),SUM(R424,$AP$8)/$AP$2*100,"")</f>
        <v/>
      </c>
      <c r="AQ424" s="24">
        <f>IF(AND(A424&lt;&gt;"",ISNUMBER(W424),W424&gt;=0),SUM(W424,$AQ$8)/$AQ$2*100,"")</f>
        <v>101</v>
      </c>
      <c r="AR424" s="24" t="str">
        <f>IF(AND(A424&lt;&gt;"",T424&gt;0,ISNUMBER(T424)),SUM(T424,$AR$8)/$AR$2*100,"")</f>
        <v/>
      </c>
      <c r="AS424" s="24" t="str">
        <f>IF(AND(A424&lt;&gt;"",X424&lt;&gt;""),SUM(X424,$AS$8)/$AS$2*100,"")</f>
        <v/>
      </c>
      <c r="AT424" s="89">
        <f>IF(AND(A424&lt;&gt;"",OR(ISNUMBER(W424),ISNUMBER(X424))),SUM(W424:X424,$AT$8)/$AT$2*100,"")</f>
        <v>101</v>
      </c>
      <c r="AU424" s="24">
        <f>AA424</f>
        <v>89.508196721311478</v>
      </c>
      <c r="AV424" s="71"/>
      <c r="AW424" s="27">
        <f>IF(A424&lt;&gt;"",AE424-AA424,"")</f>
        <v>11.491803278688522</v>
      </c>
      <c r="AY424" s="27" t="b">
        <f>S424&gt;R424</f>
        <v>0</v>
      </c>
      <c r="BA424" s="27" t="e">
        <f>AND(AA424&gt;$BA$3,(W424+$W$8)/$W$2&lt;$BB$3,(X424+$X$8)/$X$2&lt;$BB$3)</f>
        <v>#VALUE!</v>
      </c>
      <c r="BB424" s="27" t="e">
        <f>AND(AA424&lt;$BA$3,AND(W424/$W$2&gt;$BB$3,X424/$X$2&gt;$BB$3))</f>
        <v>#VALUE!</v>
      </c>
      <c r="BC424" s="27" t="e">
        <f>AND(AA424&lt;$BA$3,OR(W424/$W$2&gt;$BB$3,X424/$X$2&gt;$BB$3))</f>
        <v>#VALUE!</v>
      </c>
      <c r="BE424" s="32">
        <v>32</v>
      </c>
    </row>
    <row r="425" spans="1:57" s="27" customFormat="1" ht="12.75" customHeight="1" x14ac:dyDescent="0.2">
      <c r="A425" s="10">
        <v>803852</v>
      </c>
      <c r="B425" s="2">
        <v>18</v>
      </c>
      <c r="C425" s="10">
        <v>21</v>
      </c>
      <c r="D425" s="10">
        <v>24</v>
      </c>
      <c r="E425" s="10"/>
      <c r="F425" s="10"/>
      <c r="G425" s="3"/>
      <c r="H425" s="10"/>
      <c r="I425" s="10"/>
      <c r="J425" s="2">
        <v>26</v>
      </c>
      <c r="K425" s="10">
        <v>52</v>
      </c>
      <c r="L425" s="10">
        <v>52</v>
      </c>
      <c r="M425" s="10"/>
      <c r="N425" s="10"/>
      <c r="O425" s="12"/>
      <c r="P425" s="7">
        <v>100</v>
      </c>
      <c r="Q425" s="7"/>
      <c r="R425" s="2"/>
      <c r="S425" s="10"/>
      <c r="T425" s="13"/>
      <c r="U425" s="35">
        <f t="array" ref="U425">IF(AND(A425&lt;&gt;"",OR(ISNUMBER(B425:I425))),SUM(B425:I425),"")</f>
        <v>63</v>
      </c>
      <c r="V425" s="10">
        <f t="array" ref="V425">IF(AND(A425&lt;&gt;"",OR(ISNUMBER(J425:O425))),SUM(J425:O425),"")</f>
        <v>130</v>
      </c>
      <c r="W425" s="10">
        <f t="array" ref="W425">IF(AND(A425&lt;&gt;"",OR(ISNUMBER(P425),ISNUMBER(Q425))),SUM(MAX(P425:Q425),Q425),"")</f>
        <v>100</v>
      </c>
      <c r="X425" s="10" t="str">
        <f t="array" ref="X425">IF(AND(A425&lt;&gt;"",OR(ISNUMBER(S425),ISNUMBER(T425))),SUM(S425,T425),"")</f>
        <v/>
      </c>
      <c r="Y425" s="13">
        <v>1</v>
      </c>
      <c r="Z425" s="13">
        <f>IF(A425&lt;&gt;"",SUM(U425:Y425),"")</f>
        <v>294</v>
      </c>
      <c r="AA425" s="27">
        <f>IF(A425&lt;&gt;"",(Z425+Normalize_To_Add)/(Point_Total_So_Far)*100,"")</f>
        <v>96.393442622950815</v>
      </c>
      <c r="AB425" s="10">
        <f>IF(A425&lt;&gt;"",RANK(AA425,All_Student_XC),"")</f>
        <v>251</v>
      </c>
      <c r="AC425" s="32" t="str">
        <f>IF(A425&lt;&gt;"",CHOOSE(10-MIN(9,TRUNC((AA425+0.5)/10)),"A","B","C","D","F","F","F","F","F","F"),"")</f>
        <v>A</v>
      </c>
      <c r="AD425" s="32" t="str">
        <f>IF(A425&lt;&gt;"",IF(OR(AA425+0.5&gt;=93,AA425+0.5&lt;60),"",IF(MOD(AA425+0.5,10)&gt;=7,"+",IF(MOD(AA425+0.5,10)&lt;3,"-",""))),"")</f>
        <v/>
      </c>
      <c r="AE425" s="32">
        <f>IF(A425&lt;&gt;"",SUM(W425:X425,$W$8:$X$8)/SUM($W$2:$X$2)*100,"")</f>
        <v>100</v>
      </c>
      <c r="AF425" s="32" t="str">
        <f>IF(A425&lt;&gt;"",CHOOSE(10-MIN(9,TRUNC((AE425+0.5)/10)),"A","B","C","D","F","F","F","F","F","F"),"")</f>
        <v>A</v>
      </c>
      <c r="AG425" s="32" t="str">
        <f>IF(A425&lt;&gt;"",IF(OR(AE425+0.5&gt;=93,AE425+0.5&lt;60),"",IF(MOD(AE425+0.5,10)&gt;=7,"+",IF(MOD(AE425+0.5,10)&lt;3,"-",""))),"")</f>
        <v/>
      </c>
      <c r="AH425" s="36">
        <f>IF(A425&lt;&gt;"",MIN(MAX(AA425,AE425),AA425+$AH$8,AE425+$AH$8),"")</f>
        <v>100</v>
      </c>
      <c r="AI425" s="32" t="str">
        <f>IF(A425&lt;&gt;"",CHOOSE(10-MIN(9,TRUNC((AH425+0.5)/10)),"A","B","C","D","F","F","F","F","F","F"),"")</f>
        <v>A</v>
      </c>
      <c r="AJ425" s="32" t="str">
        <f>IF(A425&lt;&gt;"",IF(OR(AH425+0.5&gt;=93,AH425+0.5&lt;60),"",IF(MOD(AH425+0.5,10)&gt;=7,"+",IF(MOD(AH425+0.5,10)&lt;3,"-",""))),"")</f>
        <v/>
      </c>
      <c r="AK425" s="32" t="b">
        <f>IF(A425&lt;&gt;"",OR(AI425&lt;&gt;AC425,AJ425&lt;&gt;AD425),"")</f>
        <v>0</v>
      </c>
      <c r="AL425" s="84">
        <f>IF(AND(A425&lt;&gt;"",U425&lt;&gt;""),SUM(U425,$AL$8)/$AL$2*100,"")</f>
        <v>84</v>
      </c>
      <c r="AM425" s="24">
        <f>IF(AND(A425&lt;&gt;"",V425&lt;&gt;""),SUM(V425,$AM$8)/$AM$2*100,"")</f>
        <v>100</v>
      </c>
      <c r="AN425" s="24">
        <f>IF(AND(A425&lt;&gt;"",ISNUMBER(P425),P425&gt;=0),SUM(P425,$AN$8)/$AN$2*100,"")</f>
        <v>100</v>
      </c>
      <c r="AO425" s="24" t="str">
        <f>IF(AND(A425&lt;&gt;"",ISNUMBER(Q425),Q425&gt;=0),SUM(Q425,$AO$8)/$AO$2*100,"")</f>
        <v/>
      </c>
      <c r="AP425" s="24" t="str">
        <f>IF(AND(A425&lt;&gt;"",R425&lt;&gt;""),SUM(R425,$AP$8)/$AP$2*100,"")</f>
        <v/>
      </c>
      <c r="AQ425" s="24">
        <f>IF(AND(A425&lt;&gt;"",ISNUMBER(W425),W425&gt;=0),SUM(W425,$AQ$8)/$AQ$2*100,"")</f>
        <v>100</v>
      </c>
      <c r="AR425" s="24" t="str">
        <f>IF(AND(A425&lt;&gt;"",T425&gt;0,ISNUMBER(T425)),SUM(T425,$AR$8)/$AR$2*100,"")</f>
        <v/>
      </c>
      <c r="AS425" s="24" t="str">
        <f>IF(AND(A425&lt;&gt;"",X425&lt;&gt;""),SUM(X425,$AS$8)/$AS$2*100,"")</f>
        <v/>
      </c>
      <c r="AT425" s="89">
        <f>IF(AND(A425&lt;&gt;"",OR(ISNUMBER(W425),ISNUMBER(X425))),SUM(W425:X425,$AT$8)/$AT$2*100,"")</f>
        <v>100</v>
      </c>
      <c r="AU425" s="24">
        <f>AA425</f>
        <v>96.393442622950815</v>
      </c>
      <c r="AV425" s="24"/>
      <c r="AW425" s="27">
        <f>IF(A425&lt;&gt;"",AE425-AA425,"")</f>
        <v>3.6065573770491852</v>
      </c>
      <c r="AY425" s="27" t="b">
        <f>S425&gt;R425</f>
        <v>0</v>
      </c>
      <c r="BA425" s="27" t="e">
        <f>AND(AA425&gt;$BA$3,(W425+$W$8)/$W$2&lt;$BB$3,(X425+$X$8)/$X$2&lt;$BB$3)</f>
        <v>#VALUE!</v>
      </c>
      <c r="BB425" s="27" t="e">
        <f>AND(AA425&lt;$BA$3,AND(W425/$W$2&gt;$BB$3,X425/$X$2&gt;$BB$3))</f>
        <v>#VALUE!</v>
      </c>
      <c r="BC425" s="27" t="e">
        <f>AND(AA425&lt;$BA$3,OR(W425/$W$2&gt;$BB$3,X425/$X$2&gt;$BB$3))</f>
        <v>#VALUE!</v>
      </c>
      <c r="BE425" s="32">
        <v>32</v>
      </c>
    </row>
    <row r="426" spans="1:57" s="27" customFormat="1" ht="12.75" customHeight="1" x14ac:dyDescent="0.2">
      <c r="A426" s="10">
        <v>805463</v>
      </c>
      <c r="B426" s="2">
        <v>23</v>
      </c>
      <c r="C426" s="10">
        <v>23</v>
      </c>
      <c r="D426" s="10">
        <v>25</v>
      </c>
      <c r="E426" s="10"/>
      <c r="F426" s="10"/>
      <c r="G426" s="10"/>
      <c r="H426" s="10"/>
      <c r="I426" s="10"/>
      <c r="J426" s="2">
        <v>30</v>
      </c>
      <c r="K426" s="10">
        <v>52</v>
      </c>
      <c r="L426" s="10">
        <v>52</v>
      </c>
      <c r="M426" s="10"/>
      <c r="N426" s="93"/>
      <c r="O426" s="13"/>
      <c r="P426" s="10">
        <v>101</v>
      </c>
      <c r="Q426" s="10"/>
      <c r="R426" s="2"/>
      <c r="S426" s="10"/>
      <c r="T426" s="13"/>
      <c r="U426" s="7">
        <f t="array" ref="U426">IF(AND(A426&lt;&gt;"",OR(ISNUMBER(B426:I426))),SUM(B426:I426),"")</f>
        <v>71</v>
      </c>
      <c r="V426" s="10">
        <f t="array" ref="V426">IF(AND(A426&lt;&gt;"",OR(ISNUMBER(J426:O426))),SUM(J426:O426),"")</f>
        <v>134</v>
      </c>
      <c r="W426" s="10">
        <f t="array" ref="W426">IF(AND(A426&lt;&gt;"",OR(ISNUMBER(P426),ISNUMBER(Q426))),SUM(MAX(P426:Q426),Q426),"")</f>
        <v>101</v>
      </c>
      <c r="X426" s="10" t="str">
        <f t="array" ref="X426">IF(AND(A426&lt;&gt;"",OR(ISNUMBER(S426),ISNUMBER(T426))),SUM(S426,T426),"")</f>
        <v/>
      </c>
      <c r="Y426" s="13">
        <v>1</v>
      </c>
      <c r="Z426" s="13">
        <f>IF(A426&lt;&gt;"",SUM(U426:Y426),"")</f>
        <v>307</v>
      </c>
      <c r="AA426" s="27">
        <f>IF(A426&lt;&gt;"",(Z426+Normalize_To_Add)/(Point_Total_So_Far)*100,"")</f>
        <v>100.65573770491802</v>
      </c>
      <c r="AB426" s="10">
        <f>IF(A426&lt;&gt;"",RANK(AA426,All_Student_XC),"")</f>
        <v>72</v>
      </c>
      <c r="AC426" s="32" t="str">
        <f>IF(A426&lt;&gt;"",CHOOSE(10-MIN(9,TRUNC((AA426+0.5)/10)),"A","B","C","D","F","F","F","F","F","F"),"")</f>
        <v>A</v>
      </c>
      <c r="AD426" s="31" t="str">
        <f>IF(A426&lt;&gt;"",IF(OR(AA426+0.5&gt;=93,AA426+0.5&lt;60),"",IF(MOD(AA426+0.5,10)&gt;=7,"+",IF(MOD(AA426+0.5,10)&lt;3,"-",""))),"")</f>
        <v/>
      </c>
      <c r="AE426" s="32">
        <f>IF(A426&lt;&gt;"",SUM(W426:X426,$W$8:$X$8)/SUM($W$2:$X$2)*100,"")</f>
        <v>101</v>
      </c>
      <c r="AF426" s="32" t="str">
        <f>IF(A426&lt;&gt;"",CHOOSE(10-MIN(9,TRUNC((AE426+0.5)/10)),"A","B","C","D","F","F","F","F","F","F"),"")</f>
        <v>A</v>
      </c>
      <c r="AG426" s="32" t="str">
        <f>IF(A426&lt;&gt;"",IF(OR(AE426+0.5&gt;=93,AE426+0.5&lt;60),"",IF(MOD(AE426+0.5,10)&gt;=7,"+",IF(MOD(AE426+0.5,10)&lt;3,"-",""))),"")</f>
        <v/>
      </c>
      <c r="AH426" s="36">
        <f>IF(A426&lt;&gt;"",MIN(MAX(AA426,AE426),AA426+$AH$8,AE426+$AH$8),"")</f>
        <v>101</v>
      </c>
      <c r="AI426" s="32" t="str">
        <f>IF(A426&lt;&gt;"",CHOOSE(10-MIN(9,TRUNC((AH426+0.5)/10)),"A","B","C","D","F","F","F","F","F","F"),"")</f>
        <v>A</v>
      </c>
      <c r="AJ426" s="32" t="str">
        <f>IF(A426&lt;&gt;"",IF(OR(AH426+0.5&gt;=93,AH426+0.5&lt;60),"",IF(MOD(AH426+0.5,10)&gt;=7,"+",IF(MOD(AH426+0.5,10)&lt;3,"-",""))),"")</f>
        <v/>
      </c>
      <c r="AK426" s="71" t="b">
        <f>IF(A426&lt;&gt;"",OR(AI426&lt;&gt;AC426,AJ426&lt;&gt;AD426),"")</f>
        <v>0</v>
      </c>
      <c r="AL426" s="86">
        <f>IF(AND(A426&lt;&gt;"",U426&lt;&gt;""),SUM(U426,$AL$8)/$AL$2*100,"")</f>
        <v>94.666666666666671</v>
      </c>
      <c r="AM426" s="71">
        <f>IF(AND(A426&lt;&gt;"",V426&lt;&gt;""),SUM(V426,$AM$8)/$AM$2*100,"")</f>
        <v>103.07692307692307</v>
      </c>
      <c r="AN426" s="71">
        <f>IF(AND(A426&lt;&gt;"",ISNUMBER(P426),P426&gt;=0),SUM(P426,$AN$8)/$AN$2*100,"")</f>
        <v>101</v>
      </c>
      <c r="AO426" s="71" t="str">
        <f>IF(AND(A426&lt;&gt;"",ISNUMBER(Q426),Q426&gt;=0),SUM(Q426,$AO$8)/$AO$2*100,"")</f>
        <v/>
      </c>
      <c r="AP426" s="24" t="str">
        <f>IF(AND(A426&lt;&gt;"",R426&lt;&gt;""),SUM(R426,$AP$8)/$AP$2*100,"")</f>
        <v/>
      </c>
      <c r="AQ426" s="24">
        <f>IF(AND(A426&lt;&gt;"",ISNUMBER(W426),W426&gt;=0),SUM(W426,$AQ$8)/$AQ$2*100,"")</f>
        <v>101</v>
      </c>
      <c r="AR426" s="24" t="str">
        <f>IF(AND(A426&lt;&gt;"",T426&gt;0,ISNUMBER(T426)),SUM(T426,$AR$8)/$AR$2*100,"")</f>
        <v/>
      </c>
      <c r="AS426" s="24" t="str">
        <f>IF(AND(A426&lt;&gt;"",X426&lt;&gt;""),SUM(X426,$AS$8)/$AS$2*100,"")</f>
        <v/>
      </c>
      <c r="AT426" s="89">
        <f>IF(AND(A426&lt;&gt;"",OR(ISNUMBER(W426),ISNUMBER(X426))),SUM(W426:X426,$AT$8)/$AT$2*100,"")</f>
        <v>101</v>
      </c>
      <c r="AU426" s="24">
        <f>AA426</f>
        <v>100.65573770491802</v>
      </c>
      <c r="AV426" s="71"/>
      <c r="AW426" s="27">
        <f>IF(A426&lt;&gt;"",AE426-AA426,"")</f>
        <v>0.34426229508197537</v>
      </c>
      <c r="AY426" s="27" t="b">
        <f>S426&gt;R426</f>
        <v>0</v>
      </c>
      <c r="BA426" s="27" t="e">
        <f>AND(AA426&gt;$BA$3,(W426+$W$8)/$W$2&lt;$BB$3,(X426+$X$8)/$X$2&lt;$BB$3)</f>
        <v>#VALUE!</v>
      </c>
      <c r="BB426" s="27" t="e">
        <f>AND(AA426&lt;$BA$3,AND(W426/$W$2&gt;$BB$3,X426/$X$2&gt;$BB$3))</f>
        <v>#VALUE!</v>
      </c>
      <c r="BC426" s="27" t="e">
        <f>AND(AA426&lt;$BA$3,OR(W426/$W$2&gt;$BB$3,X426/$X$2&gt;$BB$3))</f>
        <v>#VALUE!</v>
      </c>
      <c r="BE426" s="32" t="s">
        <v>85</v>
      </c>
    </row>
    <row r="427" spans="1:57" s="27" customFormat="1" ht="12.75" customHeight="1" x14ac:dyDescent="0.2">
      <c r="A427" s="10">
        <v>805604</v>
      </c>
      <c r="B427" s="2">
        <v>25</v>
      </c>
      <c r="C427" s="10">
        <v>22</v>
      </c>
      <c r="D427" s="10">
        <v>25</v>
      </c>
      <c r="E427" s="10"/>
      <c r="F427" s="10"/>
      <c r="G427" s="10"/>
      <c r="H427" s="10"/>
      <c r="I427" s="10"/>
      <c r="J427" s="2">
        <v>32</v>
      </c>
      <c r="K427" s="10">
        <v>52</v>
      </c>
      <c r="L427" s="10">
        <v>51</v>
      </c>
      <c r="M427" s="10"/>
      <c r="N427" s="93"/>
      <c r="O427" s="13"/>
      <c r="P427" s="10">
        <v>101</v>
      </c>
      <c r="Q427" s="10"/>
      <c r="R427" s="2"/>
      <c r="S427" s="10"/>
      <c r="T427" s="13"/>
      <c r="U427" s="7">
        <f t="array" ref="U427">IF(AND(A427&lt;&gt;"",OR(ISNUMBER(B427:I427))),SUM(B427:I427),"")</f>
        <v>72</v>
      </c>
      <c r="V427" s="10">
        <f t="array" ref="V427">IF(AND(A427&lt;&gt;"",OR(ISNUMBER(J427:O427))),SUM(J427:O427),"")</f>
        <v>135</v>
      </c>
      <c r="W427" s="10">
        <f t="array" ref="W427">IF(AND(A427&lt;&gt;"",OR(ISNUMBER(P427),ISNUMBER(Q427))),SUM(MAX(P427:Q427),Q427),"")</f>
        <v>101</v>
      </c>
      <c r="X427" s="10" t="str">
        <f t="array" ref="X427">IF(AND(A427&lt;&gt;"",OR(ISNUMBER(S427),ISNUMBER(T427))),SUM(S427,T427),"")</f>
        <v/>
      </c>
      <c r="Y427" s="13">
        <v>1</v>
      </c>
      <c r="Z427" s="13">
        <f>IF(A427&lt;&gt;"",SUM(U427:Y427),"")</f>
        <v>309</v>
      </c>
      <c r="AA427" s="27">
        <f>IF(A427&lt;&gt;"",(Z427+Normalize_To_Add)/(Point_Total_So_Far)*100,"")</f>
        <v>101.31147540983608</v>
      </c>
      <c r="AB427" s="10">
        <f>IF(A427&lt;&gt;"",RANK(AA427,All_Student_XC),"")</f>
        <v>35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>
        <f>IF(A427&lt;&gt;"",SUM(W427:X427,$W$8:$X$8)/SUM($W$2:$X$2)*100,"")</f>
        <v>101</v>
      </c>
      <c r="AF427" s="32" t="str">
        <f>IF(A427&lt;&gt;"",CHOOSE(10-MIN(9,TRUNC((AE427+0.5)/10)),"A","B","C","D","F","F","F","F","F","F"),"")</f>
        <v>A</v>
      </c>
      <c r="AG427" s="32" t="str">
        <f>IF(A427&lt;&gt;"",IF(OR(AE427+0.5&gt;=93,AE427+0.5&lt;60),"",IF(MOD(AE427+0.5,10)&gt;=7,"+",IF(MOD(AE427+0.5,10)&lt;3,"-",""))),"")</f>
        <v/>
      </c>
      <c r="AH427" s="36">
        <f>IF(A427&lt;&gt;"",MIN(MAX(AA427,AE427),AA427+$AH$8,AE427+$AH$8),"")</f>
        <v>101.31147540983608</v>
      </c>
      <c r="AI427" s="32" t="str">
        <f>IF(A427&lt;&gt;"",CHOOSE(10-MIN(9,TRUNC((AH427+0.5)/10)),"A","B","C","D","F","F","F","F","F","F"),"")</f>
        <v>A</v>
      </c>
      <c r="AJ427" s="32" t="str">
        <f>IF(A427&lt;&gt;"",IF(OR(AH427+0.5&gt;=93,AH427+0.5&lt;60),"",IF(MOD(AH427+0.5,10)&gt;=7,"+",IF(MOD(AH427+0.5,10)&lt;3,"-",""))),"")</f>
        <v/>
      </c>
      <c r="AK427" s="71" t="b">
        <f>IF(A427&lt;&gt;"",OR(AI427&lt;&gt;AC427,AJ427&lt;&gt;AD427),"")</f>
        <v>0</v>
      </c>
      <c r="AL427" s="86">
        <f>IF(AND(A427&lt;&gt;"",U427&lt;&gt;""),SUM(U427,$AL$8)/$AL$2*100,"")</f>
        <v>96</v>
      </c>
      <c r="AM427" s="71">
        <f>IF(AND(A427&lt;&gt;"",V427&lt;&gt;""),SUM(V427,$AM$8)/$AM$2*100,"")</f>
        <v>103.84615384615385</v>
      </c>
      <c r="AN427" s="71">
        <f>IF(AND(A427&lt;&gt;"",ISNUMBER(P427),P427&gt;=0),SUM(P427,$AN$8)/$AN$2*100,"")</f>
        <v>101</v>
      </c>
      <c r="AO427" s="71" t="str">
        <f>IF(AND(A427&lt;&gt;"",ISNUMBER(Q427),Q427&gt;=0),SUM(Q427,$AO$8)/$AO$2*100,"")</f>
        <v/>
      </c>
      <c r="AP427" s="24" t="str">
        <f>IF(AND(A427&lt;&gt;"",R427&lt;&gt;""),SUM(R427,$AP$8)/$AP$2*100,"")</f>
        <v/>
      </c>
      <c r="AQ427" s="24">
        <f>IF(AND(A427&lt;&gt;"",ISNUMBER(W427),W427&gt;=0),SUM(W427,$AQ$8)/$AQ$2*100,"")</f>
        <v>101</v>
      </c>
      <c r="AR427" s="24" t="str">
        <f>IF(AND(A427&lt;&gt;"",T427&gt;0,ISNUMBER(T427)),SUM(T427,$AR$8)/$AR$2*100,"")</f>
        <v/>
      </c>
      <c r="AS427" s="24" t="str">
        <f>IF(AND(A427&lt;&gt;"",X427&lt;&gt;""),SUM(X427,$AS$8)/$AS$2*100,"")</f>
        <v/>
      </c>
      <c r="AT427" s="89">
        <f>IF(AND(A427&lt;&gt;"",OR(ISNUMBER(W427),ISNUMBER(X427))),SUM(W427:X427,$AT$8)/$AT$2*100,"")</f>
        <v>101</v>
      </c>
      <c r="AU427" s="24">
        <f>AA427</f>
        <v>101.31147540983608</v>
      </c>
      <c r="AV427" s="71"/>
      <c r="AW427" s="27">
        <f>IF(A427&lt;&gt;"",AE427-AA427,"")</f>
        <v>-0.31147540983607769</v>
      </c>
      <c r="AY427" s="27" t="b">
        <f>S427&gt;R427</f>
        <v>0</v>
      </c>
      <c r="BA427" s="27" t="e">
        <f>AND(AA427&gt;$BA$3,(W427+$W$8)/$W$2&lt;$BB$3,(X427+$X$8)/$X$2&lt;$BB$3)</f>
        <v>#VALUE!</v>
      </c>
      <c r="BB427" s="27" t="e">
        <f>AND(AA427&lt;$BA$3,AND(W427/$W$2&gt;$BB$3,X427/$X$2&gt;$BB$3))</f>
        <v>#VALUE!</v>
      </c>
      <c r="BC427" s="27" t="e">
        <f>AND(AA427&lt;$BA$3,OR(W427/$W$2&gt;$BB$3,X427/$X$2&gt;$BB$3))</f>
        <v>#VALUE!</v>
      </c>
      <c r="BE427" s="32">
        <v>32</v>
      </c>
    </row>
    <row r="428" spans="1:57" s="27" customFormat="1" ht="12.75" customHeight="1" x14ac:dyDescent="0.2">
      <c r="A428" s="56">
        <v>806470</v>
      </c>
      <c r="B428" s="2">
        <v>21</v>
      </c>
      <c r="C428" s="10">
        <v>22</v>
      </c>
      <c r="D428" s="10">
        <v>25</v>
      </c>
      <c r="E428" s="10"/>
      <c r="F428" s="10"/>
      <c r="G428" s="3"/>
      <c r="H428" s="10"/>
      <c r="I428" s="10"/>
      <c r="J428" s="2">
        <v>30</v>
      </c>
      <c r="K428" s="10">
        <v>41</v>
      </c>
      <c r="L428" s="10">
        <v>51</v>
      </c>
      <c r="M428" s="10"/>
      <c r="N428" s="10"/>
      <c r="O428" s="12"/>
      <c r="P428" s="41">
        <v>100</v>
      </c>
      <c r="Q428" s="41"/>
      <c r="R428" s="2"/>
      <c r="S428" s="10"/>
      <c r="T428" s="13"/>
      <c r="U428" s="7">
        <f t="array" ref="U428">IF(AND(A428&lt;&gt;"",OR(ISNUMBER(B428:I428))),SUM(B428:I428),"")</f>
        <v>68</v>
      </c>
      <c r="V428" s="10">
        <f t="array" ref="V428">IF(AND(A428&lt;&gt;"",OR(ISNUMBER(J428:O428))),SUM(J428:O428),"")</f>
        <v>122</v>
      </c>
      <c r="W428" s="10">
        <f t="array" ref="W428">IF(AND(A428&lt;&gt;"",OR(ISNUMBER(P428),ISNUMBER(Q428))),SUM(MAX(P428:Q428),Q428),"")</f>
        <v>100</v>
      </c>
      <c r="X428" s="10" t="str">
        <f t="array" ref="X428">IF(AND(A428&lt;&gt;"",OR(ISNUMBER(S428),ISNUMBER(T428))),SUM(S428,T428),"")</f>
        <v/>
      </c>
      <c r="Y428" s="13">
        <v>1</v>
      </c>
      <c r="Z428" s="13">
        <f>IF(A428&lt;&gt;"",SUM(U428:Y428),"")</f>
        <v>291</v>
      </c>
      <c r="AA428" s="27">
        <f>IF(A428&lt;&gt;"",(Z428+Normalize_To_Add)/(Point_Total_So_Far)*100,"")</f>
        <v>95.409836065573771</v>
      </c>
      <c r="AB428" s="10">
        <f>IF(A428&lt;&gt;"",RANK(AA428,All_Student_XC),"")</f>
        <v>266</v>
      </c>
      <c r="AC428" s="32" t="str">
        <f>IF(A428&lt;&gt;"",CHOOSE(10-MIN(9,TRUNC((AA428+0.5)/10)),"A","B","C","D","F","F","F","F","F","F"),"")</f>
        <v>A</v>
      </c>
      <c r="AD428" s="32" t="str">
        <f>IF(A428&lt;&gt;"",IF(OR(AA428+0.5&gt;=93,AA428+0.5&lt;60),"",IF(MOD(AA428+0.5,10)&gt;=7,"+",IF(MOD(AA428+0.5,10)&lt;3,"-",""))),"")</f>
        <v/>
      </c>
      <c r="AE428" s="32">
        <f>IF(A428&lt;&gt;"",SUM(W428:X428,$W$8:$X$8)/SUM($W$2:$X$2)*100,"")</f>
        <v>100</v>
      </c>
      <c r="AF428" s="32" t="str">
        <f>IF(A428&lt;&gt;"",CHOOSE(10-MIN(9,TRUNC((AE428+0.5)/10)),"A","B","C","D","F","F","F","F","F","F"),"")</f>
        <v>A</v>
      </c>
      <c r="AG428" s="32" t="str">
        <f>IF(A428&lt;&gt;"",IF(OR(AE428+0.5&gt;=93,AE428+0.5&lt;60),"",IF(MOD(AE428+0.5,10)&gt;=7,"+",IF(MOD(AE428+0.5,10)&lt;3,"-",""))),"")</f>
        <v/>
      </c>
      <c r="AH428" s="36">
        <f>IF(A428&lt;&gt;"",MIN(MAX(AA428,AE428),AA428+$AH$8,AE428+$AH$8),"")</f>
        <v>100</v>
      </c>
      <c r="AI428" s="32" t="str">
        <f>IF(A428&lt;&gt;"",CHOOSE(10-MIN(9,TRUNC((AH428+0.5)/10)),"A","B","C","D","F","F","F","F","F","F"),"")</f>
        <v>A</v>
      </c>
      <c r="AJ428" s="32" t="str">
        <f>IF(A428&lt;&gt;"",IF(OR(AH428+0.5&gt;=93,AH428+0.5&lt;60),"",IF(MOD(AH428+0.5,10)&gt;=7,"+",IF(MOD(AH428+0.5,10)&lt;3,"-",""))),"")</f>
        <v/>
      </c>
      <c r="AK428" s="32" t="b">
        <f>IF(A428&lt;&gt;"",OR(AI428&lt;&gt;AC428,AJ428&lt;&gt;AD428),"")</f>
        <v>0</v>
      </c>
      <c r="AL428" s="84">
        <f>IF(AND(A428&lt;&gt;"",U428&lt;&gt;""),SUM(U428,$AL$8)/$AL$2*100,"")</f>
        <v>90.666666666666657</v>
      </c>
      <c r="AM428" s="24">
        <f>IF(AND(A428&lt;&gt;"",V428&lt;&gt;""),SUM(V428,$AM$8)/$AM$2*100,"")</f>
        <v>93.84615384615384</v>
      </c>
      <c r="AN428" s="24">
        <f>IF(AND(A428&lt;&gt;"",ISNUMBER(P428),P428&gt;=0),SUM(P428,$AN$8)/$AN$2*100,"")</f>
        <v>100</v>
      </c>
      <c r="AO428" s="24" t="str">
        <f>IF(AND(A428&lt;&gt;"",ISNUMBER(Q428),Q428&gt;=0),SUM(Q428,$AO$8)/$AO$2*100,"")</f>
        <v/>
      </c>
      <c r="AP428" s="24" t="str">
        <f>IF(AND(A428&lt;&gt;"",R428&lt;&gt;""),SUM(R428,$AP$8)/$AP$2*100,"")</f>
        <v/>
      </c>
      <c r="AQ428" s="24">
        <f>IF(AND(A428&lt;&gt;"",ISNUMBER(W428),W428&gt;=0),SUM(W428,$AQ$8)/$AQ$2*100,"")</f>
        <v>100</v>
      </c>
      <c r="AR428" s="24" t="str">
        <f>IF(AND(A428&lt;&gt;"",T428&gt;0,ISNUMBER(T428)),SUM(T428,$AR$8)/$AR$2*100,"")</f>
        <v/>
      </c>
      <c r="AS428" s="24" t="str">
        <f>IF(AND(A428&lt;&gt;"",X428&lt;&gt;""),SUM(X428,$AS$8)/$AS$2*100,"")</f>
        <v/>
      </c>
      <c r="AT428" s="89">
        <f>IF(AND(A428&lt;&gt;"",OR(ISNUMBER(W428),ISNUMBER(X428))),SUM(W428:X428,$AT$8)/$AT$2*100,"")</f>
        <v>100</v>
      </c>
      <c r="AU428" s="24">
        <f>AA428</f>
        <v>95.409836065573771</v>
      </c>
      <c r="AV428" s="24"/>
      <c r="AW428" s="27">
        <f>IF(A428&lt;&gt;"",AE428-AA428,"")</f>
        <v>4.5901639344262293</v>
      </c>
      <c r="AY428" s="27" t="b">
        <f>S428&gt;R428</f>
        <v>0</v>
      </c>
      <c r="BA428" s="27" t="e">
        <f>AND(AA428&gt;$BA$3,(W428+$W$8)/$W$2&lt;$BB$3,(X428+$X$8)/$X$2&lt;$BB$3)</f>
        <v>#VALUE!</v>
      </c>
      <c r="BB428" s="27" t="e">
        <f>AND(AA428&lt;$BA$3,AND(W428/$W$2&gt;$BB$3,X428/$X$2&gt;$BB$3))</f>
        <v>#VALUE!</v>
      </c>
      <c r="BC428" s="27" t="e">
        <f>AND(AA428&lt;$BA$3,OR(W428/$W$2&gt;$BB$3,X428/$X$2&gt;$BB$3))</f>
        <v>#VALUE!</v>
      </c>
      <c r="BE428" s="32">
        <v>32</v>
      </c>
    </row>
    <row r="429" spans="1:57" s="27" customFormat="1" ht="12.75" customHeight="1" x14ac:dyDescent="0.2">
      <c r="A429" s="10">
        <v>807516</v>
      </c>
      <c r="B429" s="2">
        <v>23</v>
      </c>
      <c r="C429" s="10">
        <v>23</v>
      </c>
      <c r="D429" s="10">
        <v>25</v>
      </c>
      <c r="E429" s="10"/>
      <c r="F429" s="10"/>
      <c r="G429" s="10"/>
      <c r="H429" s="10"/>
      <c r="I429" s="10"/>
      <c r="J429" s="2">
        <v>28</v>
      </c>
      <c r="K429" s="10">
        <v>52</v>
      </c>
      <c r="L429" s="10">
        <v>52</v>
      </c>
      <c r="M429" s="10"/>
      <c r="N429" s="93"/>
      <c r="O429" s="13"/>
      <c r="P429" s="10">
        <v>100</v>
      </c>
      <c r="Q429" s="10"/>
      <c r="R429" s="2"/>
      <c r="S429" s="10"/>
      <c r="T429" s="13"/>
      <c r="U429" s="7">
        <f t="array" ref="U429">IF(AND(A429&lt;&gt;"",OR(ISNUMBER(B429:I429))),SUM(B429:I429),"")</f>
        <v>71</v>
      </c>
      <c r="V429" s="10">
        <f t="array" ref="V429">IF(AND(A429&lt;&gt;"",OR(ISNUMBER(J429:O429))),SUM(J429:O429),"")</f>
        <v>132</v>
      </c>
      <c r="W429" s="10">
        <f t="array" ref="W429">IF(AND(A429&lt;&gt;"",OR(ISNUMBER(P429),ISNUMBER(Q429))),SUM(MAX(P429:Q429),Q429),"")</f>
        <v>100</v>
      </c>
      <c r="X429" s="10" t="str">
        <f t="array" ref="X429">IF(AND(A429&lt;&gt;"",OR(ISNUMBER(S429),ISNUMBER(T429))),SUM(S429,T429),"")</f>
        <v/>
      </c>
      <c r="Y429" s="13">
        <v>1</v>
      </c>
      <c r="Z429" s="13">
        <f>IF(A429&lt;&gt;"",SUM(U429:Y429),"")</f>
        <v>304</v>
      </c>
      <c r="AA429" s="27">
        <f>IF(A429&lt;&gt;"",(Z429+Normalize_To_Add)/(Point_Total_So_Far)*100,"")</f>
        <v>99.672131147540995</v>
      </c>
      <c r="AB429" s="10">
        <f>IF(A429&lt;&gt;"",RANK(AA429,All_Student_XC),"")</f>
        <v>124</v>
      </c>
      <c r="AC429" s="32" t="str">
        <f>IF(A429&lt;&gt;"",CHOOSE(10-MIN(9,TRUNC((AA429+0.5)/10)),"A","B","C","D","F","F","F","F","F","F"),"")</f>
        <v>A</v>
      </c>
      <c r="AD429" s="31" t="str">
        <f>IF(A429&lt;&gt;"",IF(OR(AA429+0.5&gt;=93,AA429+0.5&lt;60),"",IF(MOD(AA429+0.5,10)&gt;=7,"+",IF(MOD(AA429+0.5,10)&lt;3,"-",""))),"")</f>
        <v/>
      </c>
      <c r="AE429" s="32">
        <f>IF(A429&lt;&gt;"",SUM(W429:X429,$W$8:$X$8)/SUM($W$2:$X$2)*100,"")</f>
        <v>100</v>
      </c>
      <c r="AF429" s="32" t="str">
        <f>IF(A429&lt;&gt;"",CHOOSE(10-MIN(9,TRUNC((AE429+0.5)/10)),"A","B","C","D","F","F","F","F","F","F"),"")</f>
        <v>A</v>
      </c>
      <c r="AG429" s="32" t="str">
        <f>IF(A429&lt;&gt;"",IF(OR(AE429+0.5&gt;=93,AE429+0.5&lt;60),"",IF(MOD(AE429+0.5,10)&gt;=7,"+",IF(MOD(AE429+0.5,10)&lt;3,"-",""))),"")</f>
        <v/>
      </c>
      <c r="AH429" s="36">
        <f>IF(A429&lt;&gt;"",MIN(MAX(AA429,AE429),AA429+$AH$8,AE429+$AH$8),"")</f>
        <v>100</v>
      </c>
      <c r="AI429" s="32" t="str">
        <f>IF(A429&lt;&gt;"",CHOOSE(10-MIN(9,TRUNC((AH429+0.5)/10)),"A","B","C","D","F","F","F","F","F","F"),"")</f>
        <v>A</v>
      </c>
      <c r="AJ429" s="32" t="str">
        <f>IF(A429&lt;&gt;"",IF(OR(AH429+0.5&gt;=93,AH429+0.5&lt;60),"",IF(MOD(AH429+0.5,10)&gt;=7,"+",IF(MOD(AH429+0.5,10)&lt;3,"-",""))),"")</f>
        <v/>
      </c>
      <c r="AK429" s="71" t="b">
        <f>IF(A429&lt;&gt;"",OR(AI429&lt;&gt;AC429,AJ429&lt;&gt;AD429),"")</f>
        <v>0</v>
      </c>
      <c r="AL429" s="86">
        <f>IF(AND(A429&lt;&gt;"",U429&lt;&gt;""),SUM(U429,$AL$8)/$AL$2*100,"")</f>
        <v>94.666666666666671</v>
      </c>
      <c r="AM429" s="71">
        <f>IF(AND(A429&lt;&gt;"",V429&lt;&gt;""),SUM(V429,$AM$8)/$AM$2*100,"")</f>
        <v>101.53846153846153</v>
      </c>
      <c r="AN429" s="71">
        <f>IF(AND(A429&lt;&gt;"",ISNUMBER(P429),P429&gt;=0),SUM(P429,$AN$8)/$AN$2*100,"")</f>
        <v>100</v>
      </c>
      <c r="AO429" s="71" t="str">
        <f>IF(AND(A429&lt;&gt;"",ISNUMBER(Q429),Q429&gt;=0),SUM(Q429,$AO$8)/$AO$2*100,"")</f>
        <v/>
      </c>
      <c r="AP429" s="24" t="str">
        <f>IF(AND(A429&lt;&gt;"",R429&lt;&gt;""),SUM(R429,$AP$8)/$AP$2*100,"")</f>
        <v/>
      </c>
      <c r="AQ429" s="24">
        <f>IF(AND(A429&lt;&gt;"",ISNUMBER(W429),W429&gt;=0),SUM(W429,$AQ$8)/$AQ$2*100,"")</f>
        <v>100</v>
      </c>
      <c r="AR429" s="24" t="str">
        <f>IF(AND(A429&lt;&gt;"",T429&gt;0,ISNUMBER(T429)),SUM(T429,$AR$8)/$AR$2*100,"")</f>
        <v/>
      </c>
      <c r="AS429" s="24" t="str">
        <f>IF(AND(A429&lt;&gt;"",X429&lt;&gt;""),SUM(X429,$AS$8)/$AS$2*100,"")</f>
        <v/>
      </c>
      <c r="AT429" s="89">
        <f>IF(AND(A429&lt;&gt;"",OR(ISNUMBER(W429),ISNUMBER(X429))),SUM(W429:X429,$AT$8)/$AT$2*100,"")</f>
        <v>100</v>
      </c>
      <c r="AU429" s="24">
        <f>AA429</f>
        <v>99.672131147540995</v>
      </c>
      <c r="AV429" s="71"/>
      <c r="AW429" s="27">
        <f>IF(A429&lt;&gt;"",AE429-AA429,"")</f>
        <v>0.32786885245900521</v>
      </c>
      <c r="AY429" s="27" t="b">
        <f>S429&gt;R429</f>
        <v>0</v>
      </c>
      <c r="BA429" s="27" t="e">
        <f>AND(AA429&gt;$BA$3,(W429+$W$8)/$W$2&lt;$BB$3,(X429+$X$8)/$X$2&lt;$BB$3)</f>
        <v>#VALUE!</v>
      </c>
      <c r="BB429" s="27" t="e">
        <f>AND(AA429&lt;$BA$3,AND(W429/$W$2&gt;$BB$3,X429/$X$2&gt;$BB$3))</f>
        <v>#VALUE!</v>
      </c>
      <c r="BC429" s="27" t="e">
        <f>AND(AA429&lt;$BA$3,OR(W429/$W$2&gt;$BB$3,X429/$X$2&gt;$BB$3))</f>
        <v>#VALUE!</v>
      </c>
      <c r="BE429" s="32" t="s">
        <v>84</v>
      </c>
    </row>
    <row r="430" spans="1:57" s="27" customFormat="1" ht="12.75" customHeight="1" x14ac:dyDescent="0.2">
      <c r="A430" s="10">
        <v>809570</v>
      </c>
      <c r="B430" s="2">
        <v>23</v>
      </c>
      <c r="C430" s="10">
        <v>23</v>
      </c>
      <c r="D430" s="10">
        <v>25</v>
      </c>
      <c r="E430" s="10"/>
      <c r="F430" s="10"/>
      <c r="G430" s="10"/>
      <c r="H430" s="10"/>
      <c r="I430" s="10"/>
      <c r="J430" s="2">
        <v>32</v>
      </c>
      <c r="K430" s="10">
        <v>52</v>
      </c>
      <c r="L430" s="10">
        <v>52</v>
      </c>
      <c r="M430" s="10"/>
      <c r="N430" s="93"/>
      <c r="O430" s="13"/>
      <c r="P430" s="10">
        <v>100</v>
      </c>
      <c r="Q430" s="10"/>
      <c r="R430" s="2"/>
      <c r="S430" s="10"/>
      <c r="T430" s="13"/>
      <c r="U430" s="7">
        <f t="array" ref="U430">IF(AND(A430&lt;&gt;"",OR(ISNUMBER(B430:I430))),SUM(B430:I430),"")</f>
        <v>71</v>
      </c>
      <c r="V430" s="10">
        <f t="array" ref="V430">IF(AND(A430&lt;&gt;"",OR(ISNUMBER(J430:O430))),SUM(J430:O430),"")</f>
        <v>136</v>
      </c>
      <c r="W430" s="10">
        <f t="array" ref="W430">IF(AND(A430&lt;&gt;"",OR(ISNUMBER(P430),ISNUMBER(Q430))),SUM(MAX(P430:Q430),Q430),"")</f>
        <v>100</v>
      </c>
      <c r="X430" s="10" t="str">
        <f t="array" ref="X430">IF(AND(A430&lt;&gt;"",OR(ISNUMBER(S430),ISNUMBER(T430))),SUM(S430,T430),"")</f>
        <v/>
      </c>
      <c r="Y430" s="13">
        <v>1</v>
      </c>
      <c r="Z430" s="13">
        <f>IF(A430&lt;&gt;"",SUM(U430:Y430),"")</f>
        <v>308</v>
      </c>
      <c r="AA430" s="27">
        <f>IF(A430&lt;&gt;"",(Z430+Normalize_To_Add)/(Point_Total_So_Far)*100,"")</f>
        <v>100.98360655737706</v>
      </c>
      <c r="AB430" s="10">
        <f>IF(A430&lt;&gt;"",RANK(AA430,All_Student_XC),"")</f>
        <v>57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>
        <f>IF(A430&lt;&gt;"",SUM(W430:X430,$W$8:$X$8)/SUM($W$2:$X$2)*100,"")</f>
        <v>100</v>
      </c>
      <c r="AF430" s="32" t="str">
        <f>IF(A430&lt;&gt;"",CHOOSE(10-MIN(9,TRUNC((AE430+0.5)/10)),"A","B","C","D","F","F","F","F","F","F"),"")</f>
        <v>A</v>
      </c>
      <c r="AG430" s="32" t="str">
        <f>IF(A430&lt;&gt;"",IF(OR(AE430+0.5&gt;=93,AE430+0.5&lt;60),"",IF(MOD(AE430+0.5,10)&gt;=7,"+",IF(MOD(AE430+0.5,10)&lt;3,"-",""))),"")</f>
        <v/>
      </c>
      <c r="AH430" s="36">
        <f>IF(A430&lt;&gt;"",MIN(MAX(AA430,AE430),AA430+$AH$8,AE430+$AH$8),"")</f>
        <v>100.98360655737706</v>
      </c>
      <c r="AI430" s="32" t="str">
        <f>IF(A430&lt;&gt;"",CHOOSE(10-MIN(9,TRUNC((AH430+0.5)/10)),"A","B","C","D","F","F","F","F","F","F"),"")</f>
        <v>A</v>
      </c>
      <c r="AJ430" s="32" t="str">
        <f>IF(A430&lt;&gt;"",IF(OR(AH430+0.5&gt;=93,AH430+0.5&lt;60),"",IF(MOD(AH430+0.5,10)&gt;=7,"+",IF(MOD(AH430+0.5,10)&lt;3,"-",""))),"")</f>
        <v/>
      </c>
      <c r="AK430" s="71" t="b">
        <f>IF(A430&lt;&gt;"",OR(AI430&lt;&gt;AC430,AJ430&lt;&gt;AD430),"")</f>
        <v>0</v>
      </c>
      <c r="AL430" s="86">
        <f>IF(AND(A430&lt;&gt;"",U430&lt;&gt;""),SUM(U430,$AL$8)/$AL$2*100,"")</f>
        <v>94.666666666666671</v>
      </c>
      <c r="AM430" s="71">
        <f>IF(AND(A430&lt;&gt;"",V430&lt;&gt;""),SUM(V430,$AM$8)/$AM$2*100,"")</f>
        <v>104.61538461538463</v>
      </c>
      <c r="AN430" s="71">
        <f>IF(AND(A430&lt;&gt;"",ISNUMBER(P430),P430&gt;=0),SUM(P430,$AN$8)/$AN$2*100,"")</f>
        <v>100</v>
      </c>
      <c r="AO430" s="71" t="str">
        <f>IF(AND(A430&lt;&gt;"",ISNUMBER(Q430),Q430&gt;=0),SUM(Q430,$AO$8)/$AO$2*100,"")</f>
        <v/>
      </c>
      <c r="AP430" s="24" t="str">
        <f>IF(AND(A430&lt;&gt;"",R430&lt;&gt;""),SUM(R430,$AP$8)/$AP$2*100,"")</f>
        <v/>
      </c>
      <c r="AQ430" s="24">
        <f>IF(AND(A430&lt;&gt;"",ISNUMBER(W430),W430&gt;=0),SUM(W430,$AQ$8)/$AQ$2*100,"")</f>
        <v>100</v>
      </c>
      <c r="AR430" s="24" t="str">
        <f>IF(AND(A430&lt;&gt;"",T430&gt;0,ISNUMBER(T430)),SUM(T430,$AR$8)/$AR$2*100,"")</f>
        <v/>
      </c>
      <c r="AS430" s="24" t="str">
        <f>IF(AND(A430&lt;&gt;"",X430&lt;&gt;""),SUM(X430,$AS$8)/$AS$2*100,"")</f>
        <v/>
      </c>
      <c r="AT430" s="89">
        <f>IF(AND(A430&lt;&gt;"",OR(ISNUMBER(W430),ISNUMBER(X430))),SUM(W430:X430,$AT$8)/$AT$2*100,"")</f>
        <v>100</v>
      </c>
      <c r="AU430" s="24">
        <f>AA430</f>
        <v>100.98360655737706</v>
      </c>
      <c r="AV430" s="71"/>
      <c r="AW430" s="27">
        <f>IF(A430&lt;&gt;"",AE430-AA430,"")</f>
        <v>-0.98360655737705827</v>
      </c>
      <c r="AY430" s="27" t="b">
        <f>S430&gt;R430</f>
        <v>0</v>
      </c>
      <c r="BA430" s="27" t="e">
        <f>AND(AA430&gt;$BA$3,(W430+$W$8)/$W$2&lt;$BB$3,(X430+$X$8)/$X$2&lt;$BB$3)</f>
        <v>#VALUE!</v>
      </c>
      <c r="BB430" s="27" t="e">
        <f>AND(AA430&lt;$BA$3,AND(W430/$W$2&gt;$BB$3,X430/$X$2&gt;$BB$3))</f>
        <v>#VALUE!</v>
      </c>
      <c r="BC430" s="27" t="e">
        <f>AND(AA430&lt;$BA$3,OR(W430/$W$2&gt;$BB$3,X430/$X$2&gt;$BB$3))</f>
        <v>#VALUE!</v>
      </c>
      <c r="BE430" s="32">
        <v>32</v>
      </c>
    </row>
    <row r="431" spans="1:57" s="27" customFormat="1" ht="12.75" customHeight="1" x14ac:dyDescent="0.2">
      <c r="A431" s="10">
        <v>810977</v>
      </c>
      <c r="B431" s="2">
        <v>19</v>
      </c>
      <c r="C431" s="10">
        <v>23</v>
      </c>
      <c r="D431" s="10">
        <v>25</v>
      </c>
      <c r="E431" s="10"/>
      <c r="F431" s="10"/>
      <c r="G431" s="10"/>
      <c r="H431" s="10"/>
      <c r="I431" s="10"/>
      <c r="J431" s="2">
        <v>28</v>
      </c>
      <c r="K431" s="10">
        <v>52</v>
      </c>
      <c r="L431" s="10">
        <v>50</v>
      </c>
      <c r="M431" s="10"/>
      <c r="N431" s="10"/>
      <c r="O431" s="12"/>
      <c r="P431" s="41">
        <v>101</v>
      </c>
      <c r="Q431" s="41"/>
      <c r="R431" s="2"/>
      <c r="S431" s="10"/>
      <c r="T431" s="13"/>
      <c r="U431" s="7">
        <f t="array" ref="U431">IF(AND(A431&lt;&gt;"",OR(ISNUMBER(B431:I431))),SUM(B431:I431),"")</f>
        <v>67</v>
      </c>
      <c r="V431" s="10">
        <f t="array" ref="V431">IF(AND(A431&lt;&gt;"",OR(ISNUMBER(J431:O431))),SUM(J431:O431),"")</f>
        <v>130</v>
      </c>
      <c r="W431" s="10">
        <f t="array" ref="W431">IF(AND(A431&lt;&gt;"",OR(ISNUMBER(P431),ISNUMBER(Q431))),SUM(MAX(P431:Q431),Q431),"")</f>
        <v>101</v>
      </c>
      <c r="X431" s="10" t="str">
        <f t="array" ref="X431">IF(AND(A431&lt;&gt;"",OR(ISNUMBER(S431),ISNUMBER(T431))),SUM(S431,T431),"")</f>
        <v/>
      </c>
      <c r="Y431" s="13">
        <v>1</v>
      </c>
      <c r="Z431" s="13">
        <f>IF(A431&lt;&gt;"",SUM(U431:Y431),"")</f>
        <v>299</v>
      </c>
      <c r="AA431" s="27">
        <f>IF(A431&lt;&gt;"",(Z431+Normalize_To_Add)/(Point_Total_So_Far)*100,"")</f>
        <v>98.032786885245898</v>
      </c>
      <c r="AB431" s="10">
        <f>IF(A431&lt;&gt;"",RANK(AA431,All_Student_XC),"")</f>
        <v>195</v>
      </c>
      <c r="AC431" s="32" t="str">
        <f>IF(A431&lt;&gt;"",CHOOSE(10-MIN(9,TRUNC((AA431+0.5)/10)),"A","B","C","D","F","F","F","F","F","F"),"")</f>
        <v>A</v>
      </c>
      <c r="AD431" s="32" t="str">
        <f>IF(A431&lt;&gt;"",IF(OR(AA431+0.5&gt;=93,AA431+0.5&lt;60),"",IF(MOD(AA431+0.5,10)&gt;=7,"+",IF(MOD(AA431+0.5,10)&lt;3,"-",""))),"")</f>
        <v/>
      </c>
      <c r="AE431" s="32">
        <f>IF(A431&lt;&gt;"",SUM(W431:X431,$W$8:$X$8)/SUM($W$2:$X$2)*100,"")</f>
        <v>101</v>
      </c>
      <c r="AF431" s="32" t="str">
        <f>IF(A431&lt;&gt;"",CHOOSE(10-MIN(9,TRUNC((AE431+0.5)/10)),"A","B","C","D","F","F","F","F","F","F"),"")</f>
        <v>A</v>
      </c>
      <c r="AG431" s="32" t="str">
        <f>IF(A431&lt;&gt;"",IF(OR(AE431+0.5&gt;=93,AE431+0.5&lt;60),"",IF(MOD(AE431+0.5,10)&gt;=7,"+",IF(MOD(AE431+0.5,10)&lt;3,"-",""))),"")</f>
        <v/>
      </c>
      <c r="AH431" s="36">
        <f>IF(A431&lt;&gt;"",MIN(MAX(AA431,AE431),AA431+$AH$8,AE431+$AH$8),"")</f>
        <v>101</v>
      </c>
      <c r="AI431" s="32" t="str">
        <f>IF(A431&lt;&gt;"",CHOOSE(10-MIN(9,TRUNC((AH431+0.5)/10)),"A","B","C","D","F","F","F","F","F","F"),"")</f>
        <v>A</v>
      </c>
      <c r="AJ431" s="32" t="str">
        <f>IF(A431&lt;&gt;"",IF(OR(AH431+0.5&gt;=93,AH431+0.5&lt;60),"",IF(MOD(AH431+0.5,10)&gt;=7,"+",IF(MOD(AH431+0.5,10)&lt;3,"-",""))),"")</f>
        <v/>
      </c>
      <c r="AK431" s="32" t="b">
        <f>IF(A431&lt;&gt;"",OR(AI431&lt;&gt;AC431,AJ431&lt;&gt;AD431),"")</f>
        <v>0</v>
      </c>
      <c r="AL431" s="84">
        <f>IF(AND(A431&lt;&gt;"",U431&lt;&gt;""),SUM(U431,$AL$8)/$AL$2*100,"")</f>
        <v>89.333333333333329</v>
      </c>
      <c r="AM431" s="24">
        <f>IF(AND(A431&lt;&gt;"",V431&lt;&gt;""),SUM(V431,$AM$8)/$AM$2*100,"")</f>
        <v>100</v>
      </c>
      <c r="AN431" s="24">
        <f>IF(AND(A431&lt;&gt;"",ISNUMBER(P431),P431&gt;=0),SUM(P431,$AN$8)/$AN$2*100,"")</f>
        <v>101</v>
      </c>
      <c r="AO431" s="24" t="str">
        <f>IF(AND(A431&lt;&gt;"",ISNUMBER(Q431),Q431&gt;=0),SUM(Q431,$AO$8)/$AO$2*100,"")</f>
        <v/>
      </c>
      <c r="AP431" s="24" t="str">
        <f>IF(AND(A431&lt;&gt;"",R431&lt;&gt;""),SUM(R431,$AP$8)/$AP$2*100,"")</f>
        <v/>
      </c>
      <c r="AQ431" s="24">
        <f>IF(AND(A431&lt;&gt;"",ISNUMBER(W431),W431&gt;=0),SUM(W431,$AQ$8)/$AQ$2*100,"")</f>
        <v>101</v>
      </c>
      <c r="AR431" s="24" t="str">
        <f>IF(AND(A431&lt;&gt;"",T431&gt;0,ISNUMBER(T431)),SUM(T431,$AR$8)/$AR$2*100,"")</f>
        <v/>
      </c>
      <c r="AS431" s="24" t="str">
        <f>IF(AND(A431&lt;&gt;"",X431&lt;&gt;""),SUM(X431,$AS$8)/$AS$2*100,"")</f>
        <v/>
      </c>
      <c r="AT431" s="89">
        <f>IF(AND(A431&lt;&gt;"",OR(ISNUMBER(W431),ISNUMBER(X431))),SUM(W431:X431,$AT$8)/$AT$2*100,"")</f>
        <v>101</v>
      </c>
      <c r="AU431" s="24">
        <f>AA431</f>
        <v>98.032786885245898</v>
      </c>
      <c r="AV431" s="24"/>
      <c r="AW431" s="27">
        <f>IF(A431&lt;&gt;"",AE431-AA431,"")</f>
        <v>2.9672131147541023</v>
      </c>
      <c r="AY431" s="27" t="b">
        <f>S431&gt;R431</f>
        <v>0</v>
      </c>
      <c r="BA431" s="27" t="e">
        <f>AND(AA431&gt;$BA$3,(W431+$W$8)/$W$2&lt;$BB$3,(X431+$X$8)/$X$2&lt;$BB$3)</f>
        <v>#VALUE!</v>
      </c>
      <c r="BB431" s="27" t="e">
        <f>AND(AA431&lt;$BA$3,AND(W431/$W$2&gt;$BB$3,X431/$X$2&gt;$BB$3))</f>
        <v>#VALUE!</v>
      </c>
      <c r="BC431" s="27" t="e">
        <f>AND(AA431&lt;$BA$3,OR(W431/$W$2&gt;$BB$3,X431/$X$2&gt;$BB$3))</f>
        <v>#VALUE!</v>
      </c>
      <c r="BE431" s="32">
        <v>32</v>
      </c>
    </row>
    <row r="432" spans="1:57" s="27" customFormat="1" ht="12.75" customHeight="1" x14ac:dyDescent="0.2">
      <c r="A432" s="10">
        <v>811664</v>
      </c>
      <c r="B432" s="2">
        <v>18</v>
      </c>
      <c r="C432" s="10">
        <v>17</v>
      </c>
      <c r="D432" s="56">
        <v>25</v>
      </c>
      <c r="E432" s="10"/>
      <c r="F432" s="10"/>
      <c r="G432" s="10"/>
      <c r="H432" s="10"/>
      <c r="I432" s="10"/>
      <c r="J432" s="2">
        <v>29</v>
      </c>
      <c r="K432" s="10">
        <v>36</v>
      </c>
      <c r="L432" s="10">
        <v>43</v>
      </c>
      <c r="M432" s="10"/>
      <c r="N432" s="10"/>
      <c r="O432" s="12"/>
      <c r="P432" s="41">
        <v>60</v>
      </c>
      <c r="Q432" s="41"/>
      <c r="R432" s="2"/>
      <c r="S432" s="10"/>
      <c r="T432" s="13"/>
      <c r="U432" s="7">
        <f t="array" ref="U432">IF(AND(A432&lt;&gt;"",OR(ISNUMBER(B432:I432))),SUM(B432:I432),"")</f>
        <v>60</v>
      </c>
      <c r="V432" s="10">
        <f t="array" ref="V432">IF(AND(A432&lt;&gt;"",OR(ISNUMBER(J432:O432))),SUM(J432:O432),"")</f>
        <v>108</v>
      </c>
      <c r="W432" s="10">
        <f t="array" ref="W432">IF(AND(A432&lt;&gt;"",OR(ISNUMBER(P432),ISNUMBER(Q432))),SUM(MAX(P432:Q432),Q432),"")</f>
        <v>60</v>
      </c>
      <c r="X432" s="10" t="str">
        <f t="array" ref="X432">IF(AND(A432&lt;&gt;"",OR(ISNUMBER(S432),ISNUMBER(T432))),SUM(S432,T432),"")</f>
        <v/>
      </c>
      <c r="Y432" s="13">
        <v>1</v>
      </c>
      <c r="Z432" s="13">
        <f>IF(A432&lt;&gt;"",SUM(U432:Y432),"")</f>
        <v>229</v>
      </c>
      <c r="AA432" s="27">
        <f>IF(A432&lt;&gt;"",(Z432+Normalize_To_Add)/(Point_Total_So_Far)*100,"")</f>
        <v>75.081967213114751</v>
      </c>
      <c r="AB432" s="10">
        <f>IF(A432&lt;&gt;"",RANK(AA432,All_Student_XC),"")</f>
        <v>439</v>
      </c>
      <c r="AC432" s="32" t="str">
        <f>IF(A432&lt;&gt;"",CHOOSE(10-MIN(9,TRUNC((AA432+0.5)/10)),"A","B","C","D","F","F","F","F","F","F"),"")</f>
        <v>C</v>
      </c>
      <c r="AD432" s="32" t="str">
        <f>IF(A432&lt;&gt;"",IF(OR(AA432+0.5&gt;=93,AA432+0.5&lt;60),"",IF(MOD(AA432+0.5,10)&gt;=7,"+",IF(MOD(AA432+0.5,10)&lt;3,"-",""))),"")</f>
        <v/>
      </c>
      <c r="AE432" s="32">
        <f>IF(A432&lt;&gt;"",SUM(W432:X432,$W$8:$X$8)/SUM($W$2:$X$2)*100,"")</f>
        <v>60</v>
      </c>
      <c r="AF432" s="32" t="str">
        <f>IF(A432&lt;&gt;"",CHOOSE(10-MIN(9,TRUNC((AE432+0.5)/10)),"A","B","C","D","F","F","F","F","F","F"),"")</f>
        <v>D</v>
      </c>
      <c r="AG432" s="32" t="str">
        <f>IF(A432&lt;&gt;"",IF(OR(AE432+0.5&gt;=93,AE432+0.5&lt;60),"",IF(MOD(AE432+0.5,10)&gt;=7,"+",IF(MOD(AE432+0.5,10)&lt;3,"-",""))),"")</f>
        <v>-</v>
      </c>
      <c r="AH432" s="36">
        <f>IF(A432&lt;&gt;"",MIN(MAX(AA432,AE432),AA432+$AH$8,AE432+$AH$8),"")</f>
        <v>75.081967213114751</v>
      </c>
      <c r="AI432" s="32" t="str">
        <f>IF(A432&lt;&gt;"",CHOOSE(10-MIN(9,TRUNC((AH432+0.5)/10)),"A","B","C","D","F","F","F","F","F","F"),"")</f>
        <v>C</v>
      </c>
      <c r="AJ432" s="32" t="str">
        <f>IF(A432&lt;&gt;"",IF(OR(AH432+0.5&gt;=93,AH432+0.5&lt;60),"",IF(MOD(AH432+0.5,10)&gt;=7,"+",IF(MOD(AH432+0.5,10)&lt;3,"-",""))),"")</f>
        <v/>
      </c>
      <c r="AK432" s="32" t="b">
        <f>IF(A432&lt;&gt;"",OR(AI432&lt;&gt;AC432,AJ432&lt;&gt;AD432),"")</f>
        <v>0</v>
      </c>
      <c r="AL432" s="84">
        <f>IF(AND(A432&lt;&gt;"",U432&lt;&gt;""),SUM(U432,$AL$8)/$AL$2*100,"")</f>
        <v>80</v>
      </c>
      <c r="AM432" s="24">
        <f>IF(AND(A432&lt;&gt;"",V432&lt;&gt;""),SUM(V432,$AM$8)/$AM$2*100,"")</f>
        <v>83.07692307692308</v>
      </c>
      <c r="AN432" s="24">
        <f>IF(AND(A432&lt;&gt;"",ISNUMBER(P432),P432&gt;=0),SUM(P432,$AN$8)/$AN$2*100,"")</f>
        <v>60</v>
      </c>
      <c r="AO432" s="24" t="str">
        <f>IF(AND(A432&lt;&gt;"",ISNUMBER(Q432),Q432&gt;=0),SUM(Q432,$AO$8)/$AO$2*100,"")</f>
        <v/>
      </c>
      <c r="AP432" s="24" t="str">
        <f>IF(AND(A432&lt;&gt;"",R432&lt;&gt;""),SUM(R432,$AP$8)/$AP$2*100,"")</f>
        <v/>
      </c>
      <c r="AQ432" s="24">
        <f>IF(AND(A432&lt;&gt;"",ISNUMBER(W432),W432&gt;=0),SUM(W432,$AQ$8)/$AQ$2*100,"")</f>
        <v>60</v>
      </c>
      <c r="AR432" s="24" t="str">
        <f>IF(AND(A432&lt;&gt;"",T432&gt;0,ISNUMBER(T432)),SUM(T432,$AR$8)/$AR$2*100,"")</f>
        <v/>
      </c>
      <c r="AS432" s="24" t="str">
        <f>IF(AND(A432&lt;&gt;"",X432&lt;&gt;""),SUM(X432,$AS$8)/$AS$2*100,"")</f>
        <v/>
      </c>
      <c r="AT432" s="89">
        <f>IF(AND(A432&lt;&gt;"",OR(ISNUMBER(W432),ISNUMBER(X432))),SUM(W432:X432,$AT$8)/$AT$2*100,"")</f>
        <v>60</v>
      </c>
      <c r="AU432" s="24">
        <f>AA432</f>
        <v>75.081967213114751</v>
      </c>
      <c r="AV432" s="24"/>
      <c r="AW432" s="27">
        <f>IF(A432&lt;&gt;"",AE432-AA432,"")</f>
        <v>-15.081967213114751</v>
      </c>
      <c r="AY432" s="27" t="b">
        <f>S432&gt;R432</f>
        <v>0</v>
      </c>
      <c r="BA432" s="27" t="e">
        <f>AND(AA432&gt;$BA$3,(W432+$W$8)/$W$2&lt;$BB$3,(X432+$X$8)/$X$2&lt;$BB$3)</f>
        <v>#VALUE!</v>
      </c>
      <c r="BB432" s="27" t="e">
        <f>AND(AA432&lt;$BA$3,AND(W432/$W$2&gt;$BB$3,X432/$X$2&gt;$BB$3))</f>
        <v>#VALUE!</v>
      </c>
      <c r="BC432" s="27" t="e">
        <f>AND(AA432&lt;$BA$3,OR(W432/$W$2&gt;$BB$3,X432/$X$2&gt;$BB$3))</f>
        <v>#VALUE!</v>
      </c>
      <c r="BE432" s="32">
        <v>32</v>
      </c>
    </row>
    <row r="433" spans="1:57" s="27" customFormat="1" ht="12.75" customHeight="1" x14ac:dyDescent="0.2">
      <c r="A433" s="10">
        <v>813096</v>
      </c>
      <c r="B433" s="2">
        <v>0</v>
      </c>
      <c r="C433" s="10">
        <v>8</v>
      </c>
      <c r="D433" s="10">
        <v>4</v>
      </c>
      <c r="E433" s="10"/>
      <c r="F433" s="10"/>
      <c r="G433" s="10"/>
      <c r="H433" s="10"/>
      <c r="I433" s="10"/>
      <c r="J433" s="2">
        <v>18</v>
      </c>
      <c r="K433" s="10" t="s">
        <v>67</v>
      </c>
      <c r="L433" s="10">
        <v>49</v>
      </c>
      <c r="M433" s="10"/>
      <c r="N433" s="93"/>
      <c r="O433" s="13"/>
      <c r="P433" s="10">
        <v>80</v>
      </c>
      <c r="Q433" s="10"/>
      <c r="R433" s="2"/>
      <c r="S433" s="10"/>
      <c r="T433" s="13"/>
      <c r="U433" s="1">
        <f t="array" ref="U433">IF(AND(A433&lt;&gt;"",OR(ISNUMBER(B433:I433))),SUM(B433:I433),"")</f>
        <v>12</v>
      </c>
      <c r="V433" s="10">
        <f t="array" ref="V433">IF(AND(A433&lt;&gt;"",OR(ISNUMBER(J433:O433))),SUM(J433:O433),"")</f>
        <v>67</v>
      </c>
      <c r="W433" s="10">
        <f t="array" ref="W433">IF(AND(A433&lt;&gt;"",OR(ISNUMBER(P433),ISNUMBER(Q433))),SUM(MAX(P433:Q433),Q433),"")</f>
        <v>80</v>
      </c>
      <c r="X433" s="10" t="str">
        <f t="array" ref="X433">IF(AND(A433&lt;&gt;"",OR(ISNUMBER(S433),ISNUMBER(T433))),SUM(S433,T433),"")</f>
        <v/>
      </c>
      <c r="Y433" s="13">
        <v>1</v>
      </c>
      <c r="Z433" s="13">
        <f>IF(A433&lt;&gt;"",SUM(U433:Y433),"")</f>
        <v>160</v>
      </c>
      <c r="AA433" s="27">
        <f>IF(A433&lt;&gt;"",(Z433+Normalize_To_Add)/(Point_Total_So_Far)*100,"")</f>
        <v>52.459016393442624</v>
      </c>
      <c r="AB433" s="10">
        <f>IF(A433&lt;&gt;"",RANK(AA433,All_Student_XC),"")</f>
        <v>489</v>
      </c>
      <c r="AC433" s="32" t="str">
        <f>IF(A433&lt;&gt;"",CHOOSE(10-MIN(9,TRUNC((AA433+0.5)/10)),"A","B","C","D","F","F","F","F","F","F"),"")</f>
        <v>F</v>
      </c>
      <c r="AD433" s="31" t="str">
        <f>IF(A433&lt;&gt;"",IF(OR(AA433+0.5&gt;=93,AA433+0.5&lt;60),"",IF(MOD(AA433+0.5,10)&gt;=7,"+",IF(MOD(AA433+0.5,10)&lt;3,"-",""))),"")</f>
        <v/>
      </c>
      <c r="AE433" s="32">
        <f>IF(A433&lt;&gt;"",SUM(W433:X433,$W$8:$X$8)/SUM($W$2:$X$2)*100,"")</f>
        <v>80</v>
      </c>
      <c r="AF433" s="32" t="str">
        <f>IF(A433&lt;&gt;"",CHOOSE(10-MIN(9,TRUNC((AE433+0.5)/10)),"A","B","C","D","F","F","F","F","F","F"),"")</f>
        <v>B</v>
      </c>
      <c r="AG433" s="32" t="str">
        <f>IF(A433&lt;&gt;"",IF(OR(AE433+0.5&gt;=93,AE433+0.5&lt;60),"",IF(MOD(AE433+0.5,10)&gt;=7,"+",IF(MOD(AE433+0.5,10)&lt;3,"-",""))),"")</f>
        <v>-</v>
      </c>
      <c r="AH433" s="36">
        <f>IF(A433&lt;&gt;"",MIN(MAX(AA433,AE433),AA433+$AH$8,AE433+$AH$8),"")</f>
        <v>80</v>
      </c>
      <c r="AI433" s="32" t="str">
        <f>IF(A433&lt;&gt;"",CHOOSE(10-MIN(9,TRUNC((AH433+0.5)/10)),"A","B","C","D","F","F","F","F","F","F"),"")</f>
        <v>B</v>
      </c>
      <c r="AJ433" s="32" t="str">
        <f>IF(A433&lt;&gt;"",IF(OR(AH433+0.5&gt;=93,AH433+0.5&lt;60),"",IF(MOD(AH433+0.5,10)&gt;=7,"+",IF(MOD(AH433+0.5,10)&lt;3,"-",""))),"")</f>
        <v>-</v>
      </c>
      <c r="AK433" s="71" t="b">
        <f>IF(A433&lt;&gt;"",OR(AI433&lt;&gt;AC433,AJ433&lt;&gt;AD433),"")</f>
        <v>1</v>
      </c>
      <c r="AL433" s="86">
        <f>IF(AND(A433&lt;&gt;"",U433&lt;&gt;""),SUM(U433,$AL$8)/$AL$2*100,"")</f>
        <v>16</v>
      </c>
      <c r="AM433" s="71">
        <f>IF(AND(A433&lt;&gt;"",V433&lt;&gt;""),SUM(V433,$AM$8)/$AM$2*100,"")</f>
        <v>51.538461538461533</v>
      </c>
      <c r="AN433" s="71">
        <f>IF(AND(A433&lt;&gt;"",ISNUMBER(P433),P433&gt;=0),SUM(P433,$AN$8)/$AN$2*100,"")</f>
        <v>80</v>
      </c>
      <c r="AO433" s="71" t="str">
        <f>IF(AND(A433&lt;&gt;"",ISNUMBER(Q433),Q433&gt;=0),SUM(Q433,$AO$8)/$AO$2*100,"")</f>
        <v/>
      </c>
      <c r="AP433" s="24" t="str">
        <f>IF(AND(A433&lt;&gt;"",R433&lt;&gt;""),SUM(R433,$AP$8)/$AP$2*100,"")</f>
        <v/>
      </c>
      <c r="AQ433" s="24">
        <f>IF(AND(A433&lt;&gt;"",ISNUMBER(W433),W433&gt;=0),SUM(W433,$AQ$8)/$AQ$2*100,"")</f>
        <v>80</v>
      </c>
      <c r="AR433" s="24" t="str">
        <f>IF(AND(A433&lt;&gt;"",T433&gt;0,ISNUMBER(T433)),SUM(T433,$AR$8)/$AR$2*100,"")</f>
        <v/>
      </c>
      <c r="AS433" s="24" t="str">
        <f>IF(AND(A433&lt;&gt;"",X433&lt;&gt;""),SUM(X433,$AS$8)/$AS$2*100,"")</f>
        <v/>
      </c>
      <c r="AT433" s="89">
        <f>IF(AND(A433&lt;&gt;"",OR(ISNUMBER(W433),ISNUMBER(X433))),SUM(W433:X433,$AT$8)/$AT$2*100,"")</f>
        <v>80</v>
      </c>
      <c r="AU433" s="24">
        <f>AA433</f>
        <v>52.459016393442624</v>
      </c>
      <c r="AV433" s="71"/>
      <c r="AW433" s="27">
        <f>IF(A433&lt;&gt;"",AE433-AA433,"")</f>
        <v>27.540983606557376</v>
      </c>
      <c r="AY433" s="27" t="b">
        <f>S433&gt;R433</f>
        <v>0</v>
      </c>
      <c r="BA433" s="27" t="e">
        <f>AND(AA433&gt;$BA$3,(W433+$W$8)/$W$2&lt;$BB$3,(X433+$X$8)/$X$2&lt;$BB$3)</f>
        <v>#VALUE!</v>
      </c>
      <c r="BB433" s="27" t="e">
        <f>AND(AA433&lt;$BA$3,AND(W433/$W$2&gt;$BB$3,X433/$X$2&gt;$BB$3))</f>
        <v>#VALUE!</v>
      </c>
      <c r="BC433" s="27" t="e">
        <f>AND(AA433&lt;$BA$3,OR(W433/$W$2&gt;$BB$3,X433/$X$2&gt;$BB$3))</f>
        <v>#VALUE!</v>
      </c>
      <c r="BE433" s="32" t="s">
        <v>85</v>
      </c>
    </row>
    <row r="434" spans="1:57" s="27" customFormat="1" ht="12.75" customHeight="1" x14ac:dyDescent="0.2">
      <c r="A434" s="10">
        <v>818841</v>
      </c>
      <c r="B434" s="2">
        <v>25</v>
      </c>
      <c r="C434" s="10">
        <v>25</v>
      </c>
      <c r="D434" s="10">
        <v>25</v>
      </c>
      <c r="E434" s="10"/>
      <c r="F434" s="10"/>
      <c r="G434" s="3"/>
      <c r="H434" s="10"/>
      <c r="I434" s="10"/>
      <c r="J434" s="2">
        <v>29</v>
      </c>
      <c r="K434" s="10">
        <v>51</v>
      </c>
      <c r="L434" s="10">
        <v>50</v>
      </c>
      <c r="M434" s="10"/>
      <c r="N434" s="10"/>
      <c r="O434" s="12"/>
      <c r="P434" s="7">
        <v>101</v>
      </c>
      <c r="Q434" s="7"/>
      <c r="R434" s="2"/>
      <c r="S434" s="10"/>
      <c r="T434" s="13"/>
      <c r="U434" s="35">
        <f t="array" ref="U434">IF(AND(A434&lt;&gt;"",OR(ISNUMBER(B434:I434))),SUM(B434:I434),"")</f>
        <v>75</v>
      </c>
      <c r="V434" s="10">
        <f t="array" ref="V434">IF(AND(A434&lt;&gt;"",OR(ISNUMBER(J434:O434))),SUM(J434:O434),"")</f>
        <v>130</v>
      </c>
      <c r="W434" s="10">
        <f t="array" ref="W434">IF(AND(A434&lt;&gt;"",OR(ISNUMBER(P434),ISNUMBER(Q434))),SUM(MAX(P434:Q434),Q434),"")</f>
        <v>101</v>
      </c>
      <c r="X434" s="10" t="str">
        <f t="array" ref="X434">IF(AND(A434&lt;&gt;"",OR(ISNUMBER(S434),ISNUMBER(T434))),SUM(S434,T434),"")</f>
        <v/>
      </c>
      <c r="Y434" s="13">
        <v>1</v>
      </c>
      <c r="Z434" s="13">
        <f>IF(A434&lt;&gt;"",SUM(U434:Y434),"")</f>
        <v>307</v>
      </c>
      <c r="AA434" s="27">
        <f>IF(A434&lt;&gt;"",(Z434+Normalize_To_Add)/(Point_Total_So_Far)*100,"")</f>
        <v>100.65573770491802</v>
      </c>
      <c r="AB434" s="10">
        <f>IF(A434&lt;&gt;"",RANK(AA434,All_Student_XC),"")</f>
        <v>72</v>
      </c>
      <c r="AC434" s="32" t="str">
        <f>IF(A434&lt;&gt;"",CHOOSE(10-MIN(9,TRUNC((AA434+0.5)/10)),"A","B","C","D","F","F","F","F","F","F"),"")</f>
        <v>A</v>
      </c>
      <c r="AD434" s="32" t="str">
        <f>IF(A434&lt;&gt;"",IF(OR(AA434+0.5&gt;=93,AA434+0.5&lt;60),"",IF(MOD(AA434+0.5,10)&gt;=7,"+",IF(MOD(AA434+0.5,10)&lt;3,"-",""))),"")</f>
        <v/>
      </c>
      <c r="AE434" s="32">
        <f>IF(A434&lt;&gt;"",SUM(W434:X434,$W$8:$X$8)/SUM($W$2:$X$2)*100,"")</f>
        <v>101</v>
      </c>
      <c r="AF434" s="32" t="str">
        <f>IF(A434&lt;&gt;"",CHOOSE(10-MIN(9,TRUNC((AE434+0.5)/10)),"A","B","C","D","F","F","F","F","F","F"),"")</f>
        <v>A</v>
      </c>
      <c r="AG434" s="32" t="str">
        <f>IF(A434&lt;&gt;"",IF(OR(AE434+0.5&gt;=93,AE434+0.5&lt;60),"",IF(MOD(AE434+0.5,10)&gt;=7,"+",IF(MOD(AE434+0.5,10)&lt;3,"-",""))),"")</f>
        <v/>
      </c>
      <c r="AH434" s="36">
        <f>IF(A434&lt;&gt;"",MIN(MAX(AA434,AE434),AA434+$AH$8,AE434+$AH$8),"")</f>
        <v>101</v>
      </c>
      <c r="AI434" s="32" t="str">
        <f>IF(A434&lt;&gt;"",CHOOSE(10-MIN(9,TRUNC((AH434+0.5)/10)),"A","B","C","D","F","F","F","F","F","F"),"")</f>
        <v>A</v>
      </c>
      <c r="AJ434" s="32" t="str">
        <f>IF(A434&lt;&gt;"",IF(OR(AH434+0.5&gt;=93,AH434+0.5&lt;60),"",IF(MOD(AH434+0.5,10)&gt;=7,"+",IF(MOD(AH434+0.5,10)&lt;3,"-",""))),"")</f>
        <v/>
      </c>
      <c r="AK434" s="32" t="b">
        <f>IF(A434&lt;&gt;"",OR(AI434&lt;&gt;AC434,AJ434&lt;&gt;AD434),"")</f>
        <v>0</v>
      </c>
      <c r="AL434" s="84">
        <f>IF(AND(A434&lt;&gt;"",U434&lt;&gt;""),SUM(U434,$AL$8)/$AL$2*100,"")</f>
        <v>100</v>
      </c>
      <c r="AM434" s="24">
        <f>IF(AND(A434&lt;&gt;"",V434&lt;&gt;""),SUM(V434,$AM$8)/$AM$2*100,"")</f>
        <v>100</v>
      </c>
      <c r="AN434" s="24">
        <f>IF(AND(A434&lt;&gt;"",ISNUMBER(P434),P434&gt;=0),SUM(P434,$AN$8)/$AN$2*100,"")</f>
        <v>101</v>
      </c>
      <c r="AO434" s="24" t="str">
        <f>IF(AND(A434&lt;&gt;"",ISNUMBER(Q434),Q434&gt;=0),SUM(Q434,$AO$8)/$AO$2*100,"")</f>
        <v/>
      </c>
      <c r="AP434" s="24" t="str">
        <f>IF(AND(A434&lt;&gt;"",R434&lt;&gt;""),SUM(R434,$AP$8)/$AP$2*100,"")</f>
        <v/>
      </c>
      <c r="AQ434" s="24">
        <f>IF(AND(A434&lt;&gt;"",ISNUMBER(W434),W434&gt;=0),SUM(W434,$AQ$8)/$AQ$2*100,"")</f>
        <v>101</v>
      </c>
      <c r="AR434" s="24" t="str">
        <f>IF(AND(A434&lt;&gt;"",T434&gt;0,ISNUMBER(T434)),SUM(T434,$AR$8)/$AR$2*100,"")</f>
        <v/>
      </c>
      <c r="AS434" s="24" t="str">
        <f>IF(AND(A434&lt;&gt;"",X434&lt;&gt;""),SUM(X434,$AS$8)/$AS$2*100,"")</f>
        <v/>
      </c>
      <c r="AT434" s="89">
        <f>IF(AND(A434&lt;&gt;"",OR(ISNUMBER(W434),ISNUMBER(X434))),SUM(W434:X434,$AT$8)/$AT$2*100,"")</f>
        <v>101</v>
      </c>
      <c r="AU434" s="24">
        <f>AA434</f>
        <v>100.65573770491802</v>
      </c>
      <c r="AV434" s="24"/>
      <c r="AW434" s="27">
        <f>IF(A434&lt;&gt;"",AE434-AA434,"")</f>
        <v>0.34426229508197537</v>
      </c>
      <c r="AY434" s="27" t="b">
        <f>S434&gt;R434</f>
        <v>0</v>
      </c>
      <c r="BA434" s="27" t="e">
        <f>AND(AA434&gt;$BA$3,(W434+$W$8)/$W$2&lt;$BB$3,(X434+$X$8)/$X$2&lt;$BB$3)</f>
        <v>#VALUE!</v>
      </c>
      <c r="BB434" s="27" t="e">
        <f>AND(AA434&lt;$BA$3,AND(W434/$W$2&gt;$BB$3,X434/$X$2&gt;$BB$3))</f>
        <v>#VALUE!</v>
      </c>
      <c r="BC434" s="27" t="e">
        <f>AND(AA434&lt;$BA$3,OR(W434/$W$2&gt;$BB$3,X434/$X$2&gt;$BB$3))</f>
        <v>#VALUE!</v>
      </c>
      <c r="BE434" s="32" t="s">
        <v>84</v>
      </c>
    </row>
    <row r="435" spans="1:57" s="27" customFormat="1" ht="12.75" customHeight="1" x14ac:dyDescent="0.2">
      <c r="A435" s="10">
        <v>818985</v>
      </c>
      <c r="B435" s="2">
        <v>19</v>
      </c>
      <c r="C435" s="10">
        <v>20</v>
      </c>
      <c r="D435" s="10">
        <v>25</v>
      </c>
      <c r="E435" s="10"/>
      <c r="F435" s="10"/>
      <c r="G435" s="3"/>
      <c r="H435" s="10"/>
      <c r="I435" s="10"/>
      <c r="J435" s="2">
        <v>29</v>
      </c>
      <c r="K435" s="10">
        <v>52</v>
      </c>
      <c r="L435" s="10">
        <v>50</v>
      </c>
      <c r="M435" s="10"/>
      <c r="N435" s="10"/>
      <c r="O435" s="12"/>
      <c r="P435" s="10">
        <v>101</v>
      </c>
      <c r="Q435" s="41"/>
      <c r="R435" s="2"/>
      <c r="S435" s="10"/>
      <c r="T435" s="13"/>
      <c r="U435" s="7">
        <f t="array" ref="U435">IF(AND(A435&lt;&gt;"",OR(ISNUMBER(B435:I435))),SUM(B435:I435),"")</f>
        <v>64</v>
      </c>
      <c r="V435" s="10">
        <f t="array" ref="V435">IF(AND(A435&lt;&gt;"",OR(ISNUMBER(J435:O435))),SUM(J435:O435),"")</f>
        <v>131</v>
      </c>
      <c r="W435" s="10">
        <f t="array" ref="W435">IF(AND(A435&lt;&gt;"",OR(ISNUMBER(P435),ISNUMBER(Q435))),SUM(MAX(P435:Q435),Q435),"")</f>
        <v>101</v>
      </c>
      <c r="X435" s="10" t="str">
        <f t="array" ref="X435">IF(AND(A435&lt;&gt;"",OR(ISNUMBER(S435),ISNUMBER(T435))),SUM(S435,T435),"")</f>
        <v/>
      </c>
      <c r="Y435" s="13">
        <v>1</v>
      </c>
      <c r="Z435" s="13">
        <f>IF(A435&lt;&gt;"",SUM(U435:Y435),"")</f>
        <v>297</v>
      </c>
      <c r="AA435" s="27">
        <f>IF(A435&lt;&gt;"",(Z435+Normalize_To_Add)/(Point_Total_So_Far)*100,"")</f>
        <v>97.377049180327873</v>
      </c>
      <c r="AB435" s="10">
        <f>IF(A435&lt;&gt;"",RANK(AA435,All_Student_XC),"")</f>
        <v>224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>
        <f>IF(A435&lt;&gt;"",SUM(W435:X435,$W$8:$X$8)/SUM($W$2:$X$2)*100,"")</f>
        <v>101</v>
      </c>
      <c r="AF435" s="44" t="str">
        <f>IF(A435&lt;&gt;"",CHOOSE(10-MIN(9,TRUNC((AE435+0.5)/10)),"A","B","C","D","F","F","F","F","F","F"),"")</f>
        <v>A</v>
      </c>
      <c r="AG435" s="44" t="str">
        <f>IF(A435&lt;&gt;"",IF(OR(AE435+0.5&gt;=93,AE435+0.5&lt;60),"",IF(MOD(AE435+0.5,10)&gt;=7,"+",IF(MOD(AE435+0.5,10)&lt;3,"-",""))),"")</f>
        <v/>
      </c>
      <c r="AH435" s="36">
        <f>IF(A435&lt;&gt;"",MIN(MAX(AA435,AE435),AA435+$AH$8,AE435+$AH$8),"")</f>
        <v>101</v>
      </c>
      <c r="AI435" s="32" t="str">
        <f>IF(A435&lt;&gt;"",CHOOSE(10-MIN(9,TRUNC((AH435+0.5)/10)),"A","B","C","D","F","F","F","F","F","F"),"")</f>
        <v>A</v>
      </c>
      <c r="AJ435" s="32" t="str">
        <f>IF(A435&lt;&gt;"",IF(OR(AH435+0.5&gt;=93,AH435+0.5&lt;60),"",IF(MOD(AH435+0.5,10)&gt;=7,"+",IF(MOD(AH435+0.5,10)&lt;3,"-",""))),"")</f>
        <v/>
      </c>
      <c r="AK435" s="32" t="b">
        <f>IF(A435&lt;&gt;"",OR(AI435&lt;&gt;AC435,AJ435&lt;&gt;AD435),"")</f>
        <v>0</v>
      </c>
      <c r="AL435" s="84">
        <f>IF(AND(A435&lt;&gt;"",U435&lt;&gt;""),SUM(U435,$AL$8)/$AL$2*100,"")</f>
        <v>85.333333333333343</v>
      </c>
      <c r="AM435" s="24">
        <f>IF(AND(A435&lt;&gt;"",V435&lt;&gt;""),SUM(V435,$AM$8)/$AM$2*100,"")</f>
        <v>100.76923076923077</v>
      </c>
      <c r="AN435" s="24">
        <f>IF(AND(A435&lt;&gt;"",ISNUMBER(P435),P435&gt;=0),SUM(P435,$AN$8)/$AN$2*100,"")</f>
        <v>101</v>
      </c>
      <c r="AO435" s="24" t="str">
        <f>IF(AND(A435&lt;&gt;"",ISNUMBER(Q435),Q435&gt;=0),SUM(Q435,$AO$8)/$AO$2*100,"")</f>
        <v/>
      </c>
      <c r="AP435" s="24" t="str">
        <f>IF(AND(A435&lt;&gt;"",R435&lt;&gt;""),SUM(R435,$AP$8)/$AP$2*100,"")</f>
        <v/>
      </c>
      <c r="AQ435" s="24">
        <f>IF(AND(A435&lt;&gt;"",ISNUMBER(W435),W435&gt;=0),SUM(W435,$AQ$8)/$AQ$2*100,"")</f>
        <v>101</v>
      </c>
      <c r="AR435" s="24" t="str">
        <f>IF(AND(A435&lt;&gt;"",T435&gt;0,ISNUMBER(T435)),SUM(T435,$AR$8)/$AR$2*100,"")</f>
        <v/>
      </c>
      <c r="AS435" s="24" t="str">
        <f>IF(AND(A435&lt;&gt;"",X435&lt;&gt;""),SUM(X435,$AS$8)/$AS$2*100,"")</f>
        <v/>
      </c>
      <c r="AT435" s="89">
        <f>IF(AND(A435&lt;&gt;"",OR(ISNUMBER(W435),ISNUMBER(X435))),SUM(W435:X435,$AT$8)/$AT$2*100,"")</f>
        <v>101</v>
      </c>
      <c r="AU435" s="24">
        <f>AA435</f>
        <v>97.377049180327873</v>
      </c>
      <c r="AV435" s="24"/>
      <c r="AW435" s="27">
        <f>IF(A435&lt;&gt;"",AE435-AA435,"")</f>
        <v>3.622950819672127</v>
      </c>
      <c r="AY435" s="27" t="b">
        <f>S435&gt;R435</f>
        <v>0</v>
      </c>
      <c r="BA435" s="27" t="e">
        <f>AND(AA435&gt;$BA$3,(W435+$W$8)/$W$2&lt;$BB$3,(X435+$X$8)/$X$2&lt;$BB$3)</f>
        <v>#VALUE!</v>
      </c>
      <c r="BB435" s="27" t="e">
        <f>AND(AA435&lt;$BA$3,AND(W435/$W$2&gt;$BB$3,X435/$X$2&gt;$BB$3))</f>
        <v>#VALUE!</v>
      </c>
      <c r="BC435" s="27" t="e">
        <f>AND(AA435&lt;$BA$3,OR(W435/$W$2&gt;$BB$3,X435/$X$2&gt;$BB$3))</f>
        <v>#VALUE!</v>
      </c>
      <c r="BE435" s="32" t="s">
        <v>84</v>
      </c>
    </row>
    <row r="436" spans="1:57" s="27" customFormat="1" ht="12.75" customHeight="1" x14ac:dyDescent="0.2">
      <c r="A436" s="56">
        <v>820849</v>
      </c>
      <c r="B436" s="2">
        <v>11</v>
      </c>
      <c r="C436" s="10">
        <v>22</v>
      </c>
      <c r="D436" s="10">
        <v>25</v>
      </c>
      <c r="E436" s="10"/>
      <c r="F436" s="10"/>
      <c r="G436" s="3"/>
      <c r="H436" s="10"/>
      <c r="I436" s="10"/>
      <c r="J436" s="2">
        <v>22</v>
      </c>
      <c r="K436" s="10">
        <v>43</v>
      </c>
      <c r="L436" s="10">
        <v>52</v>
      </c>
      <c r="M436" s="10"/>
      <c r="N436" s="93"/>
      <c r="O436" s="12"/>
      <c r="P436" s="10">
        <v>101</v>
      </c>
      <c r="Q436" s="41"/>
      <c r="R436" s="2"/>
      <c r="S436" s="10"/>
      <c r="T436" s="13"/>
      <c r="U436" s="7">
        <f t="array" ref="U436">IF(AND(A436&lt;&gt;"",OR(ISNUMBER(B436:I436))),SUM(B436:I436),"")</f>
        <v>58</v>
      </c>
      <c r="V436" s="10">
        <f t="array" ref="V436">IF(AND(A436&lt;&gt;"",OR(ISNUMBER(J436:O436))),SUM(J436:O436),"")</f>
        <v>117</v>
      </c>
      <c r="W436" s="10">
        <f t="array" ref="W436">IF(AND(A436&lt;&gt;"",OR(ISNUMBER(P436),ISNUMBER(Q436))),SUM(MAX(P436:Q436),Q436),"")</f>
        <v>101</v>
      </c>
      <c r="X436" s="10" t="str">
        <f t="array" ref="X436">IF(AND(A436&lt;&gt;"",OR(ISNUMBER(S436),ISNUMBER(T436))),SUM(S436,T436),"")</f>
        <v/>
      </c>
      <c r="Y436" s="13">
        <v>1</v>
      </c>
      <c r="Z436" s="13">
        <f>IF(A436&lt;&gt;"",SUM(U436:Y436),"")</f>
        <v>277</v>
      </c>
      <c r="AA436" s="27">
        <f>IF(A436&lt;&gt;"",(Z436+Normalize_To_Add)/(Point_Total_So_Far)*100,"")</f>
        <v>90.819672131147541</v>
      </c>
      <c r="AB436" s="10">
        <f>IF(A436&lt;&gt;"",RANK(AA436,All_Student_XC),"")</f>
        <v>324</v>
      </c>
      <c r="AC436" s="32" t="str">
        <f>IF(A436&lt;&gt;"",CHOOSE(10-MIN(9,TRUNC((AA436+0.5)/10)),"A","B","C","D","F","F","F","F","F","F"),"")</f>
        <v>A</v>
      </c>
      <c r="AD436" s="32" t="str">
        <f>IF(A436&lt;&gt;"",IF(OR(AA436+0.5&gt;=93,AA436+0.5&lt;60),"",IF(MOD(AA436+0.5,10)&gt;=7,"+",IF(MOD(AA436+0.5,10)&lt;3,"-",""))),"")</f>
        <v>-</v>
      </c>
      <c r="AE436" s="32">
        <f>IF(A436&lt;&gt;"",SUM(W436:X436,$W$8:$X$8)/SUM($W$2:$X$2)*100,"")</f>
        <v>101</v>
      </c>
      <c r="AF436" s="32" t="str">
        <f>IF(A436&lt;&gt;"",CHOOSE(10-MIN(9,TRUNC((AE436+0.5)/10)),"A","B","C","D","F","F","F","F","F","F"),"")</f>
        <v>A</v>
      </c>
      <c r="AG436" s="32" t="str">
        <f>IF(A436&lt;&gt;"",IF(OR(AE436+0.5&gt;=93,AE436+0.5&lt;60),"",IF(MOD(AE436+0.5,10)&gt;=7,"+",IF(MOD(AE436+0.5,10)&lt;3,"-",""))),"")</f>
        <v/>
      </c>
      <c r="AH436" s="36">
        <f>IF(A436&lt;&gt;"",MIN(MAX(AA436,AE436),AA436+$AH$8,AE436+$AH$8),"")</f>
        <v>101</v>
      </c>
      <c r="AI436" s="32" t="str">
        <f>IF(A436&lt;&gt;"",CHOOSE(10-MIN(9,TRUNC((AH436+0.5)/10)),"A","B","C","D","F","F","F","F","F","F"),"")</f>
        <v>A</v>
      </c>
      <c r="AJ436" s="32" t="str">
        <f>IF(A436&lt;&gt;"",IF(OR(AH436+0.5&gt;=93,AH436+0.5&lt;60),"",IF(MOD(AH436+0.5,10)&gt;=7,"+",IF(MOD(AH436+0.5,10)&lt;3,"-",""))),"")</f>
        <v/>
      </c>
      <c r="AK436" s="32" t="b">
        <f>IF(A436&lt;&gt;"",OR(AI436&lt;&gt;AC436,AJ436&lt;&gt;AD436),"")</f>
        <v>1</v>
      </c>
      <c r="AL436" s="84">
        <f>IF(AND(A436&lt;&gt;"",U436&lt;&gt;""),SUM(U436,$AL$8)/$AL$2*100,"")</f>
        <v>77.333333333333329</v>
      </c>
      <c r="AM436" s="24">
        <f>IF(AND(A436&lt;&gt;"",V436&lt;&gt;""),SUM(V436,$AM$8)/$AM$2*100,"")</f>
        <v>90</v>
      </c>
      <c r="AN436" s="24">
        <f>IF(AND(A436&lt;&gt;"",ISNUMBER(P436),P436&gt;=0),SUM(P436,$AN$8)/$AN$2*100,"")</f>
        <v>101</v>
      </c>
      <c r="AO436" s="24" t="str">
        <f>IF(AND(A436&lt;&gt;"",ISNUMBER(Q436),Q436&gt;=0),SUM(Q436,$AO$8)/$AO$2*100,"")</f>
        <v/>
      </c>
      <c r="AP436" s="24" t="str">
        <f>IF(AND(A436&lt;&gt;"",R436&lt;&gt;""),SUM(R436,$AP$8)/$AP$2*100,"")</f>
        <v/>
      </c>
      <c r="AQ436" s="24">
        <f>IF(AND(A436&lt;&gt;"",ISNUMBER(W436),W436&gt;=0),SUM(W436,$AQ$8)/$AQ$2*100,"")</f>
        <v>101</v>
      </c>
      <c r="AR436" s="24" t="str">
        <f>IF(AND(A436&lt;&gt;"",T436&gt;0,ISNUMBER(T436)),SUM(T436,$AR$8)/$AR$2*100,"")</f>
        <v/>
      </c>
      <c r="AS436" s="24" t="str">
        <f>IF(AND(A436&lt;&gt;"",X436&lt;&gt;""),SUM(X436,$AS$8)/$AS$2*100,"")</f>
        <v/>
      </c>
      <c r="AT436" s="89">
        <f>IF(AND(A436&lt;&gt;"",OR(ISNUMBER(W436),ISNUMBER(X436))),SUM(W436:X436,$AT$8)/$AT$2*100,"")</f>
        <v>101</v>
      </c>
      <c r="AU436" s="24">
        <f>AA436</f>
        <v>90.819672131147541</v>
      </c>
      <c r="AV436" s="24"/>
      <c r="AW436" s="27">
        <f>IF(A436&lt;&gt;"",AE436-AA436,"")</f>
        <v>10.180327868852459</v>
      </c>
      <c r="AY436" s="27" t="b">
        <f>S436&gt;R436</f>
        <v>0</v>
      </c>
      <c r="BA436" s="27" t="e">
        <f>AND(AA436&gt;$BA$3,(W436+$W$8)/$W$2&lt;$BB$3,(X436+$X$8)/$X$2&lt;$BB$3)</f>
        <v>#VALUE!</v>
      </c>
      <c r="BB436" s="27" t="e">
        <f>AND(AA436&lt;$BA$3,AND(W436/$W$2&gt;$BB$3,X436/$X$2&gt;$BB$3))</f>
        <v>#VALUE!</v>
      </c>
      <c r="BC436" s="27" t="e">
        <f>AND(AA436&lt;$BA$3,OR(W436/$W$2&gt;$BB$3,X436/$X$2&gt;$BB$3))</f>
        <v>#VALUE!</v>
      </c>
      <c r="BE436" s="32" t="s">
        <v>84</v>
      </c>
    </row>
    <row r="437" spans="1:57" s="27" customFormat="1" ht="12.75" customHeight="1" x14ac:dyDescent="0.2">
      <c r="A437" s="10">
        <v>823312</v>
      </c>
      <c r="B437" s="2">
        <v>23</v>
      </c>
      <c r="C437" s="10">
        <v>23</v>
      </c>
      <c r="D437" s="10">
        <v>25</v>
      </c>
      <c r="E437" s="10"/>
      <c r="F437" s="10"/>
      <c r="G437" s="3"/>
      <c r="H437" s="10"/>
      <c r="I437" s="10"/>
      <c r="J437" s="55">
        <v>30</v>
      </c>
      <c r="K437" s="10">
        <v>44</v>
      </c>
      <c r="L437" s="10">
        <v>51</v>
      </c>
      <c r="M437" s="10"/>
      <c r="N437" s="10"/>
      <c r="O437" s="12"/>
      <c r="P437" s="41">
        <v>100</v>
      </c>
      <c r="Q437" s="41"/>
      <c r="R437" s="2"/>
      <c r="S437" s="10"/>
      <c r="T437" s="13"/>
      <c r="U437" s="7">
        <f t="array" ref="U437">IF(AND(A437&lt;&gt;"",OR(ISNUMBER(B437:I437))),SUM(B437:I437),"")</f>
        <v>71</v>
      </c>
      <c r="V437" s="10">
        <f t="array" ref="V437">IF(AND(A437&lt;&gt;"",OR(ISNUMBER(J437:O437))),SUM(J437:O437),"")</f>
        <v>125</v>
      </c>
      <c r="W437" s="10">
        <f t="array" ref="W437">IF(AND(A437&lt;&gt;"",OR(ISNUMBER(P437),ISNUMBER(Q437))),SUM(MAX(P437:Q437),Q437),"")</f>
        <v>100</v>
      </c>
      <c r="X437" s="10" t="str">
        <f t="array" ref="X437">IF(AND(A437&lt;&gt;"",OR(ISNUMBER(S437),ISNUMBER(T437))),SUM(S437,T437),"")</f>
        <v/>
      </c>
      <c r="Y437" s="13">
        <v>1</v>
      </c>
      <c r="Z437" s="13">
        <f>IF(A437&lt;&gt;"",SUM(U437:Y437),"")</f>
        <v>297</v>
      </c>
      <c r="AA437" s="27">
        <f>IF(A437&lt;&gt;"",(Z437+Normalize_To_Add)/(Point_Total_So_Far)*100,"")</f>
        <v>97.377049180327873</v>
      </c>
      <c r="AB437" s="10">
        <f>IF(A437&lt;&gt;"",RANK(AA437,All_Student_XC),"")</f>
        <v>224</v>
      </c>
      <c r="AC437" s="32" t="str">
        <f>IF(A437&lt;&gt;"",CHOOSE(10-MIN(9,TRUNC((AA437+0.5)/10)),"A","B","C","D","F","F","F","F","F","F"),"")</f>
        <v>A</v>
      </c>
      <c r="AD437" s="32" t="str">
        <f>IF(A437&lt;&gt;"",IF(OR(AA437+0.5&gt;=93,AA437+0.5&lt;60),"",IF(MOD(AA437+0.5,10)&gt;=7,"+",IF(MOD(AA437+0.5,10)&lt;3,"-",""))),"")</f>
        <v/>
      </c>
      <c r="AE437" s="32">
        <f>IF(A437&lt;&gt;"",SUM(W437:X437,$W$8:$X$8)/SUM($W$2:$X$2)*100,"")</f>
        <v>100</v>
      </c>
      <c r="AF437" s="32" t="str">
        <f>IF(A437&lt;&gt;"",CHOOSE(10-MIN(9,TRUNC((AE437+0.5)/10)),"A","B","C","D","F","F","F","F","F","F"),"")</f>
        <v>A</v>
      </c>
      <c r="AG437" s="32" t="str">
        <f>IF(A437&lt;&gt;"",IF(OR(AE437+0.5&gt;=93,AE437+0.5&lt;60),"",IF(MOD(AE437+0.5,10)&gt;=7,"+",IF(MOD(AE437+0.5,10)&lt;3,"-",""))),"")</f>
        <v/>
      </c>
      <c r="AH437" s="36">
        <f>IF(A437&lt;&gt;"",MIN(MAX(AA437,AE437),AA437+$AH$8,AE437+$AH$8),"")</f>
        <v>100</v>
      </c>
      <c r="AI437" s="32" t="str">
        <f>IF(A437&lt;&gt;"",CHOOSE(10-MIN(9,TRUNC((AH437+0.5)/10)),"A","B","C","D","F","F","F","F","F","F"),"")</f>
        <v>A</v>
      </c>
      <c r="AJ437" s="32" t="str">
        <f>IF(A437&lt;&gt;"",IF(OR(AH437+0.5&gt;=93,AH437+0.5&lt;60),"",IF(MOD(AH437+0.5,10)&gt;=7,"+",IF(MOD(AH437+0.5,10)&lt;3,"-",""))),"")</f>
        <v/>
      </c>
      <c r="AK437" s="32" t="b">
        <f>IF(A437&lt;&gt;"",OR(AI437&lt;&gt;AC437,AJ437&lt;&gt;AD437),"")</f>
        <v>0</v>
      </c>
      <c r="AL437" s="84">
        <f>IF(AND(A437&lt;&gt;"",U437&lt;&gt;""),SUM(U437,$AL$8)/$AL$2*100,"")</f>
        <v>94.666666666666671</v>
      </c>
      <c r="AM437" s="24">
        <f>IF(AND(A437&lt;&gt;"",V437&lt;&gt;""),SUM(V437,$AM$8)/$AM$2*100,"")</f>
        <v>96.15384615384616</v>
      </c>
      <c r="AN437" s="24">
        <f>IF(AND(A437&lt;&gt;"",ISNUMBER(P437),P437&gt;=0),SUM(P437,$AN$8)/$AN$2*100,"")</f>
        <v>100</v>
      </c>
      <c r="AO437" s="24" t="str">
        <f>IF(AND(A437&lt;&gt;"",ISNUMBER(Q437),Q437&gt;=0),SUM(Q437,$AO$8)/$AO$2*100,"")</f>
        <v/>
      </c>
      <c r="AP437" s="24" t="str">
        <f>IF(AND(A437&lt;&gt;"",R437&lt;&gt;""),SUM(R437,$AP$8)/$AP$2*100,"")</f>
        <v/>
      </c>
      <c r="AQ437" s="24">
        <f>IF(AND(A437&lt;&gt;"",ISNUMBER(W437),W437&gt;=0),SUM(W437,$AQ$8)/$AQ$2*100,"")</f>
        <v>100</v>
      </c>
      <c r="AR437" s="24" t="str">
        <f>IF(AND(A437&lt;&gt;"",T437&gt;0,ISNUMBER(T437)),SUM(T437,$AR$8)/$AR$2*100,"")</f>
        <v/>
      </c>
      <c r="AS437" s="24" t="str">
        <f>IF(AND(A437&lt;&gt;"",X437&lt;&gt;""),SUM(X437,$AS$8)/$AS$2*100,"")</f>
        <v/>
      </c>
      <c r="AT437" s="89">
        <f>IF(AND(A437&lt;&gt;"",OR(ISNUMBER(W437),ISNUMBER(X437))),SUM(W437:X437,$AT$8)/$AT$2*100,"")</f>
        <v>100</v>
      </c>
      <c r="AU437" s="24">
        <f>AA437</f>
        <v>97.377049180327873</v>
      </c>
      <c r="AV437" s="24"/>
      <c r="AW437" s="27">
        <f>IF(A437&lt;&gt;"",AE437-AA437,"")</f>
        <v>2.622950819672127</v>
      </c>
      <c r="AY437" s="27" t="b">
        <f>S437&gt;R437</f>
        <v>0</v>
      </c>
      <c r="BA437" s="27" t="e">
        <f>AND(AA437&gt;$BA$3,(W437+$W$8)/$W$2&lt;$BB$3,(X437+$X$8)/$X$2&lt;$BB$3)</f>
        <v>#VALUE!</v>
      </c>
      <c r="BB437" s="27" t="e">
        <f>AND(AA437&lt;$BA$3,AND(W437/$W$2&gt;$BB$3,X437/$X$2&gt;$BB$3))</f>
        <v>#VALUE!</v>
      </c>
      <c r="BC437" s="27" t="e">
        <f>AND(AA437&lt;$BA$3,OR(W437/$W$2&gt;$BB$3,X437/$X$2&gt;$BB$3))</f>
        <v>#VALUE!</v>
      </c>
      <c r="BE437" s="32">
        <v>32</v>
      </c>
    </row>
    <row r="438" spans="1:57" s="27" customFormat="1" ht="12.75" customHeight="1" x14ac:dyDescent="0.2">
      <c r="A438" s="10">
        <v>825178</v>
      </c>
      <c r="B438" s="2">
        <v>24</v>
      </c>
      <c r="C438" s="10">
        <v>20</v>
      </c>
      <c r="D438" s="10">
        <v>25</v>
      </c>
      <c r="E438" s="10"/>
      <c r="F438" s="10"/>
      <c r="G438" s="3"/>
      <c r="H438" s="10"/>
      <c r="I438" s="10"/>
      <c r="J438" s="2">
        <v>31</v>
      </c>
      <c r="K438" s="10">
        <v>50</v>
      </c>
      <c r="L438" s="10">
        <v>50</v>
      </c>
      <c r="M438" s="10"/>
      <c r="N438" s="93"/>
      <c r="O438" s="12"/>
      <c r="P438" s="10">
        <v>60</v>
      </c>
      <c r="Q438" s="41"/>
      <c r="R438" s="2"/>
      <c r="S438" s="10"/>
      <c r="T438" s="13"/>
      <c r="U438" s="7">
        <f t="array" ref="U438">IF(AND(A438&lt;&gt;"",OR(ISNUMBER(B438:I438))),SUM(B438:I438),"")</f>
        <v>69</v>
      </c>
      <c r="V438" s="10">
        <f t="array" ref="V438">IF(AND(A438&lt;&gt;"",OR(ISNUMBER(J438:O438))),SUM(J438:O438),"")</f>
        <v>131</v>
      </c>
      <c r="W438" s="10">
        <f t="array" ref="W438">IF(AND(A438&lt;&gt;"",OR(ISNUMBER(P438),ISNUMBER(Q438))),SUM(MAX(P438:Q438),Q438),"")</f>
        <v>60</v>
      </c>
      <c r="X438" s="10" t="str">
        <f t="array" ref="X438">IF(AND(A438&lt;&gt;"",OR(ISNUMBER(S438),ISNUMBER(T438))),SUM(S438,T438),"")</f>
        <v/>
      </c>
      <c r="Y438" s="13">
        <v>1</v>
      </c>
      <c r="Z438" s="13">
        <f>IF(A438&lt;&gt;"",SUM(U438:Y438),"")</f>
        <v>261</v>
      </c>
      <c r="AA438" s="27">
        <f>IF(A438&lt;&gt;"",(Z438+Normalize_To_Add)/(Point_Total_So_Far)*100,"")</f>
        <v>85.573770491803288</v>
      </c>
      <c r="AB438" s="10">
        <f>IF(A438&lt;&gt;"",RANK(AA438,All_Student_XC),"")</f>
        <v>374</v>
      </c>
      <c r="AC438" s="32" t="str">
        <f>IF(A438&lt;&gt;"",CHOOSE(10-MIN(9,TRUNC((AA438+0.5)/10)),"A","B","C","D","F","F","F","F","F","F"),"")</f>
        <v>B</v>
      </c>
      <c r="AD438" s="32" t="str">
        <f>IF(A438&lt;&gt;"",IF(OR(AA438+0.5&gt;=93,AA438+0.5&lt;60),"",IF(MOD(AA438+0.5,10)&gt;=7,"+",IF(MOD(AA438+0.5,10)&lt;3,"-",""))),"")</f>
        <v/>
      </c>
      <c r="AE438" s="32">
        <f>IF(A438&lt;&gt;"",SUM(W438:X438,$W$8:$X$8)/SUM($W$2:$X$2)*100,"")</f>
        <v>60</v>
      </c>
      <c r="AF438" s="44" t="str">
        <f>IF(A438&lt;&gt;"",CHOOSE(10-MIN(9,TRUNC((AE438+0.5)/10)),"A","B","C","D","F","F","F","F","F","F"),"")</f>
        <v>D</v>
      </c>
      <c r="AG438" s="44" t="str">
        <f>IF(A438&lt;&gt;"",IF(OR(AE438+0.5&gt;=93,AE438+0.5&lt;60),"",IF(MOD(AE438+0.5,10)&gt;=7,"+",IF(MOD(AE438+0.5,10)&lt;3,"-",""))),"")</f>
        <v>-</v>
      </c>
      <c r="AH438" s="36">
        <f>IF(A438&lt;&gt;"",MIN(MAX(AA438,AE438),AA438+$AH$8,AE438+$AH$8),"")</f>
        <v>85.573770491803288</v>
      </c>
      <c r="AI438" s="32" t="str">
        <f>IF(A438&lt;&gt;"",CHOOSE(10-MIN(9,TRUNC((AH438+0.5)/10)),"A","B","C","D","F","F","F","F","F","F"),"")</f>
        <v>B</v>
      </c>
      <c r="AJ438" s="32" t="str">
        <f>IF(A438&lt;&gt;"",IF(OR(AH438+0.5&gt;=93,AH438+0.5&lt;60),"",IF(MOD(AH438+0.5,10)&gt;=7,"+",IF(MOD(AH438+0.5,10)&lt;3,"-",""))),"")</f>
        <v/>
      </c>
      <c r="AK438" s="32" t="b">
        <f>IF(A438&lt;&gt;"",OR(AI438&lt;&gt;AC438,AJ438&lt;&gt;AD438),"")</f>
        <v>0</v>
      </c>
      <c r="AL438" s="84">
        <f>IF(AND(A438&lt;&gt;"",U438&lt;&gt;""),SUM(U438,$AL$8)/$AL$2*100,"")</f>
        <v>92</v>
      </c>
      <c r="AM438" s="24">
        <f>IF(AND(A438&lt;&gt;"",V438&lt;&gt;""),SUM(V438,$AM$8)/$AM$2*100,"")</f>
        <v>100.76923076923077</v>
      </c>
      <c r="AN438" s="24">
        <f>IF(AND(A438&lt;&gt;"",ISNUMBER(P438),P438&gt;=0),SUM(P438,$AN$8)/$AN$2*100,"")</f>
        <v>60</v>
      </c>
      <c r="AO438" s="24" t="str">
        <f>IF(AND(A438&lt;&gt;"",ISNUMBER(Q438),Q438&gt;=0),SUM(Q438,$AO$8)/$AO$2*100,"")</f>
        <v/>
      </c>
      <c r="AP438" s="24" t="str">
        <f>IF(AND(A438&lt;&gt;"",R438&lt;&gt;""),SUM(R438,$AP$8)/$AP$2*100,"")</f>
        <v/>
      </c>
      <c r="AQ438" s="24">
        <f>IF(AND(A438&lt;&gt;"",ISNUMBER(W438),W438&gt;=0),SUM(W438,$AQ$8)/$AQ$2*100,"")</f>
        <v>60</v>
      </c>
      <c r="AR438" s="24" t="str">
        <f>IF(AND(A438&lt;&gt;"",T438&gt;0,ISNUMBER(T438)),SUM(T438,$AR$8)/$AR$2*100,"")</f>
        <v/>
      </c>
      <c r="AS438" s="24" t="str">
        <f>IF(AND(A438&lt;&gt;"",X438&lt;&gt;""),SUM(X438,$AS$8)/$AS$2*100,"")</f>
        <v/>
      </c>
      <c r="AT438" s="89">
        <f>IF(AND(A438&lt;&gt;"",OR(ISNUMBER(W438),ISNUMBER(X438))),SUM(W438:X438,$AT$8)/$AT$2*100,"")</f>
        <v>60</v>
      </c>
      <c r="AU438" s="24">
        <f>AA438</f>
        <v>85.573770491803288</v>
      </c>
      <c r="AV438" s="24"/>
      <c r="AW438" s="27">
        <f>IF(A438&lt;&gt;"",AE438-AA438,"")</f>
        <v>-25.573770491803288</v>
      </c>
      <c r="AY438" s="27" t="b">
        <f>S438&gt;R438</f>
        <v>0</v>
      </c>
      <c r="BA438" s="27" t="e">
        <f>AND(AA438&gt;$BA$3,(W438+$W$8)/$W$2&lt;$BB$3,(X438+$X$8)/$X$2&lt;$BB$3)</f>
        <v>#VALUE!</v>
      </c>
      <c r="BB438" s="27" t="e">
        <f>AND(AA438&lt;$BA$3,AND(W438/$W$2&gt;$BB$3,X438/$X$2&gt;$BB$3))</f>
        <v>#VALUE!</v>
      </c>
      <c r="BC438" s="27" t="e">
        <f>AND(AA438&lt;$BA$3,OR(W438/$W$2&gt;$BB$3,X438/$X$2&gt;$BB$3))</f>
        <v>#VALUE!</v>
      </c>
      <c r="BE438" s="32">
        <v>32</v>
      </c>
    </row>
    <row r="439" spans="1:57" s="27" customFormat="1" ht="12.75" customHeight="1" x14ac:dyDescent="0.2">
      <c r="A439" s="10">
        <v>828807</v>
      </c>
      <c r="B439" s="2">
        <v>24</v>
      </c>
      <c r="C439" s="10">
        <v>24</v>
      </c>
      <c r="D439" s="10">
        <v>25</v>
      </c>
      <c r="E439" s="10"/>
      <c r="F439" s="10"/>
      <c r="G439" s="10"/>
      <c r="H439" s="10"/>
      <c r="I439" s="10"/>
      <c r="J439" s="2">
        <v>32</v>
      </c>
      <c r="K439" s="10">
        <v>52</v>
      </c>
      <c r="L439" s="10">
        <v>52</v>
      </c>
      <c r="M439" s="10"/>
      <c r="N439" s="93"/>
      <c r="O439" s="13"/>
      <c r="P439" s="10">
        <v>101</v>
      </c>
      <c r="Q439" s="10"/>
      <c r="R439" s="2"/>
      <c r="S439" s="10"/>
      <c r="T439" s="13"/>
      <c r="U439" s="7">
        <f t="array" ref="U439">IF(AND(A439&lt;&gt;"",OR(ISNUMBER(B439:I439))),SUM(B439:I439),"")</f>
        <v>73</v>
      </c>
      <c r="V439" s="10">
        <f t="array" ref="V439">IF(AND(A439&lt;&gt;"",OR(ISNUMBER(J439:O439))),SUM(J439:O439),"")</f>
        <v>136</v>
      </c>
      <c r="W439" s="10">
        <f t="array" ref="W439">IF(AND(A439&lt;&gt;"",OR(ISNUMBER(P439),ISNUMBER(Q439))),SUM(MAX(P439:Q439),Q439),"")</f>
        <v>101</v>
      </c>
      <c r="X439" s="10" t="str">
        <f t="array" ref="X439">IF(AND(A439&lt;&gt;"",OR(ISNUMBER(S439),ISNUMBER(T439))),SUM(S439,T439),"")</f>
        <v/>
      </c>
      <c r="Y439" s="13">
        <v>1</v>
      </c>
      <c r="Z439" s="13">
        <f>IF(A439&lt;&gt;"",SUM(U439:Y439),"")</f>
        <v>311</v>
      </c>
      <c r="AA439" s="27">
        <f>IF(A439&lt;&gt;"",(Z439+Normalize_To_Add)/(Point_Total_So_Far)*100,"")</f>
        <v>101.9672131147541</v>
      </c>
      <c r="AB439" s="10">
        <f>IF(A439&lt;&gt;"",RANK(AA439,All_Student_XC),"")</f>
        <v>7</v>
      </c>
      <c r="AC439" s="32" t="str">
        <f>IF(A439&lt;&gt;"",CHOOSE(10-MIN(9,TRUNC((AA439+0.5)/10)),"A","B","C","D","F","F","F","F","F","F"),"")</f>
        <v>A</v>
      </c>
      <c r="AD439" s="31" t="str">
        <f>IF(A439&lt;&gt;"",IF(OR(AA439+0.5&gt;=93,AA439+0.5&lt;60),"",IF(MOD(AA439+0.5,10)&gt;=7,"+",IF(MOD(AA439+0.5,10)&lt;3,"-",""))),"")</f>
        <v/>
      </c>
      <c r="AE439" s="32">
        <f>IF(A439&lt;&gt;"",SUM(W439:X439,$W$8:$X$8)/SUM($W$2:$X$2)*100,"")</f>
        <v>101</v>
      </c>
      <c r="AF439" s="32" t="str">
        <f>IF(A439&lt;&gt;"",CHOOSE(10-MIN(9,TRUNC((AE439+0.5)/10)),"A","B","C","D","F","F","F","F","F","F"),"")</f>
        <v>A</v>
      </c>
      <c r="AG439" s="32" t="str">
        <f>IF(A439&lt;&gt;"",IF(OR(AE439+0.5&gt;=93,AE439+0.5&lt;60),"",IF(MOD(AE439+0.5,10)&gt;=7,"+",IF(MOD(AE439+0.5,10)&lt;3,"-",""))),"")</f>
        <v/>
      </c>
      <c r="AH439" s="36">
        <f>IF(A439&lt;&gt;"",MIN(MAX(AA439,AE439),AA439+$AH$8,AE439+$AH$8),"")</f>
        <v>101.9672131147541</v>
      </c>
      <c r="AI439" s="32" t="str">
        <f>IF(A439&lt;&gt;"",CHOOSE(10-MIN(9,TRUNC((AH439+0.5)/10)),"A","B","C","D","F","F","F","F","F","F"),"")</f>
        <v>A</v>
      </c>
      <c r="AJ439" s="32" t="str">
        <f>IF(A439&lt;&gt;"",IF(OR(AH439+0.5&gt;=93,AH439+0.5&lt;60),"",IF(MOD(AH439+0.5,10)&gt;=7,"+",IF(MOD(AH439+0.5,10)&lt;3,"-",""))),"")</f>
        <v/>
      </c>
      <c r="AK439" s="71" t="b">
        <f>IF(A439&lt;&gt;"",OR(AI439&lt;&gt;AC439,AJ439&lt;&gt;AD439),"")</f>
        <v>0</v>
      </c>
      <c r="AL439" s="86">
        <f>IF(AND(A439&lt;&gt;"",U439&lt;&gt;""),SUM(U439,$AL$8)/$AL$2*100,"")</f>
        <v>97.333333333333343</v>
      </c>
      <c r="AM439" s="71">
        <f>IF(AND(A439&lt;&gt;"",V439&lt;&gt;""),SUM(V439,$AM$8)/$AM$2*100,"")</f>
        <v>104.61538461538463</v>
      </c>
      <c r="AN439" s="71">
        <f>IF(AND(A439&lt;&gt;"",ISNUMBER(P439),P439&gt;=0),SUM(P439,$AN$8)/$AN$2*100,"")</f>
        <v>101</v>
      </c>
      <c r="AO439" s="71" t="str">
        <f>IF(AND(A439&lt;&gt;"",ISNUMBER(Q439),Q439&gt;=0),SUM(Q439,$AO$8)/$AO$2*100,"")</f>
        <v/>
      </c>
      <c r="AP439" s="24" t="str">
        <f>IF(AND(A439&lt;&gt;"",R439&lt;&gt;""),SUM(R439,$AP$8)/$AP$2*100,"")</f>
        <v/>
      </c>
      <c r="AQ439" s="24">
        <f>IF(AND(A439&lt;&gt;"",ISNUMBER(W439),W439&gt;=0),SUM(W439,$AQ$8)/$AQ$2*100,"")</f>
        <v>101</v>
      </c>
      <c r="AR439" s="24" t="str">
        <f>IF(AND(A439&lt;&gt;"",T439&gt;0,ISNUMBER(T439)),SUM(T439,$AR$8)/$AR$2*100,"")</f>
        <v/>
      </c>
      <c r="AS439" s="24" t="str">
        <f>IF(AND(A439&lt;&gt;"",X439&lt;&gt;""),SUM(X439,$AS$8)/$AS$2*100,"")</f>
        <v/>
      </c>
      <c r="AT439" s="89">
        <f>IF(AND(A439&lt;&gt;"",OR(ISNUMBER(W439),ISNUMBER(X439))),SUM(W439:X439,$AT$8)/$AT$2*100,"")</f>
        <v>101</v>
      </c>
      <c r="AU439" s="24">
        <f>AA439</f>
        <v>101.9672131147541</v>
      </c>
      <c r="AV439" s="71"/>
      <c r="AW439" s="27">
        <f>IF(A439&lt;&gt;"",AE439-AA439,"")</f>
        <v>-0.96721311475410232</v>
      </c>
      <c r="AY439" s="27" t="b">
        <f>S439&gt;R439</f>
        <v>0</v>
      </c>
      <c r="BA439" s="27" t="e">
        <f>AND(AA439&gt;$BA$3,(W439+$W$8)/$W$2&lt;$BB$3,(X439+$X$8)/$X$2&lt;$BB$3)</f>
        <v>#VALUE!</v>
      </c>
      <c r="BB439" s="27" t="e">
        <f>AND(AA439&lt;$BA$3,AND(W439/$W$2&gt;$BB$3,X439/$X$2&gt;$BB$3))</f>
        <v>#VALUE!</v>
      </c>
      <c r="BC439" s="27" t="e">
        <f>AND(AA439&lt;$BA$3,OR(W439/$W$2&gt;$BB$3,X439/$X$2&gt;$BB$3))</f>
        <v>#VALUE!</v>
      </c>
      <c r="BE439" s="32" t="s">
        <v>84</v>
      </c>
    </row>
    <row r="440" spans="1:57" s="27" customFormat="1" ht="12.75" customHeight="1" x14ac:dyDescent="0.2">
      <c r="A440" s="10">
        <v>829676</v>
      </c>
      <c r="B440" s="2">
        <v>18</v>
      </c>
      <c r="C440" s="10">
        <v>20</v>
      </c>
      <c r="D440" s="10">
        <v>22</v>
      </c>
      <c r="E440" s="10"/>
      <c r="F440" s="10"/>
      <c r="G440" s="3"/>
      <c r="H440" s="10"/>
      <c r="I440" s="10"/>
      <c r="J440" s="2">
        <v>27</v>
      </c>
      <c r="K440" s="10">
        <v>24</v>
      </c>
      <c r="L440" s="10">
        <v>50</v>
      </c>
      <c r="M440" s="10"/>
      <c r="N440" s="10"/>
      <c r="O440" s="12"/>
      <c r="P440" s="10">
        <v>81</v>
      </c>
      <c r="Q440" s="7"/>
      <c r="R440" s="2"/>
      <c r="S440" s="10"/>
      <c r="T440" s="13"/>
      <c r="U440" s="35">
        <f t="array" ref="U440">IF(AND(A440&lt;&gt;"",OR(ISNUMBER(B440:I440))),SUM(B440:I440),"")</f>
        <v>60</v>
      </c>
      <c r="V440" s="10">
        <f t="array" ref="V440">IF(AND(A440&lt;&gt;"",OR(ISNUMBER(J440:O440))),SUM(J440:O440),"")</f>
        <v>101</v>
      </c>
      <c r="W440" s="10">
        <f t="array" ref="W440">IF(AND(A440&lt;&gt;"",OR(ISNUMBER(P440),ISNUMBER(Q440))),SUM(MAX(P440:Q440),Q440),"")</f>
        <v>81</v>
      </c>
      <c r="X440" s="10" t="str">
        <f t="array" ref="X440">IF(AND(A440&lt;&gt;"",OR(ISNUMBER(S440),ISNUMBER(T440))),SUM(S440,T440),"")</f>
        <v/>
      </c>
      <c r="Y440" s="13">
        <v>1</v>
      </c>
      <c r="Z440" s="13">
        <f>IF(A440&lt;&gt;"",SUM(U440:Y440),"")</f>
        <v>243</v>
      </c>
      <c r="AA440" s="27">
        <f>IF(A440&lt;&gt;"",(Z440+Normalize_To_Add)/(Point_Total_So_Far)*100,"")</f>
        <v>79.672131147540981</v>
      </c>
      <c r="AB440" s="10">
        <f>IF(A440&lt;&gt;"",RANK(AA440,All_Student_XC),"")</f>
        <v>415</v>
      </c>
      <c r="AC440" s="32" t="str">
        <f>IF(A440&lt;&gt;"",CHOOSE(10-MIN(9,TRUNC((AA440+0.5)/10)),"A","B","C","D","F","F","F","F","F","F"),"")</f>
        <v>B</v>
      </c>
      <c r="AD440" s="32" t="str">
        <f>IF(A440&lt;&gt;"",IF(OR(AA440+0.5&gt;=93,AA440+0.5&lt;60),"",IF(MOD(AA440+0.5,10)&gt;=7,"+",IF(MOD(AA440+0.5,10)&lt;3,"-",""))),"")</f>
        <v>-</v>
      </c>
      <c r="AE440" s="32">
        <f>IF(A440&lt;&gt;"",SUM(W440:X440,$W$8:$X$8)/SUM($W$2:$X$2)*100,"")</f>
        <v>81</v>
      </c>
      <c r="AF440" s="32" t="str">
        <f>IF(A440&lt;&gt;"",CHOOSE(10-MIN(9,TRUNC((AE440+0.5)/10)),"A","B","C","D","F","F","F","F","F","F"),"")</f>
        <v>B</v>
      </c>
      <c r="AG440" s="32" t="str">
        <f>IF(A440&lt;&gt;"",IF(OR(AE440+0.5&gt;=93,AE440+0.5&lt;60),"",IF(MOD(AE440+0.5,10)&gt;=7,"+",IF(MOD(AE440+0.5,10)&lt;3,"-",""))),"")</f>
        <v>-</v>
      </c>
      <c r="AH440" s="36">
        <f>IF(A440&lt;&gt;"",MIN(MAX(AA440,AE440),AA440+$AH$8,AE440+$AH$8),"")</f>
        <v>81</v>
      </c>
      <c r="AI440" s="32" t="str">
        <f>IF(A440&lt;&gt;"",CHOOSE(10-MIN(9,TRUNC((AH440+0.5)/10)),"A","B","C","D","F","F","F","F","F","F"),"")</f>
        <v>B</v>
      </c>
      <c r="AJ440" s="32" t="str">
        <f>IF(A440&lt;&gt;"",IF(OR(AH440+0.5&gt;=93,AH440+0.5&lt;60),"",IF(MOD(AH440+0.5,10)&gt;=7,"+",IF(MOD(AH440+0.5,10)&lt;3,"-",""))),"")</f>
        <v>-</v>
      </c>
      <c r="AK440" s="32" t="b">
        <f>IF(A440&lt;&gt;"",OR(AI440&lt;&gt;AC440,AJ440&lt;&gt;AD440),"")</f>
        <v>0</v>
      </c>
      <c r="AL440" s="84">
        <f>IF(AND(A440&lt;&gt;"",U440&lt;&gt;""),SUM(U440,$AL$8)/$AL$2*100,"")</f>
        <v>80</v>
      </c>
      <c r="AM440" s="24">
        <f>IF(AND(A440&lt;&gt;"",V440&lt;&gt;""),SUM(V440,$AM$8)/$AM$2*100,"")</f>
        <v>77.692307692307693</v>
      </c>
      <c r="AN440" s="24">
        <f>IF(AND(A440&lt;&gt;"",ISNUMBER(P440),P440&gt;=0),SUM(P440,$AN$8)/$AN$2*100,"")</f>
        <v>81</v>
      </c>
      <c r="AO440" s="24" t="str">
        <f>IF(AND(A440&lt;&gt;"",ISNUMBER(Q440),Q440&gt;=0),SUM(Q440,$AO$8)/$AO$2*100,"")</f>
        <v/>
      </c>
      <c r="AP440" s="24" t="str">
        <f>IF(AND(A440&lt;&gt;"",R440&lt;&gt;""),SUM(R440,$AP$8)/$AP$2*100,"")</f>
        <v/>
      </c>
      <c r="AQ440" s="24">
        <f>IF(AND(A440&lt;&gt;"",ISNUMBER(W440),W440&gt;=0),SUM(W440,$AQ$8)/$AQ$2*100,"")</f>
        <v>81</v>
      </c>
      <c r="AR440" s="24" t="str">
        <f>IF(AND(A440&lt;&gt;"",T440&gt;0,ISNUMBER(T440)),SUM(T440,$AR$8)/$AR$2*100,"")</f>
        <v/>
      </c>
      <c r="AS440" s="24" t="str">
        <f>IF(AND(A440&lt;&gt;"",X440&lt;&gt;""),SUM(X440,$AS$8)/$AS$2*100,"")</f>
        <v/>
      </c>
      <c r="AT440" s="89">
        <f>IF(AND(A440&lt;&gt;"",OR(ISNUMBER(W440),ISNUMBER(X440))),SUM(W440:X440,$AT$8)/$AT$2*100,"")</f>
        <v>81</v>
      </c>
      <c r="AU440" s="24">
        <f>AA440</f>
        <v>79.672131147540981</v>
      </c>
      <c r="AV440" s="24"/>
      <c r="AW440" s="27">
        <f>IF(A440&lt;&gt;"",AE440-AA440,"")</f>
        <v>1.3278688524590194</v>
      </c>
      <c r="AY440" s="27" t="b">
        <f>S440&gt;R440</f>
        <v>0</v>
      </c>
      <c r="BA440" s="27" t="e">
        <f>AND(AA440&gt;$BA$3,(W440+$W$8)/$W$2&lt;$BB$3,(X440+$X$8)/$X$2&lt;$BB$3)</f>
        <v>#VALUE!</v>
      </c>
      <c r="BB440" s="27" t="e">
        <f>AND(AA440&lt;$BA$3,AND(W440/$W$2&gt;$BB$3,X440/$X$2&gt;$BB$3))</f>
        <v>#VALUE!</v>
      </c>
      <c r="BC440" s="27" t="e">
        <f>AND(AA440&lt;$BA$3,OR(W440/$W$2&gt;$BB$3,X440/$X$2&gt;$BB$3))</f>
        <v>#VALUE!</v>
      </c>
      <c r="BE440" s="32">
        <v>32</v>
      </c>
    </row>
    <row r="441" spans="1:57" s="27" customFormat="1" ht="12.75" customHeight="1" x14ac:dyDescent="0.2">
      <c r="A441" s="10">
        <v>829802</v>
      </c>
      <c r="B441" s="2">
        <v>24</v>
      </c>
      <c r="C441" s="10">
        <v>25</v>
      </c>
      <c r="D441" s="10">
        <v>25</v>
      </c>
      <c r="E441" s="10"/>
      <c r="F441" s="10"/>
      <c r="G441" s="10"/>
      <c r="H441" s="10"/>
      <c r="I441" s="10"/>
      <c r="J441" s="2">
        <v>30</v>
      </c>
      <c r="K441" s="10">
        <v>52</v>
      </c>
      <c r="L441" s="10">
        <v>51</v>
      </c>
      <c r="M441" s="10"/>
      <c r="N441" s="93"/>
      <c r="O441" s="13"/>
      <c r="P441" s="10">
        <v>101</v>
      </c>
      <c r="Q441" s="10"/>
      <c r="R441" s="2"/>
      <c r="S441" s="10"/>
      <c r="T441" s="13"/>
      <c r="U441" s="7">
        <f t="array" ref="U441">IF(AND(A441&lt;&gt;"",OR(ISNUMBER(B441:I441))),SUM(B441:I441),"")</f>
        <v>74</v>
      </c>
      <c r="V441" s="10">
        <f t="array" ref="V441">IF(AND(A441&lt;&gt;"",OR(ISNUMBER(J441:O441))),SUM(J441:O441),"")</f>
        <v>133</v>
      </c>
      <c r="W441" s="10">
        <f t="array" ref="W441">IF(AND(A441&lt;&gt;"",OR(ISNUMBER(P441),ISNUMBER(Q441))),SUM(MAX(P441:Q441),Q441),"")</f>
        <v>101</v>
      </c>
      <c r="X441" s="10" t="str">
        <f t="array" ref="X441">IF(AND(A441&lt;&gt;"",OR(ISNUMBER(S441),ISNUMBER(T441))),SUM(S441,T441),"")</f>
        <v/>
      </c>
      <c r="Y441" s="13">
        <v>1</v>
      </c>
      <c r="Z441" s="13">
        <f>IF(A441&lt;&gt;"",SUM(U441:Y441),"")</f>
        <v>309</v>
      </c>
      <c r="AA441" s="27">
        <f>IF(A441&lt;&gt;"",(Z441+Normalize_To_Add)/(Point_Total_So_Far)*100,"")</f>
        <v>101.31147540983608</v>
      </c>
      <c r="AB441" s="10">
        <f>IF(A441&lt;&gt;"",RANK(AA441,All_Student_XC),"")</f>
        <v>35</v>
      </c>
      <c r="AC441" s="32" t="str">
        <f>IF(A441&lt;&gt;"",CHOOSE(10-MIN(9,TRUNC((AA441+0.5)/10)),"A","B","C","D","F","F","F","F","F","F"),"")</f>
        <v>A</v>
      </c>
      <c r="AD441" s="31" t="str">
        <f>IF(A441&lt;&gt;"",IF(OR(AA441+0.5&gt;=93,AA441+0.5&lt;60),"",IF(MOD(AA441+0.5,10)&gt;=7,"+",IF(MOD(AA441+0.5,10)&lt;3,"-",""))),"")</f>
        <v/>
      </c>
      <c r="AE441" s="32">
        <f>IF(A441&lt;&gt;"",SUM(W441:X441,$W$8:$X$8)/SUM($W$2:$X$2)*100,"")</f>
        <v>101</v>
      </c>
      <c r="AF441" s="32" t="str">
        <f>IF(A441&lt;&gt;"",CHOOSE(10-MIN(9,TRUNC((AE441+0.5)/10)),"A","B","C","D","F","F","F","F","F","F"),"")</f>
        <v>A</v>
      </c>
      <c r="AG441" s="32" t="str">
        <f>IF(A441&lt;&gt;"",IF(OR(AE441+0.5&gt;=93,AE441+0.5&lt;60),"",IF(MOD(AE441+0.5,10)&gt;=7,"+",IF(MOD(AE441+0.5,10)&lt;3,"-",""))),"")</f>
        <v/>
      </c>
      <c r="AH441" s="36">
        <f>IF(A441&lt;&gt;"",MIN(MAX(AA441,AE441),AA441+$AH$8,AE441+$AH$8),"")</f>
        <v>101.31147540983608</v>
      </c>
      <c r="AI441" s="32" t="str">
        <f>IF(A441&lt;&gt;"",CHOOSE(10-MIN(9,TRUNC((AH441+0.5)/10)),"A","B","C","D","F","F","F","F","F","F"),"")</f>
        <v>A</v>
      </c>
      <c r="AJ441" s="32" t="str">
        <f>IF(A441&lt;&gt;"",IF(OR(AH441+0.5&gt;=93,AH441+0.5&lt;60),"",IF(MOD(AH441+0.5,10)&gt;=7,"+",IF(MOD(AH441+0.5,10)&lt;3,"-",""))),"")</f>
        <v/>
      </c>
      <c r="AK441" s="71" t="b">
        <f>IF(A441&lt;&gt;"",OR(AI441&lt;&gt;AC441,AJ441&lt;&gt;AD441),"")</f>
        <v>0</v>
      </c>
      <c r="AL441" s="86">
        <f>IF(AND(A441&lt;&gt;"",U441&lt;&gt;""),SUM(U441,$AL$8)/$AL$2*100,"")</f>
        <v>98.666666666666671</v>
      </c>
      <c r="AM441" s="71">
        <f>IF(AND(A441&lt;&gt;"",V441&lt;&gt;""),SUM(V441,$AM$8)/$AM$2*100,"")</f>
        <v>102.30769230769229</v>
      </c>
      <c r="AN441" s="71">
        <f>IF(AND(A441&lt;&gt;"",ISNUMBER(P441),P441&gt;=0),SUM(P441,$AN$8)/$AN$2*100,"")</f>
        <v>101</v>
      </c>
      <c r="AO441" s="71" t="str">
        <f>IF(AND(A441&lt;&gt;"",ISNUMBER(Q441),Q441&gt;=0),SUM(Q441,$AO$8)/$AO$2*100,"")</f>
        <v/>
      </c>
      <c r="AP441" s="24" t="str">
        <f>IF(AND(A441&lt;&gt;"",R441&lt;&gt;""),SUM(R441,$AP$8)/$AP$2*100,"")</f>
        <v/>
      </c>
      <c r="AQ441" s="24">
        <f>IF(AND(A441&lt;&gt;"",ISNUMBER(W441),W441&gt;=0),SUM(W441,$AQ$8)/$AQ$2*100,"")</f>
        <v>101</v>
      </c>
      <c r="AR441" s="24" t="str">
        <f>IF(AND(A441&lt;&gt;"",T441&gt;0,ISNUMBER(T441)),SUM(T441,$AR$8)/$AR$2*100,"")</f>
        <v/>
      </c>
      <c r="AS441" s="24" t="str">
        <f>IF(AND(A441&lt;&gt;"",X441&lt;&gt;""),SUM(X441,$AS$8)/$AS$2*100,"")</f>
        <v/>
      </c>
      <c r="AT441" s="89">
        <f>IF(AND(A441&lt;&gt;"",OR(ISNUMBER(W441),ISNUMBER(X441))),SUM(W441:X441,$AT$8)/$AT$2*100,"")</f>
        <v>101</v>
      </c>
      <c r="AU441" s="24">
        <f>AA441</f>
        <v>101.31147540983608</v>
      </c>
      <c r="AV441" s="71"/>
      <c r="AW441" s="27">
        <f>IF(A441&lt;&gt;"",AE441-AA441,"")</f>
        <v>-0.31147540983607769</v>
      </c>
      <c r="AY441" s="27" t="b">
        <f>S441&gt;R441</f>
        <v>0</v>
      </c>
      <c r="BA441" s="27" t="e">
        <f>AND(AA441&gt;$BA$3,(W441+$W$8)/$W$2&lt;$BB$3,(X441+$X$8)/$X$2&lt;$BB$3)</f>
        <v>#VALUE!</v>
      </c>
      <c r="BB441" s="27" t="e">
        <f>AND(AA441&lt;$BA$3,AND(W441/$W$2&gt;$BB$3,X441/$X$2&gt;$BB$3))</f>
        <v>#VALUE!</v>
      </c>
      <c r="BC441" s="27" t="e">
        <f>AND(AA441&lt;$BA$3,OR(W441/$W$2&gt;$BB$3,X441/$X$2&gt;$BB$3))</f>
        <v>#VALUE!</v>
      </c>
      <c r="BE441" s="32" t="s">
        <v>84</v>
      </c>
    </row>
    <row r="442" spans="1:57" s="27" customFormat="1" ht="12.75" customHeight="1" x14ac:dyDescent="0.2">
      <c r="A442" s="10">
        <v>830447</v>
      </c>
      <c r="B442" s="2">
        <v>25</v>
      </c>
      <c r="C442" s="10">
        <v>25</v>
      </c>
      <c r="D442" s="10">
        <v>25</v>
      </c>
      <c r="E442" s="10"/>
      <c r="F442" s="10"/>
      <c r="G442" s="10"/>
      <c r="H442" s="10"/>
      <c r="I442" s="10"/>
      <c r="J442" s="2">
        <v>26</v>
      </c>
      <c r="K442" s="10">
        <v>51</v>
      </c>
      <c r="L442" s="10">
        <v>50</v>
      </c>
      <c r="M442" s="10"/>
      <c r="N442" s="93"/>
      <c r="O442" s="13"/>
      <c r="P442" s="10">
        <v>101</v>
      </c>
      <c r="Q442" s="10"/>
      <c r="R442" s="2"/>
      <c r="S442" s="10"/>
      <c r="T442" s="13"/>
      <c r="U442" s="7">
        <f t="array" ref="U442">IF(AND(A442&lt;&gt;"",OR(ISNUMBER(B442:I442))),SUM(B442:I442),"")</f>
        <v>75</v>
      </c>
      <c r="V442" s="10">
        <f t="array" ref="V442">IF(AND(A442&lt;&gt;"",OR(ISNUMBER(J442:O442))),SUM(J442:O442),"")</f>
        <v>127</v>
      </c>
      <c r="W442" s="10">
        <f t="array" ref="W442">IF(AND(A442&lt;&gt;"",OR(ISNUMBER(P442),ISNUMBER(Q442))),SUM(MAX(P442:Q442),Q442),"")</f>
        <v>101</v>
      </c>
      <c r="X442" s="10" t="str">
        <f t="array" ref="X442">IF(AND(A442&lt;&gt;"",OR(ISNUMBER(S442),ISNUMBER(T442))),SUM(S442,T442),"")</f>
        <v/>
      </c>
      <c r="Y442" s="13">
        <v>1</v>
      </c>
      <c r="Z442" s="13">
        <f>IF(A442&lt;&gt;"",SUM(U442:Y442),"")</f>
        <v>304</v>
      </c>
      <c r="AA442" s="27">
        <f>IF(A442&lt;&gt;"",(Z442+Normalize_To_Add)/(Point_Total_So_Far)*100,"")</f>
        <v>99.672131147540995</v>
      </c>
      <c r="AB442" s="10">
        <f>IF(A442&lt;&gt;"",RANK(AA442,All_Student_XC),"")</f>
        <v>124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>
        <f>IF(A442&lt;&gt;"",SUM(W442:X442,$W$8:$X$8)/SUM($W$2:$X$2)*100,"")</f>
        <v>101</v>
      </c>
      <c r="AF442" s="32" t="str">
        <f>IF(A442&lt;&gt;"",CHOOSE(10-MIN(9,TRUNC((AE442+0.5)/10)),"A","B","C","D","F","F","F","F","F","F"),"")</f>
        <v>A</v>
      </c>
      <c r="AG442" s="32" t="str">
        <f>IF(A442&lt;&gt;"",IF(OR(AE442+0.5&gt;=93,AE442+0.5&lt;60),"",IF(MOD(AE442+0.5,10)&gt;=7,"+",IF(MOD(AE442+0.5,10)&lt;3,"-",""))),"")</f>
        <v/>
      </c>
      <c r="AH442" s="36">
        <f>IF(A442&lt;&gt;"",MIN(MAX(AA442,AE442),AA442+$AH$8,AE442+$AH$8),"")</f>
        <v>101</v>
      </c>
      <c r="AI442" s="32" t="str">
        <f>IF(A442&lt;&gt;"",CHOOSE(10-MIN(9,TRUNC((AH442+0.5)/10)),"A","B","C","D","F","F","F","F","F","F"),"")</f>
        <v>A</v>
      </c>
      <c r="AJ442" s="32" t="str">
        <f>IF(A442&lt;&gt;"",IF(OR(AH442+0.5&gt;=93,AH442+0.5&lt;60),"",IF(MOD(AH442+0.5,10)&gt;=7,"+",IF(MOD(AH442+0.5,10)&lt;3,"-",""))),"")</f>
        <v/>
      </c>
      <c r="AK442" s="71" t="b">
        <f>IF(A442&lt;&gt;"",OR(AI442&lt;&gt;AC442,AJ442&lt;&gt;AD442),"")</f>
        <v>0</v>
      </c>
      <c r="AL442" s="86">
        <f>IF(AND(A442&lt;&gt;"",U442&lt;&gt;""),SUM(U442,$AL$8)/$AL$2*100,"")</f>
        <v>100</v>
      </c>
      <c r="AM442" s="71">
        <f>IF(AND(A442&lt;&gt;"",V442&lt;&gt;""),SUM(V442,$AM$8)/$AM$2*100,"")</f>
        <v>97.692307692307693</v>
      </c>
      <c r="AN442" s="71">
        <f>IF(AND(A442&lt;&gt;"",ISNUMBER(P442),P442&gt;=0),SUM(P442,$AN$8)/$AN$2*100,"")</f>
        <v>101</v>
      </c>
      <c r="AO442" s="71" t="str">
        <f>IF(AND(A442&lt;&gt;"",ISNUMBER(Q442),Q442&gt;=0),SUM(Q442,$AO$8)/$AO$2*100,"")</f>
        <v/>
      </c>
      <c r="AP442" s="24" t="str">
        <f>IF(AND(A442&lt;&gt;"",R442&lt;&gt;""),SUM(R442,$AP$8)/$AP$2*100,"")</f>
        <v/>
      </c>
      <c r="AQ442" s="24">
        <f>IF(AND(A442&lt;&gt;"",ISNUMBER(W442),W442&gt;=0),SUM(W442,$AQ$8)/$AQ$2*100,"")</f>
        <v>101</v>
      </c>
      <c r="AR442" s="24" t="str">
        <f>IF(AND(A442&lt;&gt;"",T442&gt;0,ISNUMBER(T442)),SUM(T442,$AR$8)/$AR$2*100,"")</f>
        <v/>
      </c>
      <c r="AS442" s="24" t="str">
        <f>IF(AND(A442&lt;&gt;"",X442&lt;&gt;""),SUM(X442,$AS$8)/$AS$2*100,"")</f>
        <v/>
      </c>
      <c r="AT442" s="89">
        <f>IF(AND(A442&lt;&gt;"",OR(ISNUMBER(W442),ISNUMBER(X442))),SUM(W442:X442,$AT$8)/$AT$2*100,"")</f>
        <v>101</v>
      </c>
      <c r="AU442" s="24">
        <f>AA442</f>
        <v>99.672131147540995</v>
      </c>
      <c r="AV442" s="71"/>
      <c r="AW442" s="27">
        <f>IF(A442&lt;&gt;"",AE442-AA442,"")</f>
        <v>1.3278688524590052</v>
      </c>
      <c r="AY442" s="27" t="b">
        <f>S442&gt;R442</f>
        <v>0</v>
      </c>
      <c r="BA442" s="27" t="e">
        <f>AND(AA442&gt;$BA$3,(W442+$W$8)/$W$2&lt;$BB$3,(X442+$X$8)/$X$2&lt;$BB$3)</f>
        <v>#VALUE!</v>
      </c>
      <c r="BB442" s="27" t="e">
        <f>AND(AA442&lt;$BA$3,AND(W442/$W$2&gt;$BB$3,X442/$X$2&gt;$BB$3))</f>
        <v>#VALUE!</v>
      </c>
      <c r="BC442" s="27" t="e">
        <f>AND(AA442&lt;$BA$3,OR(W442/$W$2&gt;$BB$3,X442/$X$2&gt;$BB$3))</f>
        <v>#VALUE!</v>
      </c>
      <c r="BE442" s="32" t="s">
        <v>84</v>
      </c>
    </row>
    <row r="443" spans="1:57" s="27" customFormat="1" ht="12.75" customHeight="1" x14ac:dyDescent="0.2">
      <c r="A443" s="10">
        <v>833629</v>
      </c>
      <c r="B443" s="2">
        <v>20</v>
      </c>
      <c r="C443" s="10">
        <v>25</v>
      </c>
      <c r="D443" s="10">
        <v>25</v>
      </c>
      <c r="E443" s="10"/>
      <c r="F443" s="10"/>
      <c r="G443" s="10"/>
      <c r="H443" s="10"/>
      <c r="I443" s="10"/>
      <c r="J443" s="2">
        <v>26</v>
      </c>
      <c r="K443" s="10">
        <v>50</v>
      </c>
      <c r="L443" s="10">
        <v>41</v>
      </c>
      <c r="M443" s="10"/>
      <c r="N443" s="93"/>
      <c r="O443" s="13"/>
      <c r="P443" s="10">
        <v>101</v>
      </c>
      <c r="Q443" s="10"/>
      <c r="R443" s="2"/>
      <c r="S443" s="10"/>
      <c r="T443" s="13"/>
      <c r="U443" s="7">
        <f t="array" ref="U443">IF(AND(A443&lt;&gt;"",OR(ISNUMBER(B443:I443))),SUM(B443:I443),"")</f>
        <v>70</v>
      </c>
      <c r="V443" s="10">
        <f t="array" ref="V443">IF(AND(A443&lt;&gt;"",OR(ISNUMBER(J443:O443))),SUM(J443:O443),"")</f>
        <v>117</v>
      </c>
      <c r="W443" s="10">
        <f t="array" ref="W443">IF(AND(A443&lt;&gt;"",OR(ISNUMBER(P443),ISNUMBER(Q443))),SUM(MAX(P443:Q443),Q443),"")</f>
        <v>101</v>
      </c>
      <c r="X443" s="10" t="str">
        <f t="array" ref="X443">IF(AND(A443&lt;&gt;"",OR(ISNUMBER(S443),ISNUMBER(T443))),SUM(S443,T443),"")</f>
        <v/>
      </c>
      <c r="Y443" s="13">
        <v>1</v>
      </c>
      <c r="Z443" s="13">
        <f>IF(A443&lt;&gt;"",SUM(U443:Y443),"")</f>
        <v>289</v>
      </c>
      <c r="AA443" s="27">
        <f>IF(A443&lt;&gt;"",(Z443+Normalize_To_Add)/(Point_Total_So_Far)*100,"")</f>
        <v>94.754098360655732</v>
      </c>
      <c r="AB443" s="10">
        <f>IF(A443&lt;&gt;"",RANK(AA443,All_Student_XC),"")</f>
        <v>273</v>
      </c>
      <c r="AC443" s="32" t="str">
        <f>IF(A443&lt;&gt;"",CHOOSE(10-MIN(9,TRUNC((AA443+0.5)/10)),"A","B","C","D","F","F","F","F","F","F"),"")</f>
        <v>A</v>
      </c>
      <c r="AD443" s="31" t="str">
        <f>IF(A443&lt;&gt;"",IF(OR(AA443+0.5&gt;=93,AA443+0.5&lt;60),"",IF(MOD(AA443+0.5,10)&gt;=7,"+",IF(MOD(AA443+0.5,10)&lt;3,"-",""))),"")</f>
        <v/>
      </c>
      <c r="AE443" s="32">
        <f>IF(A443&lt;&gt;"",SUM(W443:X443,$W$8:$X$8)/SUM($W$2:$X$2)*100,"")</f>
        <v>101</v>
      </c>
      <c r="AF443" s="32" t="str">
        <f>IF(A443&lt;&gt;"",CHOOSE(10-MIN(9,TRUNC((AE443+0.5)/10)),"A","B","C","D","F","F","F","F","F","F"),"")</f>
        <v>A</v>
      </c>
      <c r="AG443" s="32" t="str">
        <f>IF(A443&lt;&gt;"",IF(OR(AE443+0.5&gt;=93,AE443+0.5&lt;60),"",IF(MOD(AE443+0.5,10)&gt;=7,"+",IF(MOD(AE443+0.5,10)&lt;3,"-",""))),"")</f>
        <v/>
      </c>
      <c r="AH443" s="36">
        <f>IF(A443&lt;&gt;"",MIN(MAX(AA443,AE443),AA443+$AH$8,AE443+$AH$8),"")</f>
        <v>101</v>
      </c>
      <c r="AI443" s="32" t="str">
        <f>IF(A443&lt;&gt;"",CHOOSE(10-MIN(9,TRUNC((AH443+0.5)/10)),"A","B","C","D","F","F","F","F","F","F"),"")</f>
        <v>A</v>
      </c>
      <c r="AJ443" s="32" t="str">
        <f>IF(A443&lt;&gt;"",IF(OR(AH443+0.5&gt;=93,AH443+0.5&lt;60),"",IF(MOD(AH443+0.5,10)&gt;=7,"+",IF(MOD(AH443+0.5,10)&lt;3,"-",""))),"")</f>
        <v/>
      </c>
      <c r="AK443" s="71" t="b">
        <f>IF(A443&lt;&gt;"",OR(AI443&lt;&gt;AC443,AJ443&lt;&gt;AD443),"")</f>
        <v>0</v>
      </c>
      <c r="AL443" s="86">
        <f>IF(AND(A443&lt;&gt;"",U443&lt;&gt;""),SUM(U443,$AL$8)/$AL$2*100,"")</f>
        <v>93.333333333333329</v>
      </c>
      <c r="AM443" s="71">
        <f>IF(AND(A443&lt;&gt;"",V443&lt;&gt;""),SUM(V443,$AM$8)/$AM$2*100,"")</f>
        <v>90</v>
      </c>
      <c r="AN443" s="71">
        <f>IF(AND(A443&lt;&gt;"",ISNUMBER(P443),P443&gt;=0),SUM(P443,$AN$8)/$AN$2*100,"")</f>
        <v>101</v>
      </c>
      <c r="AO443" s="71" t="str">
        <f>IF(AND(A443&lt;&gt;"",ISNUMBER(Q443),Q443&gt;=0),SUM(Q443,$AO$8)/$AO$2*100,"")</f>
        <v/>
      </c>
      <c r="AP443" s="24" t="str">
        <f>IF(AND(A443&lt;&gt;"",R443&lt;&gt;""),SUM(R443,$AP$8)/$AP$2*100,"")</f>
        <v/>
      </c>
      <c r="AQ443" s="24">
        <f>IF(AND(A443&lt;&gt;"",ISNUMBER(W443),W443&gt;=0),SUM(W443,$AQ$8)/$AQ$2*100,"")</f>
        <v>101</v>
      </c>
      <c r="AR443" s="24" t="str">
        <f>IF(AND(A443&lt;&gt;"",T443&gt;0,ISNUMBER(T443)),SUM(T443,$AR$8)/$AR$2*100,"")</f>
        <v/>
      </c>
      <c r="AS443" s="24" t="str">
        <f>IF(AND(A443&lt;&gt;"",X443&lt;&gt;""),SUM(X443,$AS$8)/$AS$2*100,"")</f>
        <v/>
      </c>
      <c r="AT443" s="89">
        <f>IF(AND(A443&lt;&gt;"",OR(ISNUMBER(W443),ISNUMBER(X443))),SUM(W443:X443,$AT$8)/$AT$2*100,"")</f>
        <v>101</v>
      </c>
      <c r="AU443" s="24">
        <f>AA443</f>
        <v>94.754098360655732</v>
      </c>
      <c r="AV443" s="71"/>
      <c r="AW443" s="27">
        <f>IF(A443&lt;&gt;"",AE443-AA443,"")</f>
        <v>6.2459016393442681</v>
      </c>
      <c r="AY443" s="27" t="b">
        <f>S443&gt;R443</f>
        <v>0</v>
      </c>
      <c r="BA443" s="27" t="e">
        <f>AND(AA443&gt;$BA$3,(W443+$W$8)/$W$2&lt;$BB$3,(X443+$X$8)/$X$2&lt;$BB$3)</f>
        <v>#VALUE!</v>
      </c>
      <c r="BB443" s="27" t="e">
        <f>AND(AA443&lt;$BA$3,AND(W443/$W$2&gt;$BB$3,X443/$X$2&gt;$BB$3))</f>
        <v>#VALUE!</v>
      </c>
      <c r="BC443" s="27" t="e">
        <f>AND(AA443&lt;$BA$3,OR(W443/$W$2&gt;$BB$3,X443/$X$2&gt;$BB$3))</f>
        <v>#VALUE!</v>
      </c>
      <c r="BE443" s="32">
        <v>32</v>
      </c>
    </row>
    <row r="444" spans="1:57" s="27" customFormat="1" ht="12.75" customHeight="1" x14ac:dyDescent="0.2">
      <c r="A444" s="10">
        <v>843928</v>
      </c>
      <c r="B444" s="2">
        <v>22</v>
      </c>
      <c r="C444" s="10">
        <v>23</v>
      </c>
      <c r="D444" s="10">
        <v>18</v>
      </c>
      <c r="E444" s="10"/>
      <c r="F444" s="10"/>
      <c r="G444" s="3"/>
      <c r="H444" s="10"/>
      <c r="I444" s="10"/>
      <c r="J444" s="2">
        <v>30</v>
      </c>
      <c r="K444" s="10">
        <v>48</v>
      </c>
      <c r="L444" s="10">
        <v>48</v>
      </c>
      <c r="M444" s="10"/>
      <c r="N444" s="10"/>
      <c r="O444" s="12"/>
      <c r="P444" s="7">
        <v>101</v>
      </c>
      <c r="Q444" s="7"/>
      <c r="R444" s="2"/>
      <c r="S444" s="10"/>
      <c r="T444" s="13"/>
      <c r="U444" s="35">
        <f t="array" ref="U444">IF(AND(A444&lt;&gt;"",OR(ISNUMBER(B444:I444))),SUM(B444:I444),"")</f>
        <v>63</v>
      </c>
      <c r="V444" s="10">
        <f t="array" ref="V444">IF(AND(A444&lt;&gt;"",OR(ISNUMBER(J444:O444))),SUM(J444:O444),"")</f>
        <v>126</v>
      </c>
      <c r="W444" s="10">
        <f t="array" ref="W444">IF(AND(A444&lt;&gt;"",OR(ISNUMBER(P444),ISNUMBER(Q444))),SUM(MAX(P444:Q444),Q444),"")</f>
        <v>101</v>
      </c>
      <c r="X444" s="10" t="str">
        <f t="array" ref="X444">IF(AND(A444&lt;&gt;"",OR(ISNUMBER(S444),ISNUMBER(T444))),SUM(S444,T444),"")</f>
        <v/>
      </c>
      <c r="Y444" s="13">
        <v>1</v>
      </c>
      <c r="Z444" s="13">
        <f>IF(A444&lt;&gt;"",SUM(U444:Y444),"")</f>
        <v>291</v>
      </c>
      <c r="AA444" s="27">
        <f>IF(A444&lt;&gt;"",(Z444+Normalize_To_Add)/(Point_Total_So_Far)*100,"")</f>
        <v>95.409836065573771</v>
      </c>
      <c r="AB444" s="10">
        <f>IF(A444&lt;&gt;"",RANK(AA444,All_Student_XC),"")</f>
        <v>266</v>
      </c>
      <c r="AC444" s="32" t="str">
        <f>IF(A444&lt;&gt;"",CHOOSE(10-MIN(9,TRUNC((AA444+0.5)/10)),"A","B","C","D","F","F","F","F","F","F"),"")</f>
        <v>A</v>
      </c>
      <c r="AD444" s="32" t="str">
        <f>IF(A444&lt;&gt;"",IF(OR(AA444+0.5&gt;=93,AA444+0.5&lt;60),"",IF(MOD(AA444+0.5,10)&gt;=7,"+",IF(MOD(AA444+0.5,10)&lt;3,"-",""))),"")</f>
        <v/>
      </c>
      <c r="AE444" s="32">
        <f>IF(A444&lt;&gt;"",SUM(W444:X444,$W$8:$X$8)/SUM($W$2:$X$2)*100,"")</f>
        <v>101</v>
      </c>
      <c r="AF444" s="32" t="str">
        <f>IF(A444&lt;&gt;"",CHOOSE(10-MIN(9,TRUNC((AE444+0.5)/10)),"A","B","C","D","F","F","F","F","F","F"),"")</f>
        <v>A</v>
      </c>
      <c r="AG444" s="32" t="str">
        <f>IF(A444&lt;&gt;"",IF(OR(AE444+0.5&gt;=93,AE444+0.5&lt;60),"",IF(MOD(AE444+0.5,10)&gt;=7,"+",IF(MOD(AE444+0.5,10)&lt;3,"-",""))),"")</f>
        <v/>
      </c>
      <c r="AH444" s="36">
        <f>IF(A444&lt;&gt;"",MIN(MAX(AA444,AE444),AA444+$AH$8,AE444+$AH$8),"")</f>
        <v>101</v>
      </c>
      <c r="AI444" s="32" t="str">
        <f>IF(A444&lt;&gt;"",CHOOSE(10-MIN(9,TRUNC((AH444+0.5)/10)),"A","B","C","D","F","F","F","F","F","F"),"")</f>
        <v>A</v>
      </c>
      <c r="AJ444" s="32" t="str">
        <f>IF(A444&lt;&gt;"",IF(OR(AH444+0.5&gt;=93,AH444+0.5&lt;60),"",IF(MOD(AH444+0.5,10)&gt;=7,"+",IF(MOD(AH444+0.5,10)&lt;3,"-",""))),"")</f>
        <v/>
      </c>
      <c r="AK444" s="32" t="b">
        <f>IF(A444&lt;&gt;"",OR(AI444&lt;&gt;AC444,AJ444&lt;&gt;AD444),"")</f>
        <v>0</v>
      </c>
      <c r="AL444" s="84">
        <f>IF(AND(A444&lt;&gt;"",U444&lt;&gt;""),SUM(U444,$AL$8)/$AL$2*100,"")</f>
        <v>84</v>
      </c>
      <c r="AM444" s="24">
        <f>IF(AND(A444&lt;&gt;"",V444&lt;&gt;""),SUM(V444,$AM$8)/$AM$2*100,"")</f>
        <v>96.92307692307692</v>
      </c>
      <c r="AN444" s="24">
        <f>IF(AND(A444&lt;&gt;"",ISNUMBER(P444),P444&gt;=0),SUM(P444,$AN$8)/$AN$2*100,"")</f>
        <v>101</v>
      </c>
      <c r="AO444" s="24" t="str">
        <f>IF(AND(A444&lt;&gt;"",ISNUMBER(Q444),Q444&gt;=0),SUM(Q444,$AO$8)/$AO$2*100,"")</f>
        <v/>
      </c>
      <c r="AP444" s="24" t="str">
        <f>IF(AND(A444&lt;&gt;"",R444&lt;&gt;""),SUM(R444,$AP$8)/$AP$2*100,"")</f>
        <v/>
      </c>
      <c r="AQ444" s="24">
        <f>IF(AND(A444&lt;&gt;"",ISNUMBER(W444),W444&gt;=0),SUM(W444,$AQ$8)/$AQ$2*100,"")</f>
        <v>101</v>
      </c>
      <c r="AR444" s="24" t="str">
        <f>IF(AND(A444&lt;&gt;"",T444&gt;0,ISNUMBER(T444)),SUM(T444,$AR$8)/$AR$2*100,"")</f>
        <v/>
      </c>
      <c r="AS444" s="24" t="str">
        <f>IF(AND(A444&lt;&gt;"",X444&lt;&gt;""),SUM(X444,$AS$8)/$AS$2*100,"")</f>
        <v/>
      </c>
      <c r="AT444" s="89">
        <f>IF(AND(A444&lt;&gt;"",OR(ISNUMBER(W444),ISNUMBER(X444))),SUM(W444:X444,$AT$8)/$AT$2*100,"")</f>
        <v>101</v>
      </c>
      <c r="AU444" s="24">
        <f>AA444</f>
        <v>95.409836065573771</v>
      </c>
      <c r="AV444" s="24"/>
      <c r="AW444" s="27">
        <f>IF(A444&lt;&gt;"",AE444-AA444,"")</f>
        <v>5.5901639344262293</v>
      </c>
      <c r="AY444" s="27" t="b">
        <f>S444&gt;R444</f>
        <v>0</v>
      </c>
      <c r="BA444" s="27" t="e">
        <f>AND(AA444&gt;$BA$3,(W444+$W$8)/$W$2&lt;$BB$3,(X444+$X$8)/$X$2&lt;$BB$3)</f>
        <v>#VALUE!</v>
      </c>
      <c r="BB444" s="27" t="e">
        <f>AND(AA444&lt;$BA$3,AND(W444/$W$2&gt;$BB$3,X444/$X$2&gt;$BB$3))</f>
        <v>#VALUE!</v>
      </c>
      <c r="BC444" s="27" t="e">
        <f>AND(AA444&lt;$BA$3,OR(W444/$W$2&gt;$BB$3,X444/$X$2&gt;$BB$3))</f>
        <v>#VALUE!</v>
      </c>
      <c r="BE444" s="32">
        <v>32</v>
      </c>
    </row>
    <row r="445" spans="1:57" s="27" customFormat="1" ht="12.75" customHeight="1" x14ac:dyDescent="0.2">
      <c r="A445" s="10">
        <v>851035</v>
      </c>
      <c r="B445" s="2">
        <v>23</v>
      </c>
      <c r="C445" s="10">
        <v>25</v>
      </c>
      <c r="D445" s="10">
        <v>25</v>
      </c>
      <c r="E445" s="10"/>
      <c r="F445" s="10"/>
      <c r="G445" s="3"/>
      <c r="H445" s="10"/>
      <c r="I445" s="10"/>
      <c r="J445" s="2">
        <v>29</v>
      </c>
      <c r="K445" s="10">
        <v>52</v>
      </c>
      <c r="L445" s="10">
        <v>52</v>
      </c>
      <c r="M445" s="10"/>
      <c r="N445" s="93"/>
      <c r="O445" s="12"/>
      <c r="P445" s="10">
        <v>101</v>
      </c>
      <c r="Q445" s="41"/>
      <c r="R445" s="2"/>
      <c r="S445" s="10"/>
      <c r="T445" s="13"/>
      <c r="U445" s="7">
        <f t="array" ref="U445">IF(AND(A445&lt;&gt;"",OR(ISNUMBER(B445:I445))),SUM(B445:I445),"")</f>
        <v>73</v>
      </c>
      <c r="V445" s="10">
        <f t="array" ref="V445">IF(AND(A445&lt;&gt;"",OR(ISNUMBER(J445:O445))),SUM(J445:O445),"")</f>
        <v>133</v>
      </c>
      <c r="W445" s="10">
        <f t="array" ref="W445">IF(AND(A445&lt;&gt;"",OR(ISNUMBER(P445),ISNUMBER(Q445))),SUM(MAX(P445:Q445),Q445),"")</f>
        <v>101</v>
      </c>
      <c r="X445" s="10" t="str">
        <f t="array" ref="X445">IF(AND(A445&lt;&gt;"",OR(ISNUMBER(S445),ISNUMBER(T445))),SUM(S445,T445),"")</f>
        <v/>
      </c>
      <c r="Y445" s="13">
        <v>1</v>
      </c>
      <c r="Z445" s="13">
        <f>IF(A445&lt;&gt;"",SUM(U445:Y445),"")</f>
        <v>308</v>
      </c>
      <c r="AA445" s="27">
        <f>IF(A445&lt;&gt;"",(Z445+Normalize_To_Add)/(Point_Total_So_Far)*100,"")</f>
        <v>100.98360655737706</v>
      </c>
      <c r="AB445" s="10">
        <f>IF(A445&lt;&gt;"",RANK(AA445,All_Student_XC),"")</f>
        <v>57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>
        <f>IF(A445&lt;&gt;"",SUM(W445:X445,$W$8:$X$8)/SUM($W$2:$X$2)*100,"")</f>
        <v>101</v>
      </c>
      <c r="AF445" s="44" t="str">
        <f>IF(A445&lt;&gt;"",CHOOSE(10-MIN(9,TRUNC((AE445+0.5)/10)),"A","B","C","D","F","F","F","F","F","F"),"")</f>
        <v>A</v>
      </c>
      <c r="AG445" s="44" t="str">
        <f>IF(A445&lt;&gt;"",IF(OR(AE445+0.5&gt;=93,AE445+0.5&lt;60),"",IF(MOD(AE445+0.5,10)&gt;=7,"+",IF(MOD(AE445+0.5,10)&lt;3,"-",""))),"")</f>
        <v/>
      </c>
      <c r="AH445" s="36">
        <f>IF(A445&lt;&gt;"",MIN(MAX(AA445,AE445),AA445+$AH$8,AE445+$AH$8),"")</f>
        <v>101</v>
      </c>
      <c r="AI445" s="32" t="str">
        <f>IF(A445&lt;&gt;"",CHOOSE(10-MIN(9,TRUNC((AH445+0.5)/10)),"A","B","C","D","F","F","F","F","F","F"),"")</f>
        <v>A</v>
      </c>
      <c r="AJ445" s="32" t="str">
        <f>IF(A445&lt;&gt;"",IF(OR(AH445+0.5&gt;=93,AH445+0.5&lt;60),"",IF(MOD(AH445+0.5,10)&gt;=7,"+",IF(MOD(AH445+0.5,10)&lt;3,"-",""))),"")</f>
        <v/>
      </c>
      <c r="AK445" s="32" t="b">
        <f>IF(A445&lt;&gt;"",OR(AI445&lt;&gt;AC445,AJ445&lt;&gt;AD445),"")</f>
        <v>0</v>
      </c>
      <c r="AL445" s="84">
        <f>IF(AND(A445&lt;&gt;"",U445&lt;&gt;""),SUM(U445,$AL$8)/$AL$2*100,"")</f>
        <v>97.333333333333343</v>
      </c>
      <c r="AM445" s="24">
        <f>IF(AND(A445&lt;&gt;"",V445&lt;&gt;""),SUM(V445,$AM$8)/$AM$2*100,"")</f>
        <v>102.30769230769229</v>
      </c>
      <c r="AN445" s="24">
        <f>IF(AND(A445&lt;&gt;"",ISNUMBER(P445),P445&gt;=0),SUM(P445,$AN$8)/$AN$2*100,"")</f>
        <v>101</v>
      </c>
      <c r="AO445" s="24" t="str">
        <f>IF(AND(A445&lt;&gt;"",ISNUMBER(Q445),Q445&gt;=0),SUM(Q445,$AO$8)/$AO$2*100,"")</f>
        <v/>
      </c>
      <c r="AP445" s="24" t="str">
        <f>IF(AND(A445&lt;&gt;"",R445&lt;&gt;""),SUM(R445,$AP$8)/$AP$2*100,"")</f>
        <v/>
      </c>
      <c r="AQ445" s="24">
        <f>IF(AND(A445&lt;&gt;"",ISNUMBER(W445),W445&gt;=0),SUM(W445,$AQ$8)/$AQ$2*100,"")</f>
        <v>101</v>
      </c>
      <c r="AR445" s="24" t="str">
        <f>IF(AND(A445&lt;&gt;"",T445&gt;0,ISNUMBER(T445)),SUM(T445,$AR$8)/$AR$2*100,"")</f>
        <v/>
      </c>
      <c r="AS445" s="24" t="str">
        <f>IF(AND(A445&lt;&gt;"",X445&lt;&gt;""),SUM(X445,$AS$8)/$AS$2*100,"")</f>
        <v/>
      </c>
      <c r="AT445" s="89">
        <f>IF(AND(A445&lt;&gt;"",OR(ISNUMBER(W445),ISNUMBER(X445))),SUM(W445:X445,$AT$8)/$AT$2*100,"")</f>
        <v>101</v>
      </c>
      <c r="AU445" s="24">
        <f>AA445</f>
        <v>100.98360655737706</v>
      </c>
      <c r="AV445" s="24"/>
      <c r="AW445" s="27">
        <f>IF(A445&lt;&gt;"",AE445-AA445,"")</f>
        <v>1.6393442622941734E-2</v>
      </c>
      <c r="AY445" s="27" t="b">
        <f>S445&gt;R445</f>
        <v>0</v>
      </c>
      <c r="BA445" s="27" t="e">
        <f>AND(AA445&gt;$BA$3,(W445+$W$8)/$W$2&lt;$BB$3,(X445+$X$8)/$X$2&lt;$BB$3)</f>
        <v>#VALUE!</v>
      </c>
      <c r="BB445" s="27" t="e">
        <f>AND(AA445&lt;$BA$3,AND(W445/$W$2&gt;$BB$3,X445/$X$2&gt;$BB$3))</f>
        <v>#VALUE!</v>
      </c>
      <c r="BC445" s="27" t="e">
        <f>AND(AA445&lt;$BA$3,OR(W445/$W$2&gt;$BB$3,X445/$X$2&gt;$BB$3))</f>
        <v>#VALUE!</v>
      </c>
      <c r="BE445" s="32" t="s">
        <v>84</v>
      </c>
    </row>
    <row r="446" spans="1:57" s="27" customFormat="1" ht="12.75" customHeight="1" x14ac:dyDescent="0.2">
      <c r="A446" s="10">
        <v>854117</v>
      </c>
      <c r="B446" s="2" t="s">
        <v>67</v>
      </c>
      <c r="C446" s="10">
        <v>19</v>
      </c>
      <c r="D446" s="10" t="s">
        <v>67</v>
      </c>
      <c r="E446" s="10"/>
      <c r="F446" s="10"/>
      <c r="G446" s="10"/>
      <c r="H446" s="10"/>
      <c r="I446" s="10"/>
      <c r="J446" s="2">
        <v>25</v>
      </c>
      <c r="K446" s="10">
        <v>0</v>
      </c>
      <c r="L446" s="10" t="s">
        <v>67</v>
      </c>
      <c r="M446" s="10"/>
      <c r="N446" s="93"/>
      <c r="O446" s="13"/>
      <c r="P446" s="10">
        <v>40</v>
      </c>
      <c r="Q446" s="10"/>
      <c r="R446" s="2"/>
      <c r="S446" s="10"/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85</v>
      </c>
      <c r="AA446" s="27">
        <f>IF(A446&lt;&gt;"",(Z446+Normalize_To_Add)/(Point_Total_So_Far)*100,"")</f>
        <v>27.868852459016392</v>
      </c>
      <c r="AB446" s="10">
        <f>IF(A446&lt;&gt;"",RANK(AA446,All_Student_XC),"")</f>
        <v>505</v>
      </c>
      <c r="AC446" s="32" t="str">
        <f>IF(A446&lt;&gt;"",CHOOSE(10-MIN(9,TRUNC((AA446+0.5)/10)),"A","B","C","D","F","F","F","F","F","F"),"")</f>
        <v>F</v>
      </c>
      <c r="AD446" s="31" t="str">
        <f>IF(A446&lt;&gt;"",IF(OR(AA446+0.5&gt;=93,AA446+0.5&lt;60),"",IF(MOD(AA446+0.5,10)&gt;=7,"+",IF(MOD(AA446+0.5,10)&lt;3,"-",""))),"")</f>
        <v/>
      </c>
      <c r="AE446" s="32">
        <f>IF(A446&lt;&gt;"",SUM(W446:X446,$W$8:$X$8)/SUM($W$2:$X$2)*100,"")</f>
        <v>40</v>
      </c>
      <c r="AF446" s="32" t="str">
        <f>IF(A446&lt;&gt;"",CHOOSE(10-MIN(9,TRUNC((AE446+0.5)/10)),"A","B","C","D","F","F","F","F","F","F"),"")</f>
        <v>F</v>
      </c>
      <c r="AG446" s="32" t="str">
        <f>IF(A446&lt;&gt;"",IF(OR(AE446+0.5&gt;=93,AE446+0.5&lt;60),"",IF(MOD(AE446+0.5,10)&gt;=7,"+",IF(MOD(AE446+0.5,10)&lt;3,"-",""))),"")</f>
        <v/>
      </c>
      <c r="AH446" s="36">
        <f>IF(A446&lt;&gt;"",MIN(MAX(AA446,AE446),AA446+$AH$8,AE446+$AH$8),"")</f>
        <v>40</v>
      </c>
      <c r="AI446" s="32" t="str">
        <f>IF(A446&lt;&gt;"",CHOOSE(10-MIN(9,TRUNC((AH446+0.5)/10)),"A","B","C","D","F","F","F","F","F","F"),"")</f>
        <v>F</v>
      </c>
      <c r="AJ446" s="32" t="str">
        <f>IF(A446&lt;&gt;"",IF(OR(AH446+0.5&gt;=93,AH446+0.5&lt;60),"",IF(MOD(AH446+0.5,10)&gt;=7,"+",IF(MOD(AH446+0.5,10)&lt;3,"-",""))),"")</f>
        <v/>
      </c>
      <c r="AK446" s="71" t="b">
        <f>IF(A446&lt;&gt;"",OR(AI446&lt;&gt;AC446,AJ446&lt;&gt;AD446),"")</f>
        <v>0</v>
      </c>
      <c r="AL446" s="86">
        <f>IF(AND(A446&lt;&gt;"",U446&lt;&gt;""),SUM(U446,$AL$8)/$AL$2*100,"")</f>
        <v>25.333333333333336</v>
      </c>
      <c r="AM446" s="71">
        <f>IF(AND(A446&lt;&gt;"",V446&lt;&gt;""),SUM(V446,$AM$8)/$AM$2*100,"")</f>
        <v>19.230769230769234</v>
      </c>
      <c r="AN446" s="71">
        <f>IF(AND(A446&lt;&gt;"",ISNUMBER(P446),P446&gt;=0),SUM(P446,$AN$8)/$AN$2*100,"")</f>
        <v>40</v>
      </c>
      <c r="AO446" s="71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>
        <f>IF(AND(A446&lt;&gt;"",ISNUMBER(W446),W446&gt;=0),SUM(W446,$AQ$8)/$AQ$2*100,"")</f>
        <v>40</v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9">
        <f>IF(AND(A446&lt;&gt;"",OR(ISNUMBER(W446),ISNUMBER(X446))),SUM(W446:X446,$AT$8)/$AT$2*100,"")</f>
        <v>40</v>
      </c>
      <c r="AU446" s="24">
        <f>AA446</f>
        <v>27.868852459016392</v>
      </c>
      <c r="AV446" s="71"/>
      <c r="AW446" s="27">
        <f>IF(A446&lt;&gt;"",AE446-AA446,"")</f>
        <v>12.131147540983608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  <c r="BE446" s="32">
        <v>32</v>
      </c>
    </row>
    <row r="447" spans="1:57" s="27" customFormat="1" ht="12.75" customHeight="1" x14ac:dyDescent="0.2">
      <c r="A447" s="10">
        <v>855469</v>
      </c>
      <c r="B447" s="2">
        <v>19</v>
      </c>
      <c r="C447" s="10">
        <v>18</v>
      </c>
      <c r="D447" s="10">
        <v>24</v>
      </c>
      <c r="E447" s="10"/>
      <c r="F447" s="10"/>
      <c r="G447" s="3"/>
      <c r="H447" s="10"/>
      <c r="I447" s="10"/>
      <c r="J447" s="2">
        <v>27</v>
      </c>
      <c r="K447" s="10">
        <v>18</v>
      </c>
      <c r="L447" s="10">
        <v>49</v>
      </c>
      <c r="M447" s="10"/>
      <c r="N447" s="93"/>
      <c r="O447" s="13"/>
      <c r="P447" s="10">
        <v>60</v>
      </c>
      <c r="Q447" s="10"/>
      <c r="R447" s="2"/>
      <c r="S447" s="10"/>
      <c r="T447" s="13"/>
      <c r="U447" s="7">
        <f t="array" ref="U447">IF(AND(A447&lt;&gt;"",OR(ISNUMBER(B447:I447))),SUM(B447:I447),"")</f>
        <v>61</v>
      </c>
      <c r="V447" s="10">
        <f t="array" ref="V447">IF(AND(A447&lt;&gt;"",OR(ISNUMBER(J447:O447))),SUM(J447:O447),"")</f>
        <v>94</v>
      </c>
      <c r="W447" s="10">
        <f t="array" ref="W447">IF(AND(A447&lt;&gt;"",OR(ISNUMBER(P447),ISNUMBER(Q447))),SUM(MAX(P447:Q447),Q447),"")</f>
        <v>60</v>
      </c>
      <c r="X447" s="10" t="str">
        <f t="array" ref="X447">IF(AND(A447&lt;&gt;"",OR(ISNUMBER(S447),ISNUMBER(T447))),SUM(S447,T447),"")</f>
        <v/>
      </c>
      <c r="Y447" s="13">
        <v>1</v>
      </c>
      <c r="Z447" s="13">
        <f>IF(A447&lt;&gt;"",SUM(U447:Y447),"")</f>
        <v>216</v>
      </c>
      <c r="AA447" s="27">
        <f>IF(A447&lt;&gt;"",(Z447+Normalize_To_Add)/(Point_Total_So_Far)*100,"")</f>
        <v>70.819672131147541</v>
      </c>
      <c r="AB447" s="10">
        <f>IF(A447&lt;&gt;"",RANK(AA447,All_Student_XC),"")</f>
        <v>458</v>
      </c>
      <c r="AC447" s="32" t="str">
        <f>IF(A447&lt;&gt;"",CHOOSE(10-MIN(9,TRUNC((AA447+0.5)/10)),"A","B","C","D","F","F","F","F","F","F"),"")</f>
        <v>C</v>
      </c>
      <c r="AD447" s="31" t="str">
        <f>IF(A447&lt;&gt;"",IF(OR(AA447+0.5&gt;=93,AA447+0.5&lt;60),"",IF(MOD(AA447+0.5,10)&gt;=7,"+",IF(MOD(AA447+0.5,10)&lt;3,"-",""))),"")</f>
        <v>-</v>
      </c>
      <c r="AE447" s="32">
        <f>IF(A447&lt;&gt;"",SUM(W447:X447,$W$8:$X$8)/SUM($W$2:$X$2)*100,"")</f>
        <v>60</v>
      </c>
      <c r="AF447" s="32" t="str">
        <f>IF(A447&lt;&gt;"",CHOOSE(10-MIN(9,TRUNC((AE447+0.5)/10)),"A","B","C","D","F","F","F","F","F","F"),"")</f>
        <v>D</v>
      </c>
      <c r="AG447" s="32" t="str">
        <f>IF(A447&lt;&gt;"",IF(OR(AE447+0.5&gt;=93,AE447+0.5&lt;60),"",IF(MOD(AE447+0.5,10)&gt;=7,"+",IF(MOD(AE447+0.5,10)&lt;3,"-",""))),"")</f>
        <v>-</v>
      </c>
      <c r="AH447" s="36">
        <f>IF(A447&lt;&gt;"",MIN(MAX(AA447,AE447),AA447+$AH$8,AE447+$AH$8),"")</f>
        <v>70.819672131147541</v>
      </c>
      <c r="AI447" s="32" t="str">
        <f>IF(A447&lt;&gt;"",CHOOSE(10-MIN(9,TRUNC((AH447+0.5)/10)),"A","B","C","D","F","F","F","F","F","F"),"")</f>
        <v>C</v>
      </c>
      <c r="AJ447" s="32" t="str">
        <f>IF(A447&lt;&gt;"",IF(OR(AH447+0.5&gt;=93,AH447+0.5&lt;60),"",IF(MOD(AH447+0.5,10)&gt;=7,"+",IF(MOD(AH447+0.5,10)&lt;3,"-",""))),"")</f>
        <v>-</v>
      </c>
      <c r="AK447" s="71" t="b">
        <f>IF(A447&lt;&gt;"",OR(AI447&lt;&gt;AC447,AJ447&lt;&gt;AD447),"")</f>
        <v>0</v>
      </c>
      <c r="AL447" s="86">
        <f>IF(AND(A447&lt;&gt;"",U447&lt;&gt;""),SUM(U447,$AL$8)/$AL$2*100,"")</f>
        <v>81.333333333333329</v>
      </c>
      <c r="AM447" s="71">
        <f>IF(AND(A447&lt;&gt;"",V447&lt;&gt;""),SUM(V447,$AM$8)/$AM$2*100,"")</f>
        <v>72.307692307692307</v>
      </c>
      <c r="AN447" s="71">
        <f>IF(AND(A447&lt;&gt;"",ISNUMBER(P447),P447&gt;=0),SUM(P447,$AN$8)/$AN$2*100,"")</f>
        <v>60</v>
      </c>
      <c r="AO447" s="71" t="str">
        <f>IF(AND(A447&lt;&gt;"",ISNUMBER(Q447),Q447&gt;=0),SUM(Q447,$AO$8)/$AO$2*100,"")</f>
        <v/>
      </c>
      <c r="AP447" s="24" t="str">
        <f>IF(AND(A447&lt;&gt;"",R447&lt;&gt;""),SUM(R447,$AP$8)/$AP$2*100,"")</f>
        <v/>
      </c>
      <c r="AQ447" s="24">
        <f>IF(AND(A447&lt;&gt;"",ISNUMBER(W447),W447&gt;=0),SUM(W447,$AQ$8)/$AQ$2*100,"")</f>
        <v>60</v>
      </c>
      <c r="AR447" s="24" t="str">
        <f>IF(AND(A447&lt;&gt;"",T447&gt;0,ISNUMBER(T447)),SUM(T447,$AR$8)/$AR$2*100,"")</f>
        <v/>
      </c>
      <c r="AS447" s="24" t="str">
        <f>IF(AND(A447&lt;&gt;"",X447&lt;&gt;""),SUM(X447,$AS$8)/$AS$2*100,"")</f>
        <v/>
      </c>
      <c r="AT447" s="89">
        <f>IF(AND(A447&lt;&gt;"",OR(ISNUMBER(W447),ISNUMBER(X447))),SUM(W447:X447,$AT$8)/$AT$2*100,"")</f>
        <v>60</v>
      </c>
      <c r="AU447" s="24">
        <f>AA447</f>
        <v>70.819672131147541</v>
      </c>
      <c r="AV447" s="71"/>
      <c r="AW447" s="27">
        <f>IF(A447&lt;&gt;"",AE447-AA447,"")</f>
        <v>-10.819672131147541</v>
      </c>
      <c r="AY447" s="27" t="b">
        <f>S447&gt;R447</f>
        <v>0</v>
      </c>
      <c r="BA447" s="27" t="e">
        <f>AND(AA447&gt;$BA$3,(W447+$W$8)/$W$2&lt;$BB$3,(X447+$X$8)/$X$2&lt;$BB$3)</f>
        <v>#VALUE!</v>
      </c>
      <c r="BB447" s="27" t="e">
        <f>AND(AA447&lt;$BA$3,AND(W447/$W$2&gt;$BB$3,X447/$X$2&gt;$BB$3))</f>
        <v>#VALUE!</v>
      </c>
      <c r="BC447" s="27" t="e">
        <f>AND(AA447&lt;$BA$3,OR(W447/$W$2&gt;$BB$3,X447/$X$2&gt;$BB$3))</f>
        <v>#VALUE!</v>
      </c>
      <c r="BE447" s="32">
        <v>32</v>
      </c>
    </row>
    <row r="448" spans="1:57" s="27" customFormat="1" ht="12.75" customHeight="1" x14ac:dyDescent="0.2">
      <c r="A448" s="10">
        <v>860462</v>
      </c>
      <c r="B448" s="2">
        <v>19</v>
      </c>
      <c r="C448" s="10">
        <v>25</v>
      </c>
      <c r="D448" s="10">
        <v>25</v>
      </c>
      <c r="E448" s="10"/>
      <c r="F448" s="10"/>
      <c r="G448" s="3"/>
      <c r="H448" s="10"/>
      <c r="I448" s="10"/>
      <c r="J448" s="2">
        <v>30</v>
      </c>
      <c r="K448" s="10">
        <v>13</v>
      </c>
      <c r="L448" s="10">
        <v>52</v>
      </c>
      <c r="M448" s="10"/>
      <c r="N448" s="93"/>
      <c r="O448" s="12"/>
      <c r="P448" s="10">
        <v>101</v>
      </c>
      <c r="Q448" s="41"/>
      <c r="R448" s="2"/>
      <c r="S448" s="10"/>
      <c r="T448" s="13"/>
      <c r="U448" s="7">
        <f t="array" ref="U448">IF(AND(A448&lt;&gt;"",OR(ISNUMBER(B448:I448))),SUM(B448:I448),"")</f>
        <v>69</v>
      </c>
      <c r="V448" s="10">
        <f t="array" ref="V448">IF(AND(A448&lt;&gt;"",OR(ISNUMBER(J448:O448))),SUM(J448:O448),"")</f>
        <v>95</v>
      </c>
      <c r="W448" s="10">
        <f t="array" ref="W448">IF(AND(A448&lt;&gt;"",OR(ISNUMBER(P448),ISNUMBER(Q448))),SUM(MAX(P448:Q448),Q448),"")</f>
        <v>101</v>
      </c>
      <c r="X448" s="10" t="str">
        <f t="array" ref="X448">IF(AND(A448&lt;&gt;"",OR(ISNUMBER(S448),ISNUMBER(T448))),SUM(S448,T448),"")</f>
        <v/>
      </c>
      <c r="Y448" s="13">
        <v>1</v>
      </c>
      <c r="Z448" s="13">
        <f>IF(A448&lt;&gt;"",SUM(U448:Y448),"")</f>
        <v>266</v>
      </c>
      <c r="AA448" s="27">
        <f>IF(A448&lt;&gt;"",(Z448+Normalize_To_Add)/(Point_Total_So_Far)*100,"")</f>
        <v>87.21311475409837</v>
      </c>
      <c r="AB448" s="10">
        <f>IF(A448&lt;&gt;"",RANK(AA448,All_Student_XC),"")</f>
        <v>362</v>
      </c>
      <c r="AC448" s="32" t="str">
        <f>IF(A448&lt;&gt;"",CHOOSE(10-MIN(9,TRUNC((AA448+0.5)/10)),"A","B","C","D","F","F","F","F","F","F"),"")</f>
        <v>B</v>
      </c>
      <c r="AD448" s="32" t="str">
        <f>IF(A448&lt;&gt;"",IF(OR(AA448+0.5&gt;=93,AA448+0.5&lt;60),"",IF(MOD(AA448+0.5,10)&gt;=7,"+",IF(MOD(AA448+0.5,10)&lt;3,"-",""))),"")</f>
        <v>+</v>
      </c>
      <c r="AE448" s="32">
        <f>IF(A448&lt;&gt;"",SUM(W448:X448,$W$8:$X$8)/SUM($W$2:$X$2)*100,"")</f>
        <v>101</v>
      </c>
      <c r="AF448" s="32" t="str">
        <f>IF(A448&lt;&gt;"",CHOOSE(10-MIN(9,TRUNC((AE448+0.5)/10)),"A","B","C","D","F","F","F","F","F","F"),"")</f>
        <v>A</v>
      </c>
      <c r="AG448" s="32" t="str">
        <f>IF(A448&lt;&gt;"",IF(OR(AE448+0.5&gt;=93,AE448+0.5&lt;60),"",IF(MOD(AE448+0.5,10)&gt;=7,"+",IF(MOD(AE448+0.5,10)&lt;3,"-",""))),"")</f>
        <v/>
      </c>
      <c r="AH448" s="36">
        <f>IF(A448&lt;&gt;"",MIN(MAX(AA448,AE448),AA448+$AH$8,AE448+$AH$8),"")</f>
        <v>101</v>
      </c>
      <c r="AI448" s="32" t="str">
        <f>IF(A448&lt;&gt;"",CHOOSE(10-MIN(9,TRUNC((AH448+0.5)/10)),"A","B","C","D","F","F","F","F","F","F"),"")</f>
        <v>A</v>
      </c>
      <c r="AJ448" s="32" t="str">
        <f>IF(A448&lt;&gt;"",IF(OR(AH448+0.5&gt;=93,AH448+0.5&lt;60),"",IF(MOD(AH448+0.5,10)&gt;=7,"+",IF(MOD(AH448+0.5,10)&lt;3,"-",""))),"")</f>
        <v/>
      </c>
      <c r="AK448" s="32" t="b">
        <f>IF(A448&lt;&gt;"",OR(AI448&lt;&gt;AC448,AJ448&lt;&gt;AD448),"")</f>
        <v>1</v>
      </c>
      <c r="AL448" s="84">
        <f>IF(AND(A448&lt;&gt;"",U448&lt;&gt;""),SUM(U448,$AL$8)/$AL$2*100,"")</f>
        <v>92</v>
      </c>
      <c r="AM448" s="24">
        <f>IF(AND(A448&lt;&gt;"",V448&lt;&gt;""),SUM(V448,$AM$8)/$AM$2*100,"")</f>
        <v>73.076923076923066</v>
      </c>
      <c r="AN448" s="24">
        <f>IF(AND(A448&lt;&gt;"",ISNUMBER(P448),P448&gt;=0),SUM(P448,$AN$8)/$AN$2*100,"")</f>
        <v>101</v>
      </c>
      <c r="AO448" s="24" t="str">
        <f>IF(AND(A448&lt;&gt;"",ISNUMBER(Q448),Q448&gt;=0),SUM(Q448,$AO$8)/$AO$2*100,"")</f>
        <v/>
      </c>
      <c r="AP448" s="24" t="str">
        <f>IF(AND(A448&lt;&gt;"",R448&lt;&gt;""),SUM(R448,$AP$8)/$AP$2*100,"")</f>
        <v/>
      </c>
      <c r="AQ448" s="24">
        <f>IF(AND(A448&lt;&gt;"",ISNUMBER(W448),W448&gt;=0),SUM(W448,$AQ$8)/$AQ$2*100,"")</f>
        <v>101</v>
      </c>
      <c r="AR448" s="24" t="str">
        <f>IF(AND(A448&lt;&gt;"",T448&gt;0,ISNUMBER(T448)),SUM(T448,$AR$8)/$AR$2*100,"")</f>
        <v/>
      </c>
      <c r="AS448" s="24" t="str">
        <f>IF(AND(A448&lt;&gt;"",X448&lt;&gt;""),SUM(X448,$AS$8)/$AS$2*100,"")</f>
        <v/>
      </c>
      <c r="AT448" s="89">
        <f>IF(AND(A448&lt;&gt;"",OR(ISNUMBER(W448),ISNUMBER(X448))),SUM(W448:X448,$AT$8)/$AT$2*100,"")</f>
        <v>101</v>
      </c>
      <c r="AU448" s="24">
        <f>AA448</f>
        <v>87.21311475409837</v>
      </c>
      <c r="AV448" s="24"/>
      <c r="AW448" s="27">
        <f>IF(A448&lt;&gt;"",AE448-AA448,"")</f>
        <v>13.78688524590163</v>
      </c>
      <c r="AY448" s="27" t="b">
        <f>S448&gt;R448</f>
        <v>0</v>
      </c>
      <c r="BA448" s="27" t="e">
        <f>AND(AA448&gt;$BA$3,(W448+$W$8)/$W$2&lt;$BB$3,(X448+$X$8)/$X$2&lt;$BB$3)</f>
        <v>#VALUE!</v>
      </c>
      <c r="BB448" s="27" t="e">
        <f>AND(AA448&lt;$BA$3,AND(W448/$W$2&gt;$BB$3,X448/$X$2&gt;$BB$3))</f>
        <v>#VALUE!</v>
      </c>
      <c r="BC448" s="27" t="e">
        <f>AND(AA448&lt;$BA$3,OR(W448/$W$2&gt;$BB$3,X448/$X$2&gt;$BB$3))</f>
        <v>#VALUE!</v>
      </c>
      <c r="BE448" s="32" t="s">
        <v>84</v>
      </c>
    </row>
    <row r="449" spans="1:57" s="27" customFormat="1" ht="12.75" customHeight="1" x14ac:dyDescent="0.2">
      <c r="A449" s="56">
        <v>860596</v>
      </c>
      <c r="B449" s="2">
        <v>22</v>
      </c>
      <c r="C449" s="10">
        <v>25</v>
      </c>
      <c r="D449" s="10">
        <v>2</v>
      </c>
      <c r="E449" s="10"/>
      <c r="F449" s="10"/>
      <c r="G449" s="3"/>
      <c r="H449" s="10"/>
      <c r="I449" s="10"/>
      <c r="J449" s="2">
        <v>31</v>
      </c>
      <c r="K449" s="10">
        <v>52</v>
      </c>
      <c r="L449" s="10">
        <v>52</v>
      </c>
      <c r="M449" s="10"/>
      <c r="N449" s="10"/>
      <c r="O449" s="12"/>
      <c r="P449" s="10">
        <v>101</v>
      </c>
      <c r="Q449" s="41"/>
      <c r="R449" s="2"/>
      <c r="S449" s="10"/>
      <c r="T449" s="13"/>
      <c r="U449" s="7">
        <f t="array" ref="U449">IF(AND(A449&lt;&gt;"",OR(ISNUMBER(B449:I449))),SUM(B449:I449),"")</f>
        <v>49</v>
      </c>
      <c r="V449" s="10">
        <f t="array" ref="V449">IF(AND(A449&lt;&gt;"",OR(ISNUMBER(J449:O449))),SUM(J449:O449),"")</f>
        <v>135</v>
      </c>
      <c r="W449" s="10">
        <f t="array" ref="W449">IF(AND(A449&lt;&gt;"",OR(ISNUMBER(P449),ISNUMBER(Q449))),SUM(MAX(P449:Q449),Q449),"")</f>
        <v>101</v>
      </c>
      <c r="X449" s="10" t="str">
        <f t="array" ref="X449">IF(AND(A449&lt;&gt;"",OR(ISNUMBER(S449),ISNUMBER(T449))),SUM(S449,T449),"")</f>
        <v/>
      </c>
      <c r="Y449" s="13">
        <v>1</v>
      </c>
      <c r="Z449" s="13">
        <f>IF(A449&lt;&gt;"",SUM(U449:Y449),"")</f>
        <v>286</v>
      </c>
      <c r="AA449" s="27">
        <f>IF(A449&lt;&gt;"",(Z449+Normalize_To_Add)/(Point_Total_So_Far)*100,"")</f>
        <v>93.770491803278688</v>
      </c>
      <c r="AB449" s="10">
        <f>IF(A449&lt;&gt;"",RANK(AA449,All_Student_XC),"")</f>
        <v>287</v>
      </c>
      <c r="AC449" s="32" t="str">
        <f>IF(A449&lt;&gt;"",CHOOSE(10-MIN(9,TRUNC((AA449+0.5)/10)),"A","B","C","D","F","F","F","F","F","F"),"")</f>
        <v>A</v>
      </c>
      <c r="AD449" s="32" t="str">
        <f>IF(A449&lt;&gt;"",IF(OR(AA449+0.5&gt;=93,AA449+0.5&lt;60),"",IF(MOD(AA449+0.5,10)&gt;=7,"+",IF(MOD(AA449+0.5,10)&lt;3,"-",""))),"")</f>
        <v/>
      </c>
      <c r="AE449" s="32">
        <f>IF(A449&lt;&gt;"",SUM(W449:X449,$W$8:$X$8)/SUM($W$2:$X$2)*100,"")</f>
        <v>101</v>
      </c>
      <c r="AF449" s="32" t="str">
        <f>IF(A449&lt;&gt;"",CHOOSE(10-MIN(9,TRUNC((AE449+0.5)/10)),"A","B","C","D","F","F","F","F","F","F"),"")</f>
        <v>A</v>
      </c>
      <c r="AG449" s="32" t="str">
        <f>IF(A449&lt;&gt;"",IF(OR(AE449+0.5&gt;=93,AE449+0.5&lt;60),"",IF(MOD(AE449+0.5,10)&gt;=7,"+",IF(MOD(AE449+0.5,10)&lt;3,"-",""))),"")</f>
        <v/>
      </c>
      <c r="AH449" s="36">
        <f>IF(A449&lt;&gt;"",MIN(MAX(AA449,AE449),AA449+$AH$8,AE449+$AH$8),"")</f>
        <v>101</v>
      </c>
      <c r="AI449" s="32" t="str">
        <f>IF(A449&lt;&gt;"",CHOOSE(10-MIN(9,TRUNC((AH449+0.5)/10)),"A","B","C","D","F","F","F","F","F","F"),"")</f>
        <v>A</v>
      </c>
      <c r="AJ449" s="32" t="str">
        <f>IF(A449&lt;&gt;"",IF(OR(AH449+0.5&gt;=93,AH449+0.5&lt;60),"",IF(MOD(AH449+0.5,10)&gt;=7,"+",IF(MOD(AH449+0.5,10)&lt;3,"-",""))),"")</f>
        <v/>
      </c>
      <c r="AK449" s="32" t="b">
        <f>IF(A449&lt;&gt;"",OR(AI449&lt;&gt;AC449,AJ449&lt;&gt;AD449),"")</f>
        <v>0</v>
      </c>
      <c r="AL449" s="84">
        <f>IF(AND(A449&lt;&gt;"",U449&lt;&gt;""),SUM(U449,$AL$8)/$AL$2*100,"")</f>
        <v>65.333333333333329</v>
      </c>
      <c r="AM449" s="24">
        <f>IF(AND(A449&lt;&gt;"",V449&lt;&gt;""),SUM(V449,$AM$8)/$AM$2*100,"")</f>
        <v>103.84615384615385</v>
      </c>
      <c r="AN449" s="24">
        <f>IF(AND(A449&lt;&gt;"",ISNUMBER(P449),P449&gt;=0),SUM(P449,$AN$8)/$AN$2*100,"")</f>
        <v>101</v>
      </c>
      <c r="AO449" s="24" t="str">
        <f>IF(AND(A449&lt;&gt;"",ISNUMBER(Q449),Q449&gt;=0),SUM(Q449,$AO$8)/$AO$2*100,"")</f>
        <v/>
      </c>
      <c r="AP449" s="24" t="str">
        <f>IF(AND(A449&lt;&gt;"",R449&lt;&gt;""),SUM(R449,$AP$8)/$AP$2*100,"")</f>
        <v/>
      </c>
      <c r="AQ449" s="24">
        <f>IF(AND(A449&lt;&gt;"",ISNUMBER(W449),W449&gt;=0),SUM(W449,$AQ$8)/$AQ$2*100,"")</f>
        <v>101</v>
      </c>
      <c r="AR449" s="24" t="str">
        <f>IF(AND(A449&lt;&gt;"",T449&gt;0,ISNUMBER(T449)),SUM(T449,$AR$8)/$AR$2*100,"")</f>
        <v/>
      </c>
      <c r="AS449" s="24" t="str">
        <f>IF(AND(A449&lt;&gt;"",X449&lt;&gt;""),SUM(X449,$AS$8)/$AS$2*100,"")</f>
        <v/>
      </c>
      <c r="AT449" s="89">
        <f>IF(AND(A449&lt;&gt;"",OR(ISNUMBER(W449),ISNUMBER(X449))),SUM(W449:X449,$AT$8)/$AT$2*100,"")</f>
        <v>101</v>
      </c>
      <c r="AU449" s="24">
        <f>AA449</f>
        <v>93.770491803278688</v>
      </c>
      <c r="AV449" s="24"/>
      <c r="AW449" s="27">
        <f>IF(A449&lt;&gt;"",AE449-AA449,"")</f>
        <v>7.2295081967213122</v>
      </c>
      <c r="AY449" s="27" t="b">
        <f>S449&gt;R449</f>
        <v>0</v>
      </c>
      <c r="BA449" s="27" t="e">
        <f>AND(AA449&gt;$BA$3,(W449+$W$8)/$W$2&lt;$BB$3,(X449+$X$8)/$X$2&lt;$BB$3)</f>
        <v>#VALUE!</v>
      </c>
      <c r="BB449" s="27" t="e">
        <f>AND(AA449&lt;$BA$3,AND(W449/$W$2&gt;$BB$3,X449/$X$2&gt;$BB$3))</f>
        <v>#VALUE!</v>
      </c>
      <c r="BC449" s="27" t="e">
        <f>AND(AA449&lt;$BA$3,OR(W449/$W$2&gt;$BB$3,X449/$X$2&gt;$BB$3))</f>
        <v>#VALUE!</v>
      </c>
      <c r="BE449" s="32" t="s">
        <v>84</v>
      </c>
    </row>
    <row r="450" spans="1:57" s="99" customFormat="1" ht="12.75" customHeight="1" x14ac:dyDescent="0.2">
      <c r="A450" s="78">
        <v>863811</v>
      </c>
      <c r="B450" s="97">
        <v>19</v>
      </c>
      <c r="C450" s="78">
        <v>23</v>
      </c>
      <c r="D450" s="78">
        <v>25</v>
      </c>
      <c r="E450" s="78"/>
      <c r="F450" s="78"/>
      <c r="G450" s="78"/>
      <c r="H450" s="78"/>
      <c r="I450" s="78"/>
      <c r="J450" s="97">
        <v>30</v>
      </c>
      <c r="K450" s="78">
        <v>32</v>
      </c>
      <c r="L450" s="78">
        <v>50</v>
      </c>
      <c r="M450" s="78"/>
      <c r="N450" s="103"/>
      <c r="O450" s="108"/>
      <c r="P450" s="78">
        <v>101</v>
      </c>
      <c r="Q450" s="109"/>
      <c r="R450" s="97"/>
      <c r="S450" s="78"/>
      <c r="T450" s="98"/>
      <c r="U450" s="79">
        <f t="array" ref="U450">IF(AND(A450&lt;&gt;"",OR(ISNUMBER(B450:I450))),SUM(B450:I450),"")</f>
        <v>67</v>
      </c>
      <c r="V450" s="78">
        <f t="array" ref="V450">IF(AND(A450&lt;&gt;"",OR(ISNUMBER(J450:O450))),SUM(J450:O450),"")</f>
        <v>112</v>
      </c>
      <c r="W450" s="78">
        <f t="array" ref="W450">IF(AND(A450&lt;&gt;"",OR(ISNUMBER(P450),ISNUMBER(Q450))),SUM(MAX(P450:Q450),Q450),"")</f>
        <v>101</v>
      </c>
      <c r="X450" s="78" t="str">
        <f t="array" ref="X450">IF(AND(A450&lt;&gt;"",OR(ISNUMBER(S450),ISNUMBER(T450))),SUM(S450,T450),"")</f>
        <v/>
      </c>
      <c r="Y450" s="98">
        <v>1</v>
      </c>
      <c r="Z450" s="98">
        <f>IF(A450&lt;&gt;"",SUM(U450:Y450),"")</f>
        <v>281</v>
      </c>
      <c r="AA450" s="99">
        <f>IF(A450&lt;&gt;"",(Z450+Normalize_To_Add)/(Point_Total_So_Far)*100,"")</f>
        <v>92.131147540983605</v>
      </c>
      <c r="AB450" s="78">
        <f>IF(A450&lt;&gt;"",RANK(AA450,All_Student_XC),"")</f>
        <v>307</v>
      </c>
      <c r="AC450" s="100" t="str">
        <f>IF(A450&lt;&gt;"",CHOOSE(10-MIN(9,TRUNC((AA450+0.5)/10)),"A","B","C","D","F","F","F","F","F","F"),"")</f>
        <v>A</v>
      </c>
      <c r="AD450" s="100" t="str">
        <f>IF(A450&lt;&gt;"",IF(OR(AA450+0.5&gt;=93,AA450+0.5&lt;60),"",IF(MOD(AA450+0.5,10)&gt;=7,"+",IF(MOD(AA450+0.5,10)&lt;3,"-",""))),"")</f>
        <v>-</v>
      </c>
      <c r="AE450" s="100">
        <f>IF(A450&lt;&gt;"",SUM(W450:X450,$W$8:$X$8)/SUM($W$2:$X$2)*100,"")</f>
        <v>101</v>
      </c>
      <c r="AF450" s="114" t="str">
        <f>IF(A450&lt;&gt;"",CHOOSE(10-MIN(9,TRUNC((AE450+0.5)/10)),"A","B","C","D","F","F","F","F","F","F"),"")</f>
        <v>A</v>
      </c>
      <c r="AG450" s="114" t="str">
        <f>IF(A450&lt;&gt;"",IF(OR(AE450+0.5&gt;=93,AE450+0.5&lt;60),"",IF(MOD(AE450+0.5,10)&gt;=7,"+",IF(MOD(AE450+0.5,10)&lt;3,"-",""))),"")</f>
        <v/>
      </c>
      <c r="AH450" s="101">
        <f>IF(A450&lt;&gt;"",MIN(MAX(AA450,AE450),AA450+$AH$8,AE450+$AH$8),"")</f>
        <v>101</v>
      </c>
      <c r="AI450" s="100" t="str">
        <f>IF(A450&lt;&gt;"",CHOOSE(10-MIN(9,TRUNC((AH450+0.5)/10)),"A","B","C","D","F","F","F","F","F","F"),"")</f>
        <v>A</v>
      </c>
      <c r="AJ450" s="100" t="str">
        <f>IF(A450&lt;&gt;"",IF(OR(AH450+0.5&gt;=93,AH450+0.5&lt;60),"",IF(MOD(AH450+0.5,10)&gt;=7,"+",IF(MOD(AH450+0.5,10)&lt;3,"-",""))),"")</f>
        <v/>
      </c>
      <c r="AK450" s="100" t="b">
        <f>IF(A450&lt;&gt;"",OR(AI450&lt;&gt;AC450,AJ450&lt;&gt;AD450),"")</f>
        <v>1</v>
      </c>
      <c r="AL450" s="110">
        <f>IF(AND(A450&lt;&gt;"",U450&lt;&gt;""),SUM(U450,$AL$8)/$AL$2*100,"")</f>
        <v>89.333333333333329</v>
      </c>
      <c r="AM450" s="94">
        <f>IF(AND(A450&lt;&gt;"",V450&lt;&gt;""),SUM(V450,$AM$8)/$AM$2*100,"")</f>
        <v>86.15384615384616</v>
      </c>
      <c r="AN450" s="94">
        <f>IF(AND(A450&lt;&gt;"",ISNUMBER(P450),P450&gt;=0),SUM(P450,$AN$8)/$AN$2*100,"")</f>
        <v>101</v>
      </c>
      <c r="AO450" s="94" t="str">
        <f>IF(AND(A450&lt;&gt;"",ISNUMBER(Q450),Q450&gt;=0),SUM(Q450,$AO$8)/$AO$2*100,"")</f>
        <v/>
      </c>
      <c r="AP450" s="94" t="str">
        <f>IF(AND(A450&lt;&gt;"",R450&lt;&gt;""),SUM(R450,$AP$8)/$AP$2*100,"")</f>
        <v/>
      </c>
      <c r="AQ450" s="94">
        <f>IF(AND(A450&lt;&gt;"",ISNUMBER(W450),W450&gt;=0),SUM(W450,$AQ$8)/$AQ$2*100,"")</f>
        <v>101</v>
      </c>
      <c r="AR450" s="94" t="str">
        <f>IF(AND(A450&lt;&gt;"",T450&gt;0,ISNUMBER(T450)),SUM(T450,$AR$8)/$AR$2*100,"")</f>
        <v/>
      </c>
      <c r="AS450" s="94" t="str">
        <f>IF(AND(A450&lt;&gt;"",X450&lt;&gt;""),SUM(X450,$AS$8)/$AS$2*100,"")</f>
        <v/>
      </c>
      <c r="AT450" s="102">
        <f>IF(AND(A450&lt;&gt;"",OR(ISNUMBER(W450),ISNUMBER(X450))),SUM(W450:X450,$AT$8)/$AT$2*100,"")</f>
        <v>101</v>
      </c>
      <c r="AU450" s="94">
        <f>AA450</f>
        <v>92.131147540983605</v>
      </c>
      <c r="AV450" s="94"/>
      <c r="AW450" s="99">
        <f>IF(A450&lt;&gt;"",AE450-AA450,"")</f>
        <v>8.8688524590163951</v>
      </c>
      <c r="AY450" s="99" t="b">
        <f>S450&gt;R450</f>
        <v>0</v>
      </c>
      <c r="BA450" s="99" t="e">
        <f>AND(AA450&gt;$BA$3,(W450+$W$8)/$W$2&lt;$BB$3,(X450+$X$8)/$X$2&lt;$BB$3)</f>
        <v>#VALUE!</v>
      </c>
      <c r="BB450" s="99" t="e">
        <f>AND(AA450&lt;$BA$3,AND(W450/$W$2&gt;$BB$3,X450/$X$2&gt;$BB$3))</f>
        <v>#VALUE!</v>
      </c>
      <c r="BC450" s="99" t="e">
        <f>AND(AA450&lt;$BA$3,OR(W450/$W$2&gt;$BB$3,X450/$X$2&gt;$BB$3))</f>
        <v>#VALUE!</v>
      </c>
      <c r="BE450" s="100" t="s">
        <v>84</v>
      </c>
    </row>
    <row r="451" spans="1:57" s="27" customFormat="1" ht="12.75" customHeight="1" x14ac:dyDescent="0.2">
      <c r="A451" s="10">
        <v>865975</v>
      </c>
      <c r="B451" s="2">
        <v>24</v>
      </c>
      <c r="C451" s="10">
        <v>24</v>
      </c>
      <c r="D451" s="10">
        <v>25</v>
      </c>
      <c r="E451" s="10"/>
      <c r="F451" s="10"/>
      <c r="G451" s="10"/>
      <c r="H451" s="10"/>
      <c r="I451" s="10"/>
      <c r="J451" s="2">
        <v>31</v>
      </c>
      <c r="K451" s="10">
        <v>52</v>
      </c>
      <c r="L451" s="10">
        <v>52</v>
      </c>
      <c r="M451" s="10"/>
      <c r="N451" s="93"/>
      <c r="O451" s="13"/>
      <c r="P451" s="10">
        <v>101</v>
      </c>
      <c r="Q451" s="10"/>
      <c r="R451" s="2"/>
      <c r="S451" s="10"/>
      <c r="T451" s="13"/>
      <c r="U451" s="7">
        <f t="array" ref="U451">IF(AND(A451&lt;&gt;"",OR(ISNUMBER(B451:I451))),SUM(B451:I451),"")</f>
        <v>73</v>
      </c>
      <c r="V451" s="10">
        <f t="array" ref="V451">IF(AND(A451&lt;&gt;"",OR(ISNUMBER(J451:O451))),SUM(J451:O451),"")</f>
        <v>135</v>
      </c>
      <c r="W451" s="10">
        <f t="array" ref="W451">IF(AND(A451&lt;&gt;"",OR(ISNUMBER(P451),ISNUMBER(Q451))),SUM(MAX(P451:Q451),Q451),"")</f>
        <v>101</v>
      </c>
      <c r="X451" s="10" t="str">
        <f t="array" ref="X451">IF(AND(A451&lt;&gt;"",OR(ISNUMBER(S451),ISNUMBER(T451))),SUM(S451,T451),"")</f>
        <v/>
      </c>
      <c r="Y451" s="13">
        <v>1</v>
      </c>
      <c r="Z451" s="13">
        <f>IF(A451&lt;&gt;"",SUM(U451:Y451),"")</f>
        <v>310</v>
      </c>
      <c r="AA451" s="27">
        <f>IF(A451&lt;&gt;"",(Z451+Normalize_To_Add)/(Point_Total_So_Far)*100,"")</f>
        <v>101.63934426229508</v>
      </c>
      <c r="AB451" s="10">
        <f>IF(A451&lt;&gt;"",RANK(AA451,All_Student_XC),"")</f>
        <v>19</v>
      </c>
      <c r="AC451" s="32" t="str">
        <f>IF(A451&lt;&gt;"",CHOOSE(10-MIN(9,TRUNC((AA451+0.5)/10)),"A","B","C","D","F","F","F","F","F","F"),"")</f>
        <v>A</v>
      </c>
      <c r="AD451" s="31" t="str">
        <f>IF(A451&lt;&gt;"",IF(OR(AA451+0.5&gt;=93,AA451+0.5&lt;60),"",IF(MOD(AA451+0.5,10)&gt;=7,"+",IF(MOD(AA451+0.5,10)&lt;3,"-",""))),"")</f>
        <v/>
      </c>
      <c r="AE451" s="32">
        <f>IF(A451&lt;&gt;"",SUM(W451:X451,$W$8:$X$8)/SUM($W$2:$X$2)*100,"")</f>
        <v>101</v>
      </c>
      <c r="AF451" s="32" t="str">
        <f>IF(A451&lt;&gt;"",CHOOSE(10-MIN(9,TRUNC((AE451+0.5)/10)),"A","B","C","D","F","F","F","F","F","F"),"")</f>
        <v>A</v>
      </c>
      <c r="AG451" s="32" t="str">
        <f>IF(A451&lt;&gt;"",IF(OR(AE451+0.5&gt;=93,AE451+0.5&lt;60),"",IF(MOD(AE451+0.5,10)&gt;=7,"+",IF(MOD(AE451+0.5,10)&lt;3,"-",""))),"")</f>
        <v/>
      </c>
      <c r="AH451" s="36">
        <f>IF(A451&lt;&gt;"",MIN(MAX(AA451,AE451),AA451+$AH$8,AE451+$AH$8),"")</f>
        <v>101.63934426229508</v>
      </c>
      <c r="AI451" s="32" t="str">
        <f>IF(A451&lt;&gt;"",CHOOSE(10-MIN(9,TRUNC((AH451+0.5)/10)),"A","B","C","D","F","F","F","F","F","F"),"")</f>
        <v>A</v>
      </c>
      <c r="AJ451" s="32" t="str">
        <f>IF(A451&lt;&gt;"",IF(OR(AH451+0.5&gt;=93,AH451+0.5&lt;60),"",IF(MOD(AH451+0.5,10)&gt;=7,"+",IF(MOD(AH451+0.5,10)&lt;3,"-",""))),"")</f>
        <v/>
      </c>
      <c r="AK451" s="71" t="b">
        <f>IF(A451&lt;&gt;"",OR(AI451&lt;&gt;AC451,AJ451&lt;&gt;AD451),"")</f>
        <v>0</v>
      </c>
      <c r="AL451" s="86">
        <f>IF(AND(A451&lt;&gt;"",U451&lt;&gt;""),SUM(U451,$AL$8)/$AL$2*100,"")</f>
        <v>97.333333333333343</v>
      </c>
      <c r="AM451" s="71">
        <f>IF(AND(A451&lt;&gt;"",V451&lt;&gt;""),SUM(V451,$AM$8)/$AM$2*100,"")</f>
        <v>103.84615384615385</v>
      </c>
      <c r="AN451" s="71">
        <f>IF(AND(A451&lt;&gt;"",ISNUMBER(P451),P451&gt;=0),SUM(P451,$AN$8)/$AN$2*100,"")</f>
        <v>101</v>
      </c>
      <c r="AO451" s="71" t="str">
        <f>IF(AND(A451&lt;&gt;"",ISNUMBER(Q451),Q451&gt;=0),SUM(Q451,$AO$8)/$AO$2*100,"")</f>
        <v/>
      </c>
      <c r="AP451" s="24" t="str">
        <f>IF(AND(A451&lt;&gt;"",R451&lt;&gt;""),SUM(R451,$AP$8)/$AP$2*100,"")</f>
        <v/>
      </c>
      <c r="AQ451" s="24">
        <f>IF(AND(A451&lt;&gt;"",ISNUMBER(W451),W451&gt;=0),SUM(W451,$AQ$8)/$AQ$2*100,"")</f>
        <v>101</v>
      </c>
      <c r="AR451" s="24" t="str">
        <f>IF(AND(A451&lt;&gt;"",T451&gt;0,ISNUMBER(T451)),SUM(T451,$AR$8)/$AR$2*100,"")</f>
        <v/>
      </c>
      <c r="AS451" s="24" t="str">
        <f>IF(AND(A451&lt;&gt;"",X451&lt;&gt;""),SUM(X451,$AS$8)/$AS$2*100,"")</f>
        <v/>
      </c>
      <c r="AT451" s="89">
        <f>IF(AND(A451&lt;&gt;"",OR(ISNUMBER(W451),ISNUMBER(X451))),SUM(W451:X451,$AT$8)/$AT$2*100,"")</f>
        <v>101</v>
      </c>
      <c r="AU451" s="24">
        <f>AA451</f>
        <v>101.63934426229508</v>
      </c>
      <c r="AV451" s="71"/>
      <c r="AW451" s="27">
        <f>IF(A451&lt;&gt;"",AE451-AA451,"")</f>
        <v>-0.6393442622950829</v>
      </c>
      <c r="AY451" s="27" t="b">
        <f>S451&gt;R451</f>
        <v>0</v>
      </c>
      <c r="BA451" s="27" t="e">
        <f>AND(AA451&gt;$BA$3,(W451+$W$8)/$W$2&lt;$BB$3,(X451+$X$8)/$X$2&lt;$BB$3)</f>
        <v>#VALUE!</v>
      </c>
      <c r="BB451" s="27" t="e">
        <f>AND(AA451&lt;$BA$3,AND(W451/$W$2&gt;$BB$3,X451/$X$2&gt;$BB$3))</f>
        <v>#VALUE!</v>
      </c>
      <c r="BC451" s="27" t="e">
        <f>AND(AA451&lt;$BA$3,OR(W451/$W$2&gt;$BB$3,X451/$X$2&gt;$BB$3))</f>
        <v>#VALUE!</v>
      </c>
      <c r="BE451" s="32" t="s">
        <v>84</v>
      </c>
    </row>
    <row r="452" spans="1:57" s="27" customFormat="1" ht="12.75" customHeight="1" x14ac:dyDescent="0.2">
      <c r="A452" s="10">
        <v>868485</v>
      </c>
      <c r="B452" s="2">
        <v>25</v>
      </c>
      <c r="C452" s="10">
        <v>24</v>
      </c>
      <c r="D452" s="10">
        <v>25</v>
      </c>
      <c r="E452" s="10"/>
      <c r="F452" s="10"/>
      <c r="G452" s="3"/>
      <c r="H452" s="10"/>
      <c r="I452" s="10"/>
      <c r="J452" s="2">
        <v>32</v>
      </c>
      <c r="K452" s="10">
        <v>43</v>
      </c>
      <c r="L452" s="10" t="s">
        <v>67</v>
      </c>
      <c r="M452" s="10"/>
      <c r="N452" s="10"/>
      <c r="O452" s="12"/>
      <c r="P452" s="41">
        <v>101</v>
      </c>
      <c r="Q452" s="41"/>
      <c r="R452" s="2"/>
      <c r="S452" s="10"/>
      <c r="T452" s="13"/>
      <c r="U452" s="7">
        <f t="array" ref="U452">IF(AND(A452&lt;&gt;"",OR(ISNUMBER(B452:I452))),SUM(B452:I452),"")</f>
        <v>74</v>
      </c>
      <c r="V452" s="10">
        <f t="array" ref="V452">IF(AND(A452&lt;&gt;"",OR(ISNUMBER(J452:O452))),SUM(J452:O452),"")</f>
        <v>75</v>
      </c>
      <c r="W452" s="10">
        <f t="array" ref="W452">IF(AND(A452&lt;&gt;"",OR(ISNUMBER(P452),ISNUMBER(Q452))),SUM(MAX(P452:Q452),Q452),"")</f>
        <v>101</v>
      </c>
      <c r="X452" s="10" t="str">
        <f t="array" ref="X452">IF(AND(A452&lt;&gt;"",OR(ISNUMBER(S452),ISNUMBER(T452))),SUM(S452,T452),"")</f>
        <v/>
      </c>
      <c r="Y452" s="13">
        <v>1</v>
      </c>
      <c r="Z452" s="13">
        <f>IF(A452&lt;&gt;"",SUM(U452:Y452),"")</f>
        <v>251</v>
      </c>
      <c r="AA452" s="27">
        <f>IF(A452&lt;&gt;"",(Z452+Normalize_To_Add)/(Point_Total_So_Far)*100,"")</f>
        <v>82.295081967213108</v>
      </c>
      <c r="AB452" s="10">
        <f>IF(A452&lt;&gt;"",RANK(AA452,All_Student_XC),"")</f>
        <v>395</v>
      </c>
      <c r="AC452" s="32" t="str">
        <f>IF(A452&lt;&gt;"",CHOOSE(10-MIN(9,TRUNC((AA452+0.5)/10)),"A","B","C","D","F","F","F","F","F","F"),"")</f>
        <v>B</v>
      </c>
      <c r="AD452" s="32" t="str">
        <f>IF(A452&lt;&gt;"",IF(OR(AA452+0.5&gt;=93,AA452+0.5&lt;60),"",IF(MOD(AA452+0.5,10)&gt;=7,"+",IF(MOD(AA452+0.5,10)&lt;3,"-",""))),"")</f>
        <v>-</v>
      </c>
      <c r="AE452" s="32">
        <f>IF(A452&lt;&gt;"",SUM(W452:X452,$W$8:$X$8)/SUM($W$2:$X$2)*100,"")</f>
        <v>101</v>
      </c>
      <c r="AF452" s="32" t="str">
        <f>IF(A452&lt;&gt;"",CHOOSE(10-MIN(9,TRUNC((AE452+0.5)/10)),"A","B","C","D","F","F","F","F","F","F"),"")</f>
        <v>A</v>
      </c>
      <c r="AG452" s="32" t="str">
        <f>IF(A452&lt;&gt;"",IF(OR(AE452+0.5&gt;=93,AE452+0.5&lt;60),"",IF(MOD(AE452+0.5,10)&gt;=7,"+",IF(MOD(AE452+0.5,10)&lt;3,"-",""))),"")</f>
        <v/>
      </c>
      <c r="AH452" s="36">
        <f>IF(A452&lt;&gt;"",MIN(MAX(AA452,AE452),AA452+$AH$8,AE452+$AH$8),"")</f>
        <v>101</v>
      </c>
      <c r="AI452" s="32" t="str">
        <f>IF(A452&lt;&gt;"",CHOOSE(10-MIN(9,TRUNC((AH452+0.5)/10)),"A","B","C","D","F","F","F","F","F","F"),"")</f>
        <v>A</v>
      </c>
      <c r="AJ452" s="32" t="str">
        <f>IF(A452&lt;&gt;"",IF(OR(AH452+0.5&gt;=93,AH452+0.5&lt;60),"",IF(MOD(AH452+0.5,10)&gt;=7,"+",IF(MOD(AH452+0.5,10)&lt;3,"-",""))),"")</f>
        <v/>
      </c>
      <c r="AK452" s="32" t="b">
        <f>IF(A452&lt;&gt;"",OR(AI452&lt;&gt;AC452,AJ452&lt;&gt;AD452),"")</f>
        <v>1</v>
      </c>
      <c r="AL452" s="84">
        <f>IF(AND(A452&lt;&gt;"",U452&lt;&gt;""),SUM(U452,$AL$8)/$AL$2*100,"")</f>
        <v>98.666666666666671</v>
      </c>
      <c r="AM452" s="24">
        <f>IF(AND(A452&lt;&gt;"",V452&lt;&gt;""),SUM(V452,$AM$8)/$AM$2*100,"")</f>
        <v>57.692307692307686</v>
      </c>
      <c r="AN452" s="24">
        <f>IF(AND(A452&lt;&gt;"",ISNUMBER(P452),P452&gt;=0),SUM(P452,$AN$8)/$AN$2*100,"")</f>
        <v>101</v>
      </c>
      <c r="AO452" s="24" t="str">
        <f>IF(AND(A452&lt;&gt;"",ISNUMBER(Q452),Q452&gt;=0),SUM(Q452,$AO$8)/$AO$2*100,"")</f>
        <v/>
      </c>
      <c r="AP452" s="24" t="str">
        <f>IF(AND(A452&lt;&gt;"",R452&lt;&gt;""),SUM(R452,$AP$8)/$AP$2*100,"")</f>
        <v/>
      </c>
      <c r="AQ452" s="24">
        <f>IF(AND(A452&lt;&gt;"",ISNUMBER(W452),W452&gt;=0),SUM(W452,$AQ$8)/$AQ$2*100,"")</f>
        <v>101</v>
      </c>
      <c r="AR452" s="24" t="str">
        <f>IF(AND(A452&lt;&gt;"",T452&gt;0,ISNUMBER(T452)),SUM(T452,$AR$8)/$AR$2*100,"")</f>
        <v/>
      </c>
      <c r="AS452" s="24" t="str">
        <f>IF(AND(A452&lt;&gt;"",X452&lt;&gt;""),SUM(X452,$AS$8)/$AS$2*100,"")</f>
        <v/>
      </c>
      <c r="AT452" s="89">
        <f>IF(AND(A452&lt;&gt;"",OR(ISNUMBER(W452),ISNUMBER(X452))),SUM(W452:X452,$AT$8)/$AT$2*100,"")</f>
        <v>101</v>
      </c>
      <c r="AU452" s="24">
        <f>AA452</f>
        <v>82.295081967213108</v>
      </c>
      <c r="AV452" s="24"/>
      <c r="AW452" s="27">
        <f>IF(A452&lt;&gt;"",AE452-AA452,"")</f>
        <v>18.704918032786892</v>
      </c>
      <c r="AY452" s="27" t="b">
        <f>S452&gt;R452</f>
        <v>0</v>
      </c>
      <c r="BA452" s="27" t="e">
        <f>AND(AA452&gt;$BA$3,(W452+$W$8)/$W$2&lt;$BB$3,(X452+$X$8)/$X$2&lt;$BB$3)</f>
        <v>#VALUE!</v>
      </c>
      <c r="BB452" s="27" t="e">
        <f>AND(AA452&lt;$BA$3,AND(W452/$W$2&gt;$BB$3,X452/$X$2&gt;$BB$3))</f>
        <v>#VALUE!</v>
      </c>
      <c r="BC452" s="27" t="e">
        <f>AND(AA452&lt;$BA$3,OR(W452/$W$2&gt;$BB$3,X452/$X$2&gt;$BB$3))</f>
        <v>#VALUE!</v>
      </c>
      <c r="BE452" s="32" t="s">
        <v>84</v>
      </c>
    </row>
    <row r="453" spans="1:57" s="27" customFormat="1" ht="12.75" customHeight="1" x14ac:dyDescent="0.2">
      <c r="A453" s="10">
        <v>877645</v>
      </c>
      <c r="B453" s="2">
        <v>24</v>
      </c>
      <c r="C453" s="10">
        <v>21</v>
      </c>
      <c r="D453" s="10">
        <v>25</v>
      </c>
      <c r="E453" s="10"/>
      <c r="F453" s="10"/>
      <c r="G453" s="10"/>
      <c r="H453" s="10"/>
      <c r="I453" s="10"/>
      <c r="J453" s="2">
        <v>29</v>
      </c>
      <c r="K453" s="10">
        <v>50</v>
      </c>
      <c r="L453" s="10">
        <v>50</v>
      </c>
      <c r="M453" s="10"/>
      <c r="N453" s="93"/>
      <c r="O453" s="13"/>
      <c r="P453" s="10">
        <v>101</v>
      </c>
      <c r="Q453" s="10"/>
      <c r="R453" s="2"/>
      <c r="S453" s="10"/>
      <c r="T453" s="13"/>
      <c r="U453" s="7">
        <f t="array" ref="U453">IF(AND(A453&lt;&gt;"",OR(ISNUMBER(B453:I453))),SUM(B453:I453),"")</f>
        <v>70</v>
      </c>
      <c r="V453" s="10">
        <f t="array" ref="V453">IF(AND(A453&lt;&gt;"",OR(ISNUMBER(J453:O453))),SUM(J453:O453),"")</f>
        <v>129</v>
      </c>
      <c r="W453" s="10">
        <f t="array" ref="W453">IF(AND(A453&lt;&gt;"",OR(ISNUMBER(P453),ISNUMBER(Q453))),SUM(MAX(P453:Q453),Q453),"")</f>
        <v>101</v>
      </c>
      <c r="X453" s="10" t="str">
        <f t="array" ref="X453">IF(AND(A453&lt;&gt;"",OR(ISNUMBER(S453),ISNUMBER(T453))),SUM(S453,T453),"")</f>
        <v/>
      </c>
      <c r="Y453" s="13">
        <v>1</v>
      </c>
      <c r="Z453" s="13">
        <f>IF(A453&lt;&gt;"",SUM(U453:Y453),"")</f>
        <v>301</v>
      </c>
      <c r="AA453" s="27">
        <f>IF(A453&lt;&gt;"",(Z453+Normalize_To_Add)/(Point_Total_So_Far)*100,"")</f>
        <v>98.688524590163937</v>
      </c>
      <c r="AB453" s="10">
        <f>IF(A453&lt;&gt;"",RANK(AA453,All_Student_XC),"")</f>
        <v>176</v>
      </c>
      <c r="AC453" s="32" t="str">
        <f>IF(A453&lt;&gt;"",CHOOSE(10-MIN(9,TRUNC((AA453+0.5)/10)),"A","B","C","D","F","F","F","F","F","F"),"")</f>
        <v>A</v>
      </c>
      <c r="AD453" s="31" t="str">
        <f>IF(A453&lt;&gt;"",IF(OR(AA453+0.5&gt;=93,AA453+0.5&lt;60),"",IF(MOD(AA453+0.5,10)&gt;=7,"+",IF(MOD(AA453+0.5,10)&lt;3,"-",""))),"")</f>
        <v/>
      </c>
      <c r="AE453" s="32">
        <f>IF(A453&lt;&gt;"",SUM(W453:X453,$W$8:$X$8)/SUM($W$2:$X$2)*100,"")</f>
        <v>101</v>
      </c>
      <c r="AF453" s="32" t="str">
        <f>IF(A453&lt;&gt;"",CHOOSE(10-MIN(9,TRUNC((AE453+0.5)/10)),"A","B","C","D","F","F","F","F","F","F"),"")</f>
        <v>A</v>
      </c>
      <c r="AG453" s="32" t="str">
        <f>IF(A453&lt;&gt;"",IF(OR(AE453+0.5&gt;=93,AE453+0.5&lt;60),"",IF(MOD(AE453+0.5,10)&gt;=7,"+",IF(MOD(AE453+0.5,10)&lt;3,"-",""))),"")</f>
        <v/>
      </c>
      <c r="AH453" s="36">
        <f>IF(A453&lt;&gt;"",MIN(MAX(AA453,AE453),AA453+$AH$8,AE453+$AH$8),"")</f>
        <v>101</v>
      </c>
      <c r="AI453" s="32" t="str">
        <f>IF(A453&lt;&gt;"",CHOOSE(10-MIN(9,TRUNC((AH453+0.5)/10)),"A","B","C","D","F","F","F","F","F","F"),"")</f>
        <v>A</v>
      </c>
      <c r="AJ453" s="32" t="str">
        <f>IF(A453&lt;&gt;"",IF(OR(AH453+0.5&gt;=93,AH453+0.5&lt;60),"",IF(MOD(AH453+0.5,10)&gt;=7,"+",IF(MOD(AH453+0.5,10)&lt;3,"-",""))),"")</f>
        <v/>
      </c>
      <c r="AK453" s="71" t="b">
        <f>IF(A453&lt;&gt;"",OR(AI453&lt;&gt;AC453,AJ453&lt;&gt;AD453),"")</f>
        <v>0</v>
      </c>
      <c r="AL453" s="86">
        <f>IF(AND(A453&lt;&gt;"",U453&lt;&gt;""),SUM(U453,$AL$8)/$AL$2*100,"")</f>
        <v>93.333333333333329</v>
      </c>
      <c r="AM453" s="71">
        <f>IF(AND(A453&lt;&gt;"",V453&lt;&gt;""),SUM(V453,$AM$8)/$AM$2*100,"")</f>
        <v>99.230769230769226</v>
      </c>
      <c r="AN453" s="71">
        <f>IF(AND(A453&lt;&gt;"",ISNUMBER(P453),P453&gt;=0),SUM(P453,$AN$8)/$AN$2*100,"")</f>
        <v>101</v>
      </c>
      <c r="AO453" s="71" t="str">
        <f>IF(AND(A453&lt;&gt;"",ISNUMBER(Q453),Q453&gt;=0),SUM(Q453,$AO$8)/$AO$2*100,"")</f>
        <v/>
      </c>
      <c r="AP453" s="24" t="str">
        <f>IF(AND(A453&lt;&gt;"",R453&lt;&gt;""),SUM(R453,$AP$8)/$AP$2*100,"")</f>
        <v/>
      </c>
      <c r="AQ453" s="24">
        <f>IF(AND(A453&lt;&gt;"",ISNUMBER(W453),W453&gt;=0),SUM(W453,$AQ$8)/$AQ$2*100,"")</f>
        <v>101</v>
      </c>
      <c r="AR453" s="24" t="str">
        <f>IF(AND(A453&lt;&gt;"",T453&gt;0,ISNUMBER(T453)),SUM(T453,$AR$8)/$AR$2*100,"")</f>
        <v/>
      </c>
      <c r="AS453" s="24" t="str">
        <f>IF(AND(A453&lt;&gt;"",X453&lt;&gt;""),SUM(X453,$AS$8)/$AS$2*100,"")</f>
        <v/>
      </c>
      <c r="AT453" s="89">
        <f>IF(AND(A453&lt;&gt;"",OR(ISNUMBER(W453),ISNUMBER(X453))),SUM(W453:X453,$AT$8)/$AT$2*100,"")</f>
        <v>101</v>
      </c>
      <c r="AU453" s="24">
        <f>AA453</f>
        <v>98.688524590163937</v>
      </c>
      <c r="AV453" s="71"/>
      <c r="AW453" s="27">
        <f>IF(A453&lt;&gt;"",AE453-AA453,"")</f>
        <v>2.3114754098360635</v>
      </c>
      <c r="AY453" s="27" t="b">
        <f>S453&gt;R453</f>
        <v>0</v>
      </c>
      <c r="BA453" s="27" t="e">
        <f>AND(AA453&gt;$BA$3,(W453+$W$8)/$W$2&lt;$BB$3,(X453+$X$8)/$X$2&lt;$BB$3)</f>
        <v>#VALUE!</v>
      </c>
      <c r="BB453" s="27" t="e">
        <f>AND(AA453&lt;$BA$3,AND(W453/$W$2&gt;$BB$3,X453/$X$2&gt;$BB$3))</f>
        <v>#VALUE!</v>
      </c>
      <c r="BC453" s="27" t="e">
        <f>AND(AA453&lt;$BA$3,OR(W453/$W$2&gt;$BB$3,X453/$X$2&gt;$BB$3))</f>
        <v>#VALUE!</v>
      </c>
      <c r="BE453" s="32" t="s">
        <v>84</v>
      </c>
    </row>
    <row r="454" spans="1:57" s="27" customFormat="1" ht="12.75" customHeight="1" x14ac:dyDescent="0.2">
      <c r="A454" s="10">
        <v>877783</v>
      </c>
      <c r="B454" s="2">
        <v>21</v>
      </c>
      <c r="C454" s="10">
        <v>20</v>
      </c>
      <c r="D454" s="10">
        <v>25</v>
      </c>
      <c r="E454" s="10"/>
      <c r="F454" s="10"/>
      <c r="G454" s="10"/>
      <c r="H454" s="10"/>
      <c r="I454" s="10"/>
      <c r="J454" s="2">
        <v>32</v>
      </c>
      <c r="K454" s="10">
        <v>52</v>
      </c>
      <c r="L454" s="10">
        <v>51</v>
      </c>
      <c r="M454" s="10"/>
      <c r="N454" s="93"/>
      <c r="O454" s="12"/>
      <c r="P454" s="35">
        <v>101</v>
      </c>
      <c r="Q454" s="7"/>
      <c r="R454" s="2"/>
      <c r="S454" s="10"/>
      <c r="T454" s="13"/>
      <c r="U454" s="35">
        <f t="array" ref="U454">IF(AND(A454&lt;&gt;"",OR(ISNUMBER(B454:I454))),SUM(B454:I454),"")</f>
        <v>66</v>
      </c>
      <c r="V454" s="10">
        <f t="array" ref="V454">IF(AND(A454&lt;&gt;"",OR(ISNUMBER(J454:O454))),SUM(J454:O454),"")</f>
        <v>135</v>
      </c>
      <c r="W454" s="10">
        <f t="array" ref="W454">IF(AND(A454&lt;&gt;"",OR(ISNUMBER(P454),ISNUMBER(Q454))),SUM(MAX(P454:Q454),Q454),"")</f>
        <v>101</v>
      </c>
      <c r="X454" s="10" t="str">
        <f t="array" ref="X454">IF(AND(A454&lt;&gt;"",OR(ISNUMBER(S454),ISNUMBER(T454))),SUM(S454,T454),"")</f>
        <v/>
      </c>
      <c r="Y454" s="13">
        <v>1</v>
      </c>
      <c r="Z454" s="13">
        <f>IF(A454&lt;&gt;"",SUM(U454:Y454),"")</f>
        <v>303</v>
      </c>
      <c r="AA454" s="27">
        <f>IF(A454&lt;&gt;"",(Z454+Normalize_To_Add)/(Point_Total_So_Far)*100,"")</f>
        <v>99.344262295081961</v>
      </c>
      <c r="AB454" s="10">
        <f>IF(A454&lt;&gt;"",RANK(AA454,All_Student_XC),"")</f>
        <v>145</v>
      </c>
      <c r="AC454" s="32" t="str">
        <f>IF(A454&lt;&gt;"",CHOOSE(10-MIN(9,TRUNC((AA454+0.5)/10)),"A","B","C","D","F","F","F","F","F","F"),"")</f>
        <v>A</v>
      </c>
      <c r="AD454" s="32" t="str">
        <f>IF(A454&lt;&gt;"",IF(OR(AA454+0.5&gt;=93,AA454+0.5&lt;60),"",IF(MOD(AA454+0.5,10)&gt;=7,"+",IF(MOD(AA454+0.5,10)&lt;3,"-",""))),"")</f>
        <v/>
      </c>
      <c r="AE454" s="32">
        <f>IF(A454&lt;&gt;"",SUM(W454:X454,$W$8:$X$8)/SUM($W$2:$X$2)*100,"")</f>
        <v>101</v>
      </c>
      <c r="AF454" s="32" t="str">
        <f>IF(A454&lt;&gt;"",CHOOSE(10-MIN(9,TRUNC((AE454+0.5)/10)),"A","B","C","D","F","F","F","F","F","F"),"")</f>
        <v>A</v>
      </c>
      <c r="AG454" s="32" t="str">
        <f>IF(A454&lt;&gt;"",IF(OR(AE454+0.5&gt;=93,AE454+0.5&lt;60),"",IF(MOD(AE454+0.5,10)&gt;=7,"+",IF(MOD(AE454+0.5,10)&lt;3,"-",""))),"")</f>
        <v/>
      </c>
      <c r="AH454" s="36">
        <f>IF(A454&lt;&gt;"",MIN(MAX(AA454,AE454),AA454+$AH$8,AE454+$AH$8),"")</f>
        <v>101</v>
      </c>
      <c r="AI454" s="32" t="str">
        <f>IF(A454&lt;&gt;"",CHOOSE(10-MIN(9,TRUNC((AH454+0.5)/10)),"A","B","C","D","F","F","F","F","F","F"),"")</f>
        <v>A</v>
      </c>
      <c r="AJ454" s="32" t="str">
        <f>IF(A454&lt;&gt;"",IF(OR(AH454+0.5&gt;=93,AH454+0.5&lt;60),"",IF(MOD(AH454+0.5,10)&gt;=7,"+",IF(MOD(AH454+0.5,10)&lt;3,"-",""))),"")</f>
        <v/>
      </c>
      <c r="AK454" s="32" t="b">
        <f>IF(A454&lt;&gt;"",OR(AI454&lt;&gt;AC454,AJ454&lt;&gt;AD454),"")</f>
        <v>0</v>
      </c>
      <c r="AL454" s="84">
        <f>IF(AND(A454&lt;&gt;"",U454&lt;&gt;""),SUM(U454,$AL$8)/$AL$2*100,"")</f>
        <v>88</v>
      </c>
      <c r="AM454" s="24">
        <f>IF(AND(A454&lt;&gt;"",V454&lt;&gt;""),SUM(V454,$AM$8)/$AM$2*100,"")</f>
        <v>103.84615384615385</v>
      </c>
      <c r="AN454" s="24">
        <f>IF(AND(A454&lt;&gt;"",ISNUMBER(P454),P454&gt;=0),SUM(P454,$AN$8)/$AN$2*100,"")</f>
        <v>101</v>
      </c>
      <c r="AO454" s="24" t="str">
        <f>IF(AND(A454&lt;&gt;"",ISNUMBER(Q454),Q454&gt;=0),SUM(Q454,$AO$8)/$AO$2*100,"")</f>
        <v/>
      </c>
      <c r="AP454" s="24" t="str">
        <f>IF(AND(A454&lt;&gt;"",R454&lt;&gt;""),SUM(R454,$AP$8)/$AP$2*100,"")</f>
        <v/>
      </c>
      <c r="AQ454" s="24">
        <f>IF(AND(A454&lt;&gt;"",ISNUMBER(W454),W454&gt;=0),SUM(W454,$AQ$8)/$AQ$2*100,"")</f>
        <v>101</v>
      </c>
      <c r="AR454" s="24" t="str">
        <f>IF(AND(A454&lt;&gt;"",T454&gt;0,ISNUMBER(T454)),SUM(T454,$AR$8)/$AR$2*100,"")</f>
        <v/>
      </c>
      <c r="AS454" s="24" t="str">
        <f>IF(AND(A454&lt;&gt;"",X454&lt;&gt;""),SUM(X454,$AS$8)/$AS$2*100,"")</f>
        <v/>
      </c>
      <c r="AT454" s="89">
        <f>IF(AND(A454&lt;&gt;"",OR(ISNUMBER(W454),ISNUMBER(X454))),SUM(W454:X454,$AT$8)/$AT$2*100,"")</f>
        <v>101</v>
      </c>
      <c r="AU454" s="24">
        <f>AA454</f>
        <v>99.344262295081961</v>
      </c>
      <c r="AV454" s="24"/>
      <c r="AW454" s="27">
        <f>IF(A454&lt;&gt;"",AE454-AA454,"")</f>
        <v>1.6557377049180388</v>
      </c>
      <c r="AY454" s="27" t="b">
        <f>S454&gt;R454</f>
        <v>0</v>
      </c>
      <c r="BA454" s="27" t="e">
        <f>AND(AA454&gt;$BA$3,(W454+$W$8)/$W$2&lt;$BB$3,(X454+$X$8)/$X$2&lt;$BB$3)</f>
        <v>#VALUE!</v>
      </c>
      <c r="BB454" s="27" t="e">
        <f>AND(AA454&lt;$BA$3,AND(W454/$W$2&gt;$BB$3,X454/$X$2&gt;$BB$3))</f>
        <v>#VALUE!</v>
      </c>
      <c r="BC454" s="27" t="e">
        <f>AND(AA454&lt;$BA$3,OR(W454/$W$2&gt;$BB$3,X454/$X$2&gt;$BB$3))</f>
        <v>#VALUE!</v>
      </c>
      <c r="BE454" s="32" t="s">
        <v>84</v>
      </c>
    </row>
    <row r="455" spans="1:57" s="27" customFormat="1" ht="12.75" customHeight="1" x14ac:dyDescent="0.2">
      <c r="A455" s="10">
        <v>879188</v>
      </c>
      <c r="B455" s="2">
        <v>23</v>
      </c>
      <c r="C455" s="10">
        <v>25</v>
      </c>
      <c r="D455" s="10">
        <v>25</v>
      </c>
      <c r="E455" s="10"/>
      <c r="F455" s="10"/>
      <c r="G455" s="3"/>
      <c r="H455" s="10"/>
      <c r="I455" s="10"/>
      <c r="J455" s="2">
        <v>32</v>
      </c>
      <c r="K455" s="10">
        <v>44</v>
      </c>
      <c r="L455" s="10">
        <v>52</v>
      </c>
      <c r="M455" s="10"/>
      <c r="N455" s="10"/>
      <c r="O455" s="12"/>
      <c r="P455" s="10">
        <v>101</v>
      </c>
      <c r="Q455" s="41"/>
      <c r="R455" s="2"/>
      <c r="S455" s="10"/>
      <c r="T455" s="13"/>
      <c r="U455" s="7">
        <f t="array" ref="U455">IF(AND(A455&lt;&gt;"",OR(ISNUMBER(B455:I455))),SUM(B455:I455),"")</f>
        <v>73</v>
      </c>
      <c r="V455" s="10">
        <f t="array" ref="V455">IF(AND(A455&lt;&gt;"",OR(ISNUMBER(J455:O455))),SUM(J455:O455),"")</f>
        <v>128</v>
      </c>
      <c r="W455" s="10">
        <f t="array" ref="W455">IF(AND(A455&lt;&gt;"",OR(ISNUMBER(P455),ISNUMBER(Q455))),SUM(MAX(P455:Q455),Q455),"")</f>
        <v>101</v>
      </c>
      <c r="X455" s="10" t="str">
        <f t="array" ref="X455">IF(AND(A455&lt;&gt;"",OR(ISNUMBER(S455),ISNUMBER(T455))),SUM(S455,T455),"")</f>
        <v/>
      </c>
      <c r="Y455" s="13">
        <v>1</v>
      </c>
      <c r="Z455" s="13">
        <f>IF(A455&lt;&gt;"",SUM(U455:Y455),"")</f>
        <v>303</v>
      </c>
      <c r="AA455" s="27">
        <f>IF(A455&lt;&gt;"",(Z455+Normalize_To_Add)/(Point_Total_So_Far)*100,"")</f>
        <v>99.344262295081961</v>
      </c>
      <c r="AB455" s="10">
        <f>IF(A455&lt;&gt;"",RANK(AA455,All_Student_XC),"")</f>
        <v>145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>
        <f>IF(A455&lt;&gt;"",SUM(W455:X455,$W$8:$X$8)/SUM($W$2:$X$2)*100,"")</f>
        <v>101</v>
      </c>
      <c r="AF455" s="32" t="str">
        <f>IF(A455&lt;&gt;"",CHOOSE(10-MIN(9,TRUNC((AE455+0.5)/10)),"A","B","C","D","F","F","F","F","F","F"),"")</f>
        <v>A</v>
      </c>
      <c r="AG455" s="32" t="str">
        <f>IF(A455&lt;&gt;"",IF(OR(AE455+0.5&gt;=93,AE455+0.5&lt;60),"",IF(MOD(AE455+0.5,10)&gt;=7,"+",IF(MOD(AE455+0.5,10)&lt;3,"-",""))),"")</f>
        <v/>
      </c>
      <c r="AH455" s="36">
        <f>IF(A455&lt;&gt;"",MIN(MAX(AA455,AE455),AA455+$AH$8,AE455+$AH$8),"")</f>
        <v>101</v>
      </c>
      <c r="AI455" s="32" t="str">
        <f>IF(A455&lt;&gt;"",CHOOSE(10-MIN(9,TRUNC((AH455+0.5)/10)),"A","B","C","D","F","F","F","F","F","F"),"")</f>
        <v>A</v>
      </c>
      <c r="AJ455" s="32" t="str">
        <f>IF(A455&lt;&gt;"",IF(OR(AH455+0.5&gt;=93,AH455+0.5&lt;60),"",IF(MOD(AH455+0.5,10)&gt;=7,"+",IF(MOD(AH455+0.5,10)&lt;3,"-",""))),"")</f>
        <v/>
      </c>
      <c r="AK455" s="32" t="b">
        <f>IF(A455&lt;&gt;"",OR(AI455&lt;&gt;AC455,AJ455&lt;&gt;AD455),"")</f>
        <v>0</v>
      </c>
      <c r="AL455" s="84">
        <f>IF(AND(A455&lt;&gt;"",U455&lt;&gt;""),SUM(U455,$AL$8)/$AL$2*100,"")</f>
        <v>97.333333333333343</v>
      </c>
      <c r="AM455" s="24">
        <f>IF(AND(A455&lt;&gt;"",V455&lt;&gt;""),SUM(V455,$AM$8)/$AM$2*100,"")</f>
        <v>98.461538461538467</v>
      </c>
      <c r="AN455" s="24">
        <f>IF(AND(A455&lt;&gt;"",ISNUMBER(P455),P455&gt;=0),SUM(P455,$AN$8)/$AN$2*100,"")</f>
        <v>101</v>
      </c>
      <c r="AO455" s="24" t="str">
        <f>IF(AND(A455&lt;&gt;"",ISNUMBER(Q455),Q455&gt;=0),SUM(Q455,$AO$8)/$AO$2*100,"")</f>
        <v/>
      </c>
      <c r="AP455" s="24" t="str">
        <f>IF(AND(A455&lt;&gt;"",R455&lt;&gt;""),SUM(R455,$AP$8)/$AP$2*100,"")</f>
        <v/>
      </c>
      <c r="AQ455" s="24">
        <f>IF(AND(A455&lt;&gt;"",ISNUMBER(W455),W455&gt;=0),SUM(W455,$AQ$8)/$AQ$2*100,"")</f>
        <v>101</v>
      </c>
      <c r="AR455" s="24" t="str">
        <f>IF(AND(A455&lt;&gt;"",T455&gt;0,ISNUMBER(T455)),SUM(T455,$AR$8)/$AR$2*100,"")</f>
        <v/>
      </c>
      <c r="AS455" s="24" t="str">
        <f>IF(AND(A455&lt;&gt;"",X455&lt;&gt;""),SUM(X455,$AS$8)/$AS$2*100,"")</f>
        <v/>
      </c>
      <c r="AT455" s="89">
        <f>IF(AND(A455&lt;&gt;"",OR(ISNUMBER(W455),ISNUMBER(X455))),SUM(W455:X455,$AT$8)/$AT$2*100,"")</f>
        <v>101</v>
      </c>
      <c r="AU455" s="24">
        <f>AA455</f>
        <v>99.344262295081961</v>
      </c>
      <c r="AV455" s="24"/>
      <c r="AW455" s="27">
        <f>IF(A455&lt;&gt;"",AE455-AA455,"")</f>
        <v>1.6557377049180388</v>
      </c>
      <c r="AY455" s="27" t="b">
        <f>S455&gt;R455</f>
        <v>0</v>
      </c>
      <c r="BA455" s="27" t="e">
        <f>AND(AA455&gt;$BA$3,(W455+$W$8)/$W$2&lt;$BB$3,(X455+$X$8)/$X$2&lt;$BB$3)</f>
        <v>#VALUE!</v>
      </c>
      <c r="BB455" s="27" t="e">
        <f>AND(AA455&lt;$BA$3,AND(W455/$W$2&gt;$BB$3,X455/$X$2&gt;$BB$3))</f>
        <v>#VALUE!</v>
      </c>
      <c r="BC455" s="27" t="e">
        <f>AND(AA455&lt;$BA$3,OR(W455/$W$2&gt;$BB$3,X455/$X$2&gt;$BB$3))</f>
        <v>#VALUE!</v>
      </c>
      <c r="BE455" s="32" t="s">
        <v>84</v>
      </c>
    </row>
    <row r="456" spans="1:57" s="27" customFormat="1" ht="12.75" customHeight="1" x14ac:dyDescent="0.2">
      <c r="A456" s="10">
        <v>879726</v>
      </c>
      <c r="B456" s="2">
        <v>23</v>
      </c>
      <c r="C456" s="10">
        <v>22</v>
      </c>
      <c r="D456" s="10">
        <v>25</v>
      </c>
      <c r="E456" s="10"/>
      <c r="F456" s="10"/>
      <c r="G456" s="3"/>
      <c r="H456" s="10"/>
      <c r="I456" s="10"/>
      <c r="J456" s="2">
        <v>30</v>
      </c>
      <c r="K456" s="10">
        <v>51</v>
      </c>
      <c r="L456" s="10">
        <v>51</v>
      </c>
      <c r="M456" s="10"/>
      <c r="N456" s="10"/>
      <c r="O456" s="12"/>
      <c r="P456" s="7">
        <v>101</v>
      </c>
      <c r="Q456" s="7"/>
      <c r="R456" s="2"/>
      <c r="S456" s="10"/>
      <c r="T456" s="13"/>
      <c r="U456" s="35">
        <f t="array" ref="U456">IF(AND(A456&lt;&gt;"",OR(ISNUMBER(B456:I456))),SUM(B456:I456),"")</f>
        <v>70</v>
      </c>
      <c r="V456" s="10">
        <f t="array" ref="V456">IF(AND(A456&lt;&gt;"",OR(ISNUMBER(J456:O456))),SUM(J456:O456),"")</f>
        <v>132</v>
      </c>
      <c r="W456" s="10">
        <f t="array" ref="W456">IF(AND(A456&lt;&gt;"",OR(ISNUMBER(P456),ISNUMBER(Q456))),SUM(MAX(P456:Q456),Q456),"")</f>
        <v>101</v>
      </c>
      <c r="X456" s="10" t="str">
        <f t="array" ref="X456">IF(AND(A456&lt;&gt;"",OR(ISNUMBER(S456),ISNUMBER(T456))),SUM(S456,T456),"")</f>
        <v/>
      </c>
      <c r="Y456" s="13">
        <v>1</v>
      </c>
      <c r="Z456" s="13">
        <f>IF(A456&lt;&gt;"",SUM(U456:Y456),"")</f>
        <v>304</v>
      </c>
      <c r="AA456" s="27">
        <f>IF(A456&lt;&gt;"",(Z456+Normalize_To_Add)/(Point_Total_So_Far)*100,"")</f>
        <v>99.672131147540995</v>
      </c>
      <c r="AB456" s="10">
        <f>IF(A456&lt;&gt;"",RANK(AA456,All_Student_XC),"")</f>
        <v>124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>
        <f>IF(A456&lt;&gt;"",SUM(W456:X456,$W$8:$X$8)/SUM($W$2:$X$2)*100,"")</f>
        <v>101</v>
      </c>
      <c r="AF456" s="32" t="str">
        <f>IF(A456&lt;&gt;"",CHOOSE(10-MIN(9,TRUNC((AE456+0.5)/10)),"A","B","C","D","F","F","F","F","F","F"),"")</f>
        <v>A</v>
      </c>
      <c r="AG456" s="32" t="str">
        <f>IF(A456&lt;&gt;"",IF(OR(AE456+0.5&gt;=93,AE456+0.5&lt;60),"",IF(MOD(AE456+0.5,10)&gt;=7,"+",IF(MOD(AE456+0.5,10)&lt;3,"-",""))),"")</f>
        <v/>
      </c>
      <c r="AH456" s="36">
        <f>IF(A456&lt;&gt;"",MIN(MAX(AA456,AE456),AA456+$AH$8,AE456+$AH$8),"")</f>
        <v>101</v>
      </c>
      <c r="AI456" s="32" t="str">
        <f>IF(A456&lt;&gt;"",CHOOSE(10-MIN(9,TRUNC((AH456+0.5)/10)),"A","B","C","D","F","F","F","F","F","F"),"")</f>
        <v>A</v>
      </c>
      <c r="AJ456" s="32" t="str">
        <f>IF(A456&lt;&gt;"",IF(OR(AH456+0.5&gt;=93,AH456+0.5&lt;60),"",IF(MOD(AH456+0.5,10)&gt;=7,"+",IF(MOD(AH456+0.5,10)&lt;3,"-",""))),"")</f>
        <v/>
      </c>
      <c r="AK456" s="32" t="b">
        <f>IF(A456&lt;&gt;"",OR(AI456&lt;&gt;AC456,AJ456&lt;&gt;AD456),"")</f>
        <v>0</v>
      </c>
      <c r="AL456" s="84">
        <f>IF(AND(A456&lt;&gt;"",U456&lt;&gt;""),SUM(U456,$AL$8)/$AL$2*100,"")</f>
        <v>93.333333333333329</v>
      </c>
      <c r="AM456" s="24">
        <f>IF(AND(A456&lt;&gt;"",V456&lt;&gt;""),SUM(V456,$AM$8)/$AM$2*100,"")</f>
        <v>101.53846153846153</v>
      </c>
      <c r="AN456" s="24">
        <f>IF(AND(A456&lt;&gt;"",ISNUMBER(P456),P456&gt;=0),SUM(P456,$AN$8)/$AN$2*100,"")</f>
        <v>101</v>
      </c>
      <c r="AO456" s="24" t="str">
        <f>IF(AND(A456&lt;&gt;"",ISNUMBER(Q456),Q456&gt;=0),SUM(Q456,$AO$8)/$AO$2*100,"")</f>
        <v/>
      </c>
      <c r="AP456" s="24" t="str">
        <f>IF(AND(A456&lt;&gt;"",R456&lt;&gt;""),SUM(R456,$AP$8)/$AP$2*100,"")</f>
        <v/>
      </c>
      <c r="AQ456" s="24">
        <f>IF(AND(A456&lt;&gt;"",ISNUMBER(W456),W456&gt;=0),SUM(W456,$AQ$8)/$AQ$2*100,"")</f>
        <v>101</v>
      </c>
      <c r="AR456" s="24" t="str">
        <f>IF(AND(A456&lt;&gt;"",T456&gt;0,ISNUMBER(T456)),SUM(T456,$AR$8)/$AR$2*100,"")</f>
        <v/>
      </c>
      <c r="AS456" s="24" t="str">
        <f>IF(AND(A456&lt;&gt;"",X456&lt;&gt;""),SUM(X456,$AS$8)/$AS$2*100,"")</f>
        <v/>
      </c>
      <c r="AT456" s="89">
        <f>IF(AND(A456&lt;&gt;"",OR(ISNUMBER(W456),ISNUMBER(X456))),SUM(W456:X456,$AT$8)/$AT$2*100,"")</f>
        <v>101</v>
      </c>
      <c r="AU456" s="24">
        <f>AA456</f>
        <v>99.672131147540995</v>
      </c>
      <c r="AV456" s="24"/>
      <c r="AW456" s="27">
        <f>IF(A456&lt;&gt;"",AE456-AA456,"")</f>
        <v>1.3278688524590052</v>
      </c>
      <c r="AY456" s="27" t="b">
        <f>S456&gt;R456</f>
        <v>0</v>
      </c>
      <c r="BA456" s="27" t="e">
        <f>AND(AA456&gt;$BA$3,(W456+$W$8)/$W$2&lt;$BB$3,(X456+$X$8)/$X$2&lt;$BB$3)</f>
        <v>#VALUE!</v>
      </c>
      <c r="BB456" s="27" t="e">
        <f>AND(AA456&lt;$BA$3,AND(W456/$W$2&gt;$BB$3,X456/$X$2&gt;$BB$3))</f>
        <v>#VALUE!</v>
      </c>
      <c r="BC456" s="27" t="e">
        <f>AND(AA456&lt;$BA$3,OR(W456/$W$2&gt;$BB$3,X456/$X$2&gt;$BB$3))</f>
        <v>#VALUE!</v>
      </c>
      <c r="BE456" s="32" t="s">
        <v>84</v>
      </c>
    </row>
    <row r="457" spans="1:57" s="27" customFormat="1" ht="12.75" customHeight="1" x14ac:dyDescent="0.2">
      <c r="A457" s="10">
        <v>881126</v>
      </c>
      <c r="B457" s="2">
        <v>25</v>
      </c>
      <c r="C457" s="10">
        <v>23</v>
      </c>
      <c r="D457" s="10">
        <v>25</v>
      </c>
      <c r="E457" s="10"/>
      <c r="F457" s="10"/>
      <c r="G457" s="10"/>
      <c r="H457" s="10"/>
      <c r="I457" s="10"/>
      <c r="J457" s="2">
        <v>32</v>
      </c>
      <c r="K457" s="10">
        <v>52</v>
      </c>
      <c r="L457" s="10">
        <v>51</v>
      </c>
      <c r="M457" s="10"/>
      <c r="N457" s="93"/>
      <c r="O457" s="13"/>
      <c r="P457" s="56">
        <v>99</v>
      </c>
      <c r="Q457" s="10"/>
      <c r="R457" s="2"/>
      <c r="S457" s="10"/>
      <c r="T457" s="13"/>
      <c r="U457" s="7">
        <f t="array" ref="U457">IF(AND(A457&lt;&gt;"",OR(ISNUMBER(B457:I457))),SUM(B457:I457),"")</f>
        <v>73</v>
      </c>
      <c r="V457" s="10">
        <f t="array" ref="V457">IF(AND(A457&lt;&gt;"",OR(ISNUMBER(J457:O457))),SUM(J457:O457),"")</f>
        <v>135</v>
      </c>
      <c r="W457" s="10">
        <f t="array" ref="W457">IF(AND(A457&lt;&gt;"",OR(ISNUMBER(P457),ISNUMBER(Q457))),SUM(MAX(P457:Q457),Q457),"")</f>
        <v>99</v>
      </c>
      <c r="X457" s="10" t="str">
        <f t="array" ref="X457">IF(AND(A457&lt;&gt;"",OR(ISNUMBER(S457),ISNUMBER(T457))),SUM(S457,T457),"")</f>
        <v/>
      </c>
      <c r="Y457" s="13">
        <v>1</v>
      </c>
      <c r="Z457" s="13">
        <f>IF(A457&lt;&gt;"",SUM(U457:Y457),"")</f>
        <v>308</v>
      </c>
      <c r="AA457" s="27">
        <f>IF(A457&lt;&gt;"",(Z457+Normalize_To_Add)/(Point_Total_So_Far)*100,"")</f>
        <v>100.98360655737706</v>
      </c>
      <c r="AB457" s="10">
        <f>IF(A457&lt;&gt;"",RANK(AA457,All_Student_XC),"")</f>
        <v>57</v>
      </c>
      <c r="AC457" s="32" t="str">
        <f>IF(A457&lt;&gt;"",CHOOSE(10-MIN(9,TRUNC((AA457+0.5)/10)),"A","B","C","D","F","F","F","F","F","F"),"")</f>
        <v>A</v>
      </c>
      <c r="AD457" s="31" t="str">
        <f>IF(A457&lt;&gt;"",IF(OR(AA457+0.5&gt;=93,AA457+0.5&lt;60),"",IF(MOD(AA457+0.5,10)&gt;=7,"+",IF(MOD(AA457+0.5,10)&lt;3,"-",""))),"")</f>
        <v/>
      </c>
      <c r="AE457" s="32">
        <f>IF(A457&lt;&gt;"",SUM(W457:X457,$W$8:$X$8)/SUM($W$2:$X$2)*100,"")</f>
        <v>99</v>
      </c>
      <c r="AF457" s="32" t="str">
        <f>IF(A457&lt;&gt;"",CHOOSE(10-MIN(9,TRUNC((AE457+0.5)/10)),"A","B","C","D","F","F","F","F","F","F"),"")</f>
        <v>A</v>
      </c>
      <c r="AG457" s="32" t="str">
        <f>IF(A457&lt;&gt;"",IF(OR(AE457+0.5&gt;=93,AE457+0.5&lt;60),"",IF(MOD(AE457+0.5,10)&gt;=7,"+",IF(MOD(AE457+0.5,10)&lt;3,"-",""))),"")</f>
        <v/>
      </c>
      <c r="AH457" s="36">
        <f>IF(A457&lt;&gt;"",MIN(MAX(AA457,AE457),AA457+$AH$8,AE457+$AH$8),"")</f>
        <v>100.98360655737706</v>
      </c>
      <c r="AI457" s="32" t="str">
        <f>IF(A457&lt;&gt;"",CHOOSE(10-MIN(9,TRUNC((AH457+0.5)/10)),"A","B","C","D","F","F","F","F","F","F"),"")</f>
        <v>A</v>
      </c>
      <c r="AJ457" s="32" t="str">
        <f>IF(A457&lt;&gt;"",IF(OR(AH457+0.5&gt;=93,AH457+0.5&lt;60),"",IF(MOD(AH457+0.5,10)&gt;=7,"+",IF(MOD(AH457+0.5,10)&lt;3,"-",""))),"")</f>
        <v/>
      </c>
      <c r="AK457" s="71" t="b">
        <f>IF(A457&lt;&gt;"",OR(AI457&lt;&gt;AC457,AJ457&lt;&gt;AD457),"")</f>
        <v>0</v>
      </c>
      <c r="AL457" s="86">
        <f>IF(AND(A457&lt;&gt;"",U457&lt;&gt;""),SUM(U457,$AL$8)/$AL$2*100,"")</f>
        <v>97.333333333333343</v>
      </c>
      <c r="AM457" s="71">
        <f>IF(AND(A457&lt;&gt;"",V457&lt;&gt;""),SUM(V457,$AM$8)/$AM$2*100,"")</f>
        <v>103.84615384615385</v>
      </c>
      <c r="AN457" s="71">
        <f>IF(AND(A457&lt;&gt;"",ISNUMBER(P457),P457&gt;=0),SUM(P457,$AN$8)/$AN$2*100,"")</f>
        <v>99</v>
      </c>
      <c r="AO457" s="71" t="str">
        <f>IF(AND(A457&lt;&gt;"",ISNUMBER(Q457),Q457&gt;=0),SUM(Q457,$AO$8)/$AO$2*100,"")</f>
        <v/>
      </c>
      <c r="AP457" s="24" t="str">
        <f>IF(AND(A457&lt;&gt;"",R457&lt;&gt;""),SUM(R457,$AP$8)/$AP$2*100,"")</f>
        <v/>
      </c>
      <c r="AQ457" s="24">
        <f>IF(AND(A457&lt;&gt;"",ISNUMBER(W457),W457&gt;=0),SUM(W457,$AQ$8)/$AQ$2*100,"")</f>
        <v>99</v>
      </c>
      <c r="AR457" s="24" t="str">
        <f>IF(AND(A457&lt;&gt;"",T457&gt;0,ISNUMBER(T457)),SUM(T457,$AR$8)/$AR$2*100,"")</f>
        <v/>
      </c>
      <c r="AS457" s="24" t="str">
        <f>IF(AND(A457&lt;&gt;"",X457&lt;&gt;""),SUM(X457,$AS$8)/$AS$2*100,"")</f>
        <v/>
      </c>
      <c r="AT457" s="89">
        <f>IF(AND(A457&lt;&gt;"",OR(ISNUMBER(W457),ISNUMBER(X457))),SUM(W457:X457,$AT$8)/$AT$2*100,"")</f>
        <v>99</v>
      </c>
      <c r="AU457" s="24">
        <f>AA457</f>
        <v>100.98360655737706</v>
      </c>
      <c r="AV457" s="71"/>
      <c r="AW457" s="27">
        <f>IF(A457&lt;&gt;"",AE457-AA457,"")</f>
        <v>-1.9836065573770583</v>
      </c>
      <c r="AY457" s="27" t="b">
        <f>S457&gt;R457</f>
        <v>0</v>
      </c>
      <c r="BA457" s="27" t="e">
        <f>AND(AA457&gt;$BA$3,(W457+$W$8)/$W$2&lt;$BB$3,(X457+$X$8)/$X$2&lt;$BB$3)</f>
        <v>#VALUE!</v>
      </c>
      <c r="BB457" s="27" t="e">
        <f>AND(AA457&lt;$BA$3,AND(W457/$W$2&gt;$BB$3,X457/$X$2&gt;$BB$3))</f>
        <v>#VALUE!</v>
      </c>
      <c r="BC457" s="27" t="e">
        <f>AND(AA457&lt;$BA$3,OR(W457/$W$2&gt;$BB$3,X457/$X$2&gt;$BB$3))</f>
        <v>#VALUE!</v>
      </c>
      <c r="BE457" s="32">
        <v>32</v>
      </c>
    </row>
    <row r="458" spans="1:57" s="27" customFormat="1" ht="12.75" customHeight="1" x14ac:dyDescent="0.2">
      <c r="A458" s="56">
        <v>881619</v>
      </c>
      <c r="B458" s="2">
        <v>24</v>
      </c>
      <c r="C458" s="10">
        <v>24</v>
      </c>
      <c r="D458" s="10">
        <v>25</v>
      </c>
      <c r="E458" s="10"/>
      <c r="F458" s="10"/>
      <c r="G458" s="3"/>
      <c r="H458" s="10"/>
      <c r="I458" s="10"/>
      <c r="J458" s="2">
        <v>32</v>
      </c>
      <c r="K458" s="10">
        <v>52</v>
      </c>
      <c r="L458" s="10">
        <v>52</v>
      </c>
      <c r="M458" s="10"/>
      <c r="N458" s="93"/>
      <c r="O458" s="12"/>
      <c r="P458" s="10">
        <v>101</v>
      </c>
      <c r="Q458" s="41"/>
      <c r="R458" s="2"/>
      <c r="S458" s="10"/>
      <c r="T458" s="13"/>
      <c r="U458" s="7">
        <f t="array" ref="U458">IF(AND(A458&lt;&gt;"",OR(ISNUMBER(B458:I458))),SUM(B458:I458),"")</f>
        <v>73</v>
      </c>
      <c r="V458" s="10">
        <f t="array" ref="V458">IF(AND(A458&lt;&gt;"",OR(ISNUMBER(J458:O458))),SUM(J458:O458),"")</f>
        <v>136</v>
      </c>
      <c r="W458" s="10">
        <f t="array" ref="W458">IF(AND(A458&lt;&gt;"",OR(ISNUMBER(P458),ISNUMBER(Q458))),SUM(MAX(P458:Q458),Q458),"")</f>
        <v>101</v>
      </c>
      <c r="X458" s="10" t="str">
        <f t="array" ref="X458">IF(AND(A458&lt;&gt;"",OR(ISNUMBER(S458),ISNUMBER(T458))),SUM(S458,T458),"")</f>
        <v/>
      </c>
      <c r="Y458" s="13">
        <v>1</v>
      </c>
      <c r="Z458" s="13">
        <f>IF(A458&lt;&gt;"",SUM(U458:Y458),"")</f>
        <v>311</v>
      </c>
      <c r="AA458" s="27">
        <f>IF(A458&lt;&gt;"",(Z458+Normalize_To_Add)/(Point_Total_So_Far)*100,"")</f>
        <v>101.9672131147541</v>
      </c>
      <c r="AB458" s="10">
        <f>IF(A458&lt;&gt;"",RANK(AA458,All_Student_XC),"")</f>
        <v>7</v>
      </c>
      <c r="AC458" s="32" t="str">
        <f>IF(A458&lt;&gt;"",CHOOSE(10-MIN(9,TRUNC((AA458+0.5)/10)),"A","B","C","D","F","F","F","F","F","F"),"")</f>
        <v>A</v>
      </c>
      <c r="AD458" s="32" t="str">
        <f>IF(A458&lt;&gt;"",IF(OR(AA458+0.5&gt;=93,AA458+0.5&lt;60),"",IF(MOD(AA458+0.5,10)&gt;=7,"+",IF(MOD(AA458+0.5,10)&lt;3,"-",""))),"")</f>
        <v/>
      </c>
      <c r="AE458" s="32">
        <f>IF(A458&lt;&gt;"",SUM(W458:X458,$W$8:$X$8)/SUM($W$2:$X$2)*100,"")</f>
        <v>101</v>
      </c>
      <c r="AF458" s="32" t="str">
        <f>IF(A458&lt;&gt;"",CHOOSE(10-MIN(9,TRUNC((AE458+0.5)/10)),"A","B","C","D","F","F","F","F","F","F"),"")</f>
        <v>A</v>
      </c>
      <c r="AG458" s="32" t="str">
        <f>IF(A458&lt;&gt;"",IF(OR(AE458+0.5&gt;=93,AE458+0.5&lt;60),"",IF(MOD(AE458+0.5,10)&gt;=7,"+",IF(MOD(AE458+0.5,10)&lt;3,"-",""))),"")</f>
        <v/>
      </c>
      <c r="AH458" s="36">
        <f>IF(A458&lt;&gt;"",MIN(MAX(AA458,AE458),AA458+$AH$8,AE458+$AH$8),"")</f>
        <v>101.9672131147541</v>
      </c>
      <c r="AI458" s="32" t="str">
        <f>IF(A458&lt;&gt;"",CHOOSE(10-MIN(9,TRUNC((AH458+0.5)/10)),"A","B","C","D","F","F","F","F","F","F"),"")</f>
        <v>A</v>
      </c>
      <c r="AJ458" s="32" t="str">
        <f>IF(A458&lt;&gt;"",IF(OR(AH458+0.5&gt;=93,AH458+0.5&lt;60),"",IF(MOD(AH458+0.5,10)&gt;=7,"+",IF(MOD(AH458+0.5,10)&lt;3,"-",""))),"")</f>
        <v/>
      </c>
      <c r="AK458" s="32" t="b">
        <f>IF(A458&lt;&gt;"",OR(AI458&lt;&gt;AC458,AJ458&lt;&gt;AD458),"")</f>
        <v>0</v>
      </c>
      <c r="AL458" s="84">
        <f>IF(AND(A458&lt;&gt;"",U458&lt;&gt;""),SUM(U458,$AL$8)/$AL$2*100,"")</f>
        <v>97.333333333333343</v>
      </c>
      <c r="AM458" s="24">
        <f>IF(AND(A458&lt;&gt;"",V458&lt;&gt;""),SUM(V458,$AM$8)/$AM$2*100,"")</f>
        <v>104.61538461538463</v>
      </c>
      <c r="AN458" s="24">
        <f>IF(AND(A458&lt;&gt;"",ISNUMBER(P458),P458&gt;=0),SUM(P458,$AN$8)/$AN$2*100,"")</f>
        <v>101</v>
      </c>
      <c r="AO458" s="24" t="str">
        <f>IF(AND(A458&lt;&gt;"",ISNUMBER(Q458),Q458&gt;=0),SUM(Q458,$AO$8)/$AO$2*100,"")</f>
        <v/>
      </c>
      <c r="AP458" s="24" t="str">
        <f>IF(AND(A458&lt;&gt;"",R458&lt;&gt;""),SUM(R458,$AP$8)/$AP$2*100,"")</f>
        <v/>
      </c>
      <c r="AQ458" s="24">
        <f>IF(AND(A458&lt;&gt;"",ISNUMBER(W458),W458&gt;=0),SUM(W458,$AQ$8)/$AQ$2*100,"")</f>
        <v>101</v>
      </c>
      <c r="AR458" s="24" t="str">
        <f>IF(AND(A458&lt;&gt;"",T458&gt;0,ISNUMBER(T458)),SUM(T458,$AR$8)/$AR$2*100,"")</f>
        <v/>
      </c>
      <c r="AS458" s="24" t="str">
        <f>IF(AND(A458&lt;&gt;"",X458&lt;&gt;""),SUM(X458,$AS$8)/$AS$2*100,"")</f>
        <v/>
      </c>
      <c r="AT458" s="89">
        <f>IF(AND(A458&lt;&gt;"",OR(ISNUMBER(W458),ISNUMBER(X458))),SUM(W458:X458,$AT$8)/$AT$2*100,"")</f>
        <v>101</v>
      </c>
      <c r="AU458" s="24">
        <f>AA458</f>
        <v>101.9672131147541</v>
      </c>
      <c r="AV458" s="24"/>
      <c r="AW458" s="27">
        <f>IF(A458&lt;&gt;"",AE458-AA458,"")</f>
        <v>-0.96721311475410232</v>
      </c>
      <c r="AY458" s="27" t="b">
        <f>S458&gt;R458</f>
        <v>0</v>
      </c>
      <c r="BA458" s="27" t="e">
        <f>AND(AA458&gt;$BA$3,(W458+$W$8)/$W$2&lt;$BB$3,(X458+$X$8)/$X$2&lt;$BB$3)</f>
        <v>#VALUE!</v>
      </c>
      <c r="BB458" s="27" t="e">
        <f>AND(AA458&lt;$BA$3,AND(W458/$W$2&gt;$BB$3,X458/$X$2&gt;$BB$3))</f>
        <v>#VALUE!</v>
      </c>
      <c r="BC458" s="27" t="e">
        <f>AND(AA458&lt;$BA$3,OR(W458/$W$2&gt;$BB$3,X458/$X$2&gt;$BB$3))</f>
        <v>#VALUE!</v>
      </c>
      <c r="BE458" s="32" t="s">
        <v>84</v>
      </c>
    </row>
    <row r="459" spans="1:57" s="27" customFormat="1" ht="12.75" customHeight="1" x14ac:dyDescent="0.2">
      <c r="A459" s="10">
        <v>881829</v>
      </c>
      <c r="B459" s="2">
        <v>23</v>
      </c>
      <c r="C459" s="10">
        <v>23</v>
      </c>
      <c r="D459" s="10">
        <v>25</v>
      </c>
      <c r="E459" s="10"/>
      <c r="F459" s="10"/>
      <c r="G459" s="10"/>
      <c r="H459" s="10"/>
      <c r="I459" s="10"/>
      <c r="J459" s="2">
        <v>30</v>
      </c>
      <c r="K459" s="10">
        <v>52</v>
      </c>
      <c r="L459" s="10">
        <v>51</v>
      </c>
      <c r="M459" s="10"/>
      <c r="N459" s="93"/>
      <c r="O459" s="13"/>
      <c r="P459" s="10">
        <v>101</v>
      </c>
      <c r="Q459" s="10"/>
      <c r="R459" s="2"/>
      <c r="S459" s="10"/>
      <c r="T459" s="13"/>
      <c r="U459" s="7">
        <f t="array" ref="U459">IF(AND(A459&lt;&gt;"",OR(ISNUMBER(B459:I459))),SUM(B459:I459),"")</f>
        <v>71</v>
      </c>
      <c r="V459" s="10">
        <f t="array" ref="V459">IF(AND(A459&lt;&gt;"",OR(ISNUMBER(J459:O459))),SUM(J459:O459),"")</f>
        <v>133</v>
      </c>
      <c r="W459" s="10">
        <f t="array" ref="W459">IF(AND(A459&lt;&gt;"",OR(ISNUMBER(P459),ISNUMBER(Q459))),SUM(MAX(P459:Q459),Q459),"")</f>
        <v>101</v>
      </c>
      <c r="X459" s="10" t="str">
        <f t="array" ref="X459">IF(AND(A459&lt;&gt;"",OR(ISNUMBER(S459),ISNUMBER(T459))),SUM(S459,T459),"")</f>
        <v/>
      </c>
      <c r="Y459" s="13">
        <v>1</v>
      </c>
      <c r="Z459" s="13">
        <f>IF(A459&lt;&gt;"",SUM(U459:Y459),"")</f>
        <v>306</v>
      </c>
      <c r="AA459" s="27">
        <f>IF(A459&lt;&gt;"",(Z459+Normalize_To_Add)/(Point_Total_So_Far)*100,"")</f>
        <v>100.32786885245901</v>
      </c>
      <c r="AB459" s="10">
        <f>IF(A459&lt;&gt;"",RANK(AA459,All_Student_XC),"")</f>
        <v>99</v>
      </c>
      <c r="AC459" s="32" t="str">
        <f>IF(A459&lt;&gt;"",CHOOSE(10-MIN(9,TRUNC((AA459+0.5)/10)),"A","B","C","D","F","F","F","F","F","F"),"")</f>
        <v>A</v>
      </c>
      <c r="AD459" s="31" t="str">
        <f>IF(A459&lt;&gt;"",IF(OR(AA459+0.5&gt;=93,AA459+0.5&lt;60),"",IF(MOD(AA459+0.5,10)&gt;=7,"+",IF(MOD(AA459+0.5,10)&lt;3,"-",""))),"")</f>
        <v/>
      </c>
      <c r="AE459" s="32">
        <f>IF(A459&lt;&gt;"",SUM(W459:X459,$W$8:$X$8)/SUM($W$2:$X$2)*100,"")</f>
        <v>101</v>
      </c>
      <c r="AF459" s="32" t="str">
        <f>IF(A459&lt;&gt;"",CHOOSE(10-MIN(9,TRUNC((AE459+0.5)/10)),"A","B","C","D","F","F","F","F","F","F"),"")</f>
        <v>A</v>
      </c>
      <c r="AG459" s="32" t="str">
        <f>IF(A459&lt;&gt;"",IF(OR(AE459+0.5&gt;=93,AE459+0.5&lt;60),"",IF(MOD(AE459+0.5,10)&gt;=7,"+",IF(MOD(AE459+0.5,10)&lt;3,"-",""))),"")</f>
        <v/>
      </c>
      <c r="AH459" s="36">
        <f>IF(A459&lt;&gt;"",MIN(MAX(AA459,AE459),AA459+$AH$8,AE459+$AH$8),"")</f>
        <v>101</v>
      </c>
      <c r="AI459" s="32" t="str">
        <f>IF(A459&lt;&gt;"",CHOOSE(10-MIN(9,TRUNC((AH459+0.5)/10)),"A","B","C","D","F","F","F","F","F","F"),"")</f>
        <v>A</v>
      </c>
      <c r="AJ459" s="32" t="str">
        <f>IF(A459&lt;&gt;"",IF(OR(AH459+0.5&gt;=93,AH459+0.5&lt;60),"",IF(MOD(AH459+0.5,10)&gt;=7,"+",IF(MOD(AH459+0.5,10)&lt;3,"-",""))),"")</f>
        <v/>
      </c>
      <c r="AK459" s="71" t="b">
        <f>IF(A459&lt;&gt;"",OR(AI459&lt;&gt;AC459,AJ459&lt;&gt;AD459),"")</f>
        <v>0</v>
      </c>
      <c r="AL459" s="86">
        <f>IF(AND(A459&lt;&gt;"",U459&lt;&gt;""),SUM(U459,$AL$8)/$AL$2*100,"")</f>
        <v>94.666666666666671</v>
      </c>
      <c r="AM459" s="71">
        <f>IF(AND(A459&lt;&gt;"",V459&lt;&gt;""),SUM(V459,$AM$8)/$AM$2*100,"")</f>
        <v>102.30769230769229</v>
      </c>
      <c r="AN459" s="71">
        <f>IF(AND(A459&lt;&gt;"",ISNUMBER(P459),P459&gt;=0),SUM(P459,$AN$8)/$AN$2*100,"")</f>
        <v>101</v>
      </c>
      <c r="AO459" s="71" t="str">
        <f>IF(AND(A459&lt;&gt;"",ISNUMBER(Q459),Q459&gt;=0),SUM(Q459,$AO$8)/$AO$2*100,"")</f>
        <v/>
      </c>
      <c r="AP459" s="24" t="str">
        <f>IF(AND(A459&lt;&gt;"",R459&lt;&gt;""),SUM(R459,$AP$8)/$AP$2*100,"")</f>
        <v/>
      </c>
      <c r="AQ459" s="24">
        <f>IF(AND(A459&lt;&gt;"",ISNUMBER(W459),W459&gt;=0),SUM(W459,$AQ$8)/$AQ$2*100,"")</f>
        <v>101</v>
      </c>
      <c r="AR459" s="24" t="str">
        <f>IF(AND(A459&lt;&gt;"",T459&gt;0,ISNUMBER(T459)),SUM(T459,$AR$8)/$AR$2*100,"")</f>
        <v/>
      </c>
      <c r="AS459" s="24" t="str">
        <f>IF(AND(A459&lt;&gt;"",X459&lt;&gt;""),SUM(X459,$AS$8)/$AS$2*100,"")</f>
        <v/>
      </c>
      <c r="AT459" s="89">
        <f>IF(AND(A459&lt;&gt;"",OR(ISNUMBER(W459),ISNUMBER(X459))),SUM(W459:X459,$AT$8)/$AT$2*100,"")</f>
        <v>101</v>
      </c>
      <c r="AU459" s="24">
        <f>AA459</f>
        <v>100.32786885245901</v>
      </c>
      <c r="AV459" s="71"/>
      <c r="AW459" s="27">
        <f>IF(A459&lt;&gt;"",AE459-AA459,"")</f>
        <v>0.67213114754099479</v>
      </c>
      <c r="AY459" s="27" t="b">
        <f>S459&gt;R459</f>
        <v>0</v>
      </c>
      <c r="BA459" s="27" t="e">
        <f>AND(AA459&gt;$BA$3,(W459+$W$8)/$W$2&lt;$BB$3,(X459+$X$8)/$X$2&lt;$BB$3)</f>
        <v>#VALUE!</v>
      </c>
      <c r="BB459" s="27" t="e">
        <f>AND(AA459&lt;$BA$3,AND(W459/$W$2&gt;$BB$3,X459/$X$2&gt;$BB$3))</f>
        <v>#VALUE!</v>
      </c>
      <c r="BC459" s="27" t="e">
        <f>AND(AA459&lt;$BA$3,OR(W459/$W$2&gt;$BB$3,X459/$X$2&gt;$BB$3))</f>
        <v>#VALUE!</v>
      </c>
      <c r="BE459" s="32" t="s">
        <v>84</v>
      </c>
    </row>
    <row r="460" spans="1:57" s="27" customFormat="1" ht="12.75" customHeight="1" x14ac:dyDescent="0.2">
      <c r="A460" s="10">
        <v>883754</v>
      </c>
      <c r="B460" s="2">
        <v>19</v>
      </c>
      <c r="C460" s="10">
        <v>17</v>
      </c>
      <c r="D460" s="10">
        <v>25</v>
      </c>
      <c r="E460" s="10"/>
      <c r="F460" s="10"/>
      <c r="G460" s="3"/>
      <c r="H460" s="10"/>
      <c r="I460" s="10"/>
      <c r="J460" s="2">
        <v>30</v>
      </c>
      <c r="K460" s="10">
        <v>38</v>
      </c>
      <c r="L460" s="10">
        <v>49</v>
      </c>
      <c r="M460" s="10"/>
      <c r="N460" s="93"/>
      <c r="O460" s="13"/>
      <c r="P460" s="10">
        <v>101</v>
      </c>
      <c r="Q460" s="10"/>
      <c r="R460" s="2"/>
      <c r="S460" s="10"/>
      <c r="T460" s="13"/>
      <c r="U460" s="7">
        <f t="array" ref="U460">IF(AND(A460&lt;&gt;"",OR(ISNUMBER(B460:I460))),SUM(B460:I460),"")</f>
        <v>61</v>
      </c>
      <c r="V460" s="10">
        <f t="array" ref="V460">IF(AND(A460&lt;&gt;"",OR(ISNUMBER(J460:O460))),SUM(J460:O460),"")</f>
        <v>117</v>
      </c>
      <c r="W460" s="10">
        <f t="array" ref="W460">IF(AND(A460&lt;&gt;"",OR(ISNUMBER(P460),ISNUMBER(Q460))),SUM(MAX(P460:Q460),Q460),"")</f>
        <v>101</v>
      </c>
      <c r="X460" s="10" t="str">
        <f t="array" ref="X460">IF(AND(A460&lt;&gt;"",OR(ISNUMBER(S460),ISNUMBER(T460))),SUM(S460,T460),"")</f>
        <v/>
      </c>
      <c r="Y460" s="13">
        <v>1</v>
      </c>
      <c r="Z460" s="13">
        <f>IF(A460&lt;&gt;"",SUM(U460:Y460),"")</f>
        <v>280</v>
      </c>
      <c r="AA460" s="27">
        <f>IF(A460&lt;&gt;"",(Z460+Normalize_To_Add)/(Point_Total_So_Far)*100,"")</f>
        <v>91.803278688524586</v>
      </c>
      <c r="AB460" s="10">
        <f>IF(A460&lt;&gt;"",RANK(AA460,All_Student_XC),"")</f>
        <v>310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>-</v>
      </c>
      <c r="AE460" s="32">
        <f>IF(A460&lt;&gt;"",SUM(W460:X460,$W$8:$X$8)/SUM($W$2:$X$2)*100,"")</f>
        <v>101</v>
      </c>
      <c r="AF460" s="32" t="str">
        <f>IF(A460&lt;&gt;"",CHOOSE(10-MIN(9,TRUNC((AE460+0.5)/10)),"A","B","C","D","F","F","F","F","F","F"),"")</f>
        <v>A</v>
      </c>
      <c r="AG460" s="32" t="str">
        <f>IF(A460&lt;&gt;"",IF(OR(AE460+0.5&gt;=93,AE460+0.5&lt;60),"",IF(MOD(AE460+0.5,10)&gt;=7,"+",IF(MOD(AE460+0.5,10)&lt;3,"-",""))),"")</f>
        <v/>
      </c>
      <c r="AH460" s="36">
        <f>IF(A460&lt;&gt;"",MIN(MAX(AA460,AE460),AA460+$AH$8,AE460+$AH$8),"")</f>
        <v>101</v>
      </c>
      <c r="AI460" s="32" t="str">
        <f>IF(A460&lt;&gt;"",CHOOSE(10-MIN(9,TRUNC((AH460+0.5)/10)),"A","B","C","D","F","F","F","F","F","F"),"")</f>
        <v>A</v>
      </c>
      <c r="AJ460" s="32" t="str">
        <f>IF(A460&lt;&gt;"",IF(OR(AH460+0.5&gt;=93,AH460+0.5&lt;60),"",IF(MOD(AH460+0.5,10)&gt;=7,"+",IF(MOD(AH460+0.5,10)&lt;3,"-",""))),"")</f>
        <v/>
      </c>
      <c r="AK460" s="71" t="b">
        <f>IF(A460&lt;&gt;"",OR(AI460&lt;&gt;AC460,AJ460&lt;&gt;AD460),"")</f>
        <v>1</v>
      </c>
      <c r="AL460" s="86">
        <f>IF(AND(A460&lt;&gt;"",U460&lt;&gt;""),SUM(U460,$AL$8)/$AL$2*100,"")</f>
        <v>81.333333333333329</v>
      </c>
      <c r="AM460" s="71">
        <f>IF(AND(A460&lt;&gt;"",V460&lt;&gt;""),SUM(V460,$AM$8)/$AM$2*100,"")</f>
        <v>90</v>
      </c>
      <c r="AN460" s="71">
        <f>IF(AND(A460&lt;&gt;"",ISNUMBER(P460),P460&gt;=0),SUM(P460,$AN$8)/$AN$2*100,"")</f>
        <v>101</v>
      </c>
      <c r="AO460" s="71" t="str">
        <f>IF(AND(A460&lt;&gt;"",ISNUMBER(Q460),Q460&gt;=0),SUM(Q460,$AO$8)/$AO$2*100,"")</f>
        <v/>
      </c>
      <c r="AP460" s="24" t="str">
        <f>IF(AND(A460&lt;&gt;"",R460&lt;&gt;""),SUM(R460,$AP$8)/$AP$2*100,"")</f>
        <v/>
      </c>
      <c r="AQ460" s="24">
        <f>IF(AND(A460&lt;&gt;"",ISNUMBER(W460),W460&gt;=0),SUM(W460,$AQ$8)/$AQ$2*100,"")</f>
        <v>101</v>
      </c>
      <c r="AR460" s="24" t="str">
        <f>IF(AND(A460&lt;&gt;"",T460&gt;0,ISNUMBER(T460)),SUM(T460,$AR$8)/$AR$2*100,"")</f>
        <v/>
      </c>
      <c r="AS460" s="24" t="str">
        <f>IF(AND(A460&lt;&gt;"",X460&lt;&gt;""),SUM(X460,$AS$8)/$AS$2*100,"")</f>
        <v/>
      </c>
      <c r="AT460" s="89">
        <f>IF(AND(A460&lt;&gt;"",OR(ISNUMBER(W460),ISNUMBER(X460))),SUM(W460:X460,$AT$8)/$AT$2*100,"")</f>
        <v>101</v>
      </c>
      <c r="AU460" s="24">
        <f>AA460</f>
        <v>91.803278688524586</v>
      </c>
      <c r="AV460" s="71"/>
      <c r="AW460" s="27">
        <f>IF(A460&lt;&gt;"",AE460-AA460,"")</f>
        <v>9.1967213114754145</v>
      </c>
      <c r="AY460" s="27" t="b">
        <f>S460&gt;R460</f>
        <v>0</v>
      </c>
      <c r="BA460" s="27" t="e">
        <f>AND(AA460&gt;$BA$3,(W460+$W$8)/$W$2&lt;$BB$3,(X460+$X$8)/$X$2&lt;$BB$3)</f>
        <v>#VALUE!</v>
      </c>
      <c r="BB460" s="27" t="e">
        <f>AND(AA460&lt;$BA$3,AND(W460/$W$2&gt;$BB$3,X460/$X$2&gt;$BB$3))</f>
        <v>#VALUE!</v>
      </c>
      <c r="BC460" s="27" t="e">
        <f>AND(AA460&lt;$BA$3,OR(W460/$W$2&gt;$BB$3,X460/$X$2&gt;$BB$3))</f>
        <v>#VALUE!</v>
      </c>
      <c r="BE460" s="32">
        <v>32</v>
      </c>
    </row>
    <row r="461" spans="1:57" s="27" customFormat="1" ht="12.75" customHeight="1" x14ac:dyDescent="0.2">
      <c r="A461" s="10">
        <v>887331</v>
      </c>
      <c r="B461" s="2">
        <v>25</v>
      </c>
      <c r="C461" s="10">
        <v>22</v>
      </c>
      <c r="D461" s="10">
        <v>25</v>
      </c>
      <c r="E461" s="10"/>
      <c r="F461" s="10"/>
      <c r="G461" s="3"/>
      <c r="H461" s="10"/>
      <c r="I461" s="10"/>
      <c r="J461" s="2">
        <v>30</v>
      </c>
      <c r="K461" s="10">
        <v>50</v>
      </c>
      <c r="L461" s="10">
        <v>49</v>
      </c>
      <c r="M461" s="10"/>
      <c r="N461" s="10"/>
      <c r="O461" s="12"/>
      <c r="P461" s="7">
        <v>101</v>
      </c>
      <c r="Q461" s="7"/>
      <c r="R461" s="2"/>
      <c r="S461" s="10"/>
      <c r="T461" s="13"/>
      <c r="U461" s="35">
        <f t="array" ref="U461">IF(AND(A461&lt;&gt;"",OR(ISNUMBER(B461:I461))),SUM(B461:I461),"")</f>
        <v>72</v>
      </c>
      <c r="V461" s="10">
        <f t="array" ref="V461">IF(AND(A461&lt;&gt;"",OR(ISNUMBER(J461:O461))),SUM(J461:O461),"")</f>
        <v>129</v>
      </c>
      <c r="W461" s="10">
        <f t="array" ref="W461">IF(AND(A461&lt;&gt;"",OR(ISNUMBER(P461),ISNUMBER(Q461))),SUM(MAX(P461:Q461),Q461),"")</f>
        <v>101</v>
      </c>
      <c r="X461" s="10" t="str">
        <f t="array" ref="X461">IF(AND(A461&lt;&gt;"",OR(ISNUMBER(S461),ISNUMBER(T461))),SUM(S461,T461),"")</f>
        <v/>
      </c>
      <c r="Y461" s="13">
        <v>1</v>
      </c>
      <c r="Z461" s="13">
        <f>IF(A461&lt;&gt;"",SUM(U461:Y461),"")</f>
        <v>303</v>
      </c>
      <c r="AA461" s="27">
        <f>IF(A461&lt;&gt;"",(Z461+Normalize_To_Add)/(Point_Total_So_Far)*100,"")</f>
        <v>99.344262295081961</v>
      </c>
      <c r="AB461" s="10">
        <f>IF(A461&lt;&gt;"",RANK(AA461,All_Student_XC),"")</f>
        <v>145</v>
      </c>
      <c r="AC461" s="32" t="str">
        <f>IF(A461&lt;&gt;"",CHOOSE(10-MIN(9,TRUNC((AA461+0.5)/10)),"A","B","C","D","F","F","F","F","F","F"),"")</f>
        <v>A</v>
      </c>
      <c r="AD461" s="32" t="str">
        <f>IF(A461&lt;&gt;"",IF(OR(AA461+0.5&gt;=93,AA461+0.5&lt;60),"",IF(MOD(AA461+0.5,10)&gt;=7,"+",IF(MOD(AA461+0.5,10)&lt;3,"-",""))),"")</f>
        <v/>
      </c>
      <c r="AE461" s="32">
        <f>IF(A461&lt;&gt;"",SUM(W461:X461,$W$8:$X$8)/SUM($W$2:$X$2)*100,"")</f>
        <v>101</v>
      </c>
      <c r="AF461" s="32" t="str">
        <f>IF(A461&lt;&gt;"",CHOOSE(10-MIN(9,TRUNC((AE461+0.5)/10)),"A","B","C","D","F","F","F","F","F","F"),"")</f>
        <v>A</v>
      </c>
      <c r="AG461" s="32" t="str">
        <f>IF(A461&lt;&gt;"",IF(OR(AE461+0.5&gt;=93,AE461+0.5&lt;60),"",IF(MOD(AE461+0.5,10)&gt;=7,"+",IF(MOD(AE461+0.5,10)&lt;3,"-",""))),"")</f>
        <v/>
      </c>
      <c r="AH461" s="36">
        <f>IF(A461&lt;&gt;"",MIN(MAX(AA461,AE461),AA461+$AH$8,AE461+$AH$8),"")</f>
        <v>101</v>
      </c>
      <c r="AI461" s="32" t="str">
        <f>IF(A461&lt;&gt;"",CHOOSE(10-MIN(9,TRUNC((AH461+0.5)/10)),"A","B","C","D","F","F","F","F","F","F"),"")</f>
        <v>A</v>
      </c>
      <c r="AJ461" s="32" t="str">
        <f>IF(A461&lt;&gt;"",IF(OR(AH461+0.5&gt;=93,AH461+0.5&lt;60),"",IF(MOD(AH461+0.5,10)&gt;=7,"+",IF(MOD(AH461+0.5,10)&lt;3,"-",""))),"")</f>
        <v/>
      </c>
      <c r="AK461" s="32" t="b">
        <f>IF(A461&lt;&gt;"",OR(AI461&lt;&gt;AC461,AJ461&lt;&gt;AD461),"")</f>
        <v>0</v>
      </c>
      <c r="AL461" s="84">
        <f>IF(AND(A461&lt;&gt;"",U461&lt;&gt;""),SUM(U461,$AL$8)/$AL$2*100,"")</f>
        <v>96</v>
      </c>
      <c r="AM461" s="24">
        <f>IF(AND(A461&lt;&gt;"",V461&lt;&gt;""),SUM(V461,$AM$8)/$AM$2*100,"")</f>
        <v>99.230769230769226</v>
      </c>
      <c r="AN461" s="24">
        <f>IF(AND(A461&lt;&gt;"",ISNUMBER(P461),P461&gt;=0),SUM(P461,$AN$8)/$AN$2*100,"")</f>
        <v>101</v>
      </c>
      <c r="AO461" s="24" t="str">
        <f>IF(AND(A461&lt;&gt;"",ISNUMBER(Q461),Q461&gt;=0),SUM(Q461,$AO$8)/$AO$2*100,"")</f>
        <v/>
      </c>
      <c r="AP461" s="24" t="str">
        <f>IF(AND(A461&lt;&gt;"",R461&lt;&gt;""),SUM(R461,$AP$8)/$AP$2*100,"")</f>
        <v/>
      </c>
      <c r="AQ461" s="24">
        <f>IF(AND(A461&lt;&gt;"",ISNUMBER(W461),W461&gt;=0),SUM(W461,$AQ$8)/$AQ$2*100,"")</f>
        <v>101</v>
      </c>
      <c r="AR461" s="24" t="str">
        <f>IF(AND(A461&lt;&gt;"",T461&gt;0,ISNUMBER(T461)),SUM(T461,$AR$8)/$AR$2*100,"")</f>
        <v/>
      </c>
      <c r="AS461" s="24" t="str">
        <f>IF(AND(A461&lt;&gt;"",X461&lt;&gt;""),SUM(X461,$AS$8)/$AS$2*100,"")</f>
        <v/>
      </c>
      <c r="AT461" s="89">
        <f>IF(AND(A461&lt;&gt;"",OR(ISNUMBER(W461),ISNUMBER(X461))),SUM(W461:X461,$AT$8)/$AT$2*100,"")</f>
        <v>101</v>
      </c>
      <c r="AU461" s="24">
        <f>AA461</f>
        <v>99.344262295081961</v>
      </c>
      <c r="AV461" s="24"/>
      <c r="AW461" s="27">
        <f>IF(A461&lt;&gt;"",AE461-AA461,"")</f>
        <v>1.6557377049180388</v>
      </c>
      <c r="AY461" s="27" t="b">
        <f>S461&gt;R461</f>
        <v>0</v>
      </c>
      <c r="BA461" s="27" t="e">
        <f>AND(AA461&gt;$BA$3,(W461+$W$8)/$W$2&lt;$BB$3,(X461+$X$8)/$X$2&lt;$BB$3)</f>
        <v>#VALUE!</v>
      </c>
      <c r="BB461" s="27" t="e">
        <f>AND(AA461&lt;$BA$3,AND(W461/$W$2&gt;$BB$3,X461/$X$2&gt;$BB$3))</f>
        <v>#VALUE!</v>
      </c>
      <c r="BC461" s="27" t="e">
        <f>AND(AA461&lt;$BA$3,OR(W461/$W$2&gt;$BB$3,X461/$X$2&gt;$BB$3))</f>
        <v>#VALUE!</v>
      </c>
      <c r="BE461" s="32">
        <v>32</v>
      </c>
    </row>
    <row r="462" spans="1:57" s="27" customFormat="1" ht="12.75" customHeight="1" x14ac:dyDescent="0.2">
      <c r="A462" s="10">
        <v>892200</v>
      </c>
      <c r="B462" s="2">
        <v>19</v>
      </c>
      <c r="C462" s="10">
        <v>20</v>
      </c>
      <c r="D462" s="10">
        <v>20</v>
      </c>
      <c r="E462" s="10"/>
      <c r="F462" s="10"/>
      <c r="G462" s="10"/>
      <c r="H462" s="10"/>
      <c r="I462" s="10"/>
      <c r="J462" s="2">
        <v>27</v>
      </c>
      <c r="K462" s="10">
        <v>30</v>
      </c>
      <c r="L462" s="10">
        <v>49</v>
      </c>
      <c r="M462" s="10"/>
      <c r="N462" s="10"/>
      <c r="O462" s="12"/>
      <c r="P462" s="7">
        <v>101</v>
      </c>
      <c r="Q462" s="7"/>
      <c r="R462" s="2"/>
      <c r="S462" s="10"/>
      <c r="T462" s="13"/>
      <c r="U462" s="35">
        <f t="array" ref="U462">IF(AND(A462&lt;&gt;"",OR(ISNUMBER(B462:I462))),SUM(B462:I462),"")</f>
        <v>59</v>
      </c>
      <c r="V462" s="10">
        <f t="array" ref="V462">IF(AND(A462&lt;&gt;"",OR(ISNUMBER(J462:O462))),SUM(J462:O462),"")</f>
        <v>106</v>
      </c>
      <c r="W462" s="10">
        <f t="array" ref="W462">IF(AND(A462&lt;&gt;"",OR(ISNUMBER(P462),ISNUMBER(Q462))),SUM(MAX(P462:Q462),Q462),"")</f>
        <v>101</v>
      </c>
      <c r="X462" s="10" t="str">
        <f t="array" ref="X462">IF(AND(A462&lt;&gt;"",OR(ISNUMBER(S462),ISNUMBER(T462))),SUM(S462,T462),"")</f>
        <v/>
      </c>
      <c r="Y462" s="13">
        <v>1</v>
      </c>
      <c r="Z462" s="13">
        <f>IF(A462&lt;&gt;"",SUM(U462:Y462),"")</f>
        <v>267</v>
      </c>
      <c r="AA462" s="27">
        <f>IF(A462&lt;&gt;"",(Z462+Normalize_To_Add)/(Point_Total_So_Far)*100,"")</f>
        <v>87.540983606557376</v>
      </c>
      <c r="AB462" s="10">
        <f>IF(A462&lt;&gt;"",RANK(AA462,All_Student_XC),"")</f>
        <v>357</v>
      </c>
      <c r="AC462" s="32" t="str">
        <f>IF(A462&lt;&gt;"",CHOOSE(10-MIN(9,TRUNC((AA462+0.5)/10)),"A","B","C","D","F","F","F","F","F","F"),"")</f>
        <v>B</v>
      </c>
      <c r="AD462" s="32" t="str">
        <f>IF(A462&lt;&gt;"",IF(OR(AA462+0.5&gt;=93,AA462+0.5&lt;60),"",IF(MOD(AA462+0.5,10)&gt;=7,"+",IF(MOD(AA462+0.5,10)&lt;3,"-",""))),"")</f>
        <v>+</v>
      </c>
      <c r="AE462" s="32">
        <f>IF(A462&lt;&gt;"",SUM(W462:X462,$W$8:$X$8)/SUM($W$2:$X$2)*100,"")</f>
        <v>101</v>
      </c>
      <c r="AF462" s="32" t="str">
        <f>IF(A462&lt;&gt;"",CHOOSE(10-MIN(9,TRUNC((AE462+0.5)/10)),"A","B","C","D","F","F","F","F","F","F"),"")</f>
        <v>A</v>
      </c>
      <c r="AG462" s="32" t="str">
        <f>IF(A462&lt;&gt;"",IF(OR(AE462+0.5&gt;=93,AE462+0.5&lt;60),"",IF(MOD(AE462+0.5,10)&gt;=7,"+",IF(MOD(AE462+0.5,10)&lt;3,"-",""))),"")</f>
        <v/>
      </c>
      <c r="AH462" s="36">
        <f>IF(A462&lt;&gt;"",MIN(MAX(AA462,AE462),AA462+$AH$8,AE462+$AH$8),"")</f>
        <v>101</v>
      </c>
      <c r="AI462" s="32" t="str">
        <f>IF(A462&lt;&gt;"",CHOOSE(10-MIN(9,TRUNC((AH462+0.5)/10)),"A","B","C","D","F","F","F","F","F","F"),"")</f>
        <v>A</v>
      </c>
      <c r="AJ462" s="32" t="str">
        <f>IF(A462&lt;&gt;"",IF(OR(AH462+0.5&gt;=93,AH462+0.5&lt;60),"",IF(MOD(AH462+0.5,10)&gt;=7,"+",IF(MOD(AH462+0.5,10)&lt;3,"-",""))),"")</f>
        <v/>
      </c>
      <c r="AK462" s="32" t="b">
        <f>IF(A462&lt;&gt;"",OR(AI462&lt;&gt;AC462,AJ462&lt;&gt;AD462),"")</f>
        <v>1</v>
      </c>
      <c r="AL462" s="84">
        <f>IF(AND(A462&lt;&gt;"",U462&lt;&gt;""),SUM(U462,$AL$8)/$AL$2*100,"")</f>
        <v>78.666666666666657</v>
      </c>
      <c r="AM462" s="24">
        <f>IF(AND(A462&lt;&gt;"",V462&lt;&gt;""),SUM(V462,$AM$8)/$AM$2*100,"")</f>
        <v>81.538461538461533</v>
      </c>
      <c r="AN462" s="24">
        <f>IF(AND(A462&lt;&gt;"",ISNUMBER(P462),P462&gt;=0),SUM(P462,$AN$8)/$AN$2*100,"")</f>
        <v>101</v>
      </c>
      <c r="AO462" s="24" t="str">
        <f>IF(AND(A462&lt;&gt;"",ISNUMBER(Q462),Q462&gt;=0),SUM(Q462,$AO$8)/$AO$2*100,"")</f>
        <v/>
      </c>
      <c r="AP462" s="24" t="str">
        <f>IF(AND(A462&lt;&gt;"",R462&lt;&gt;""),SUM(R462,$AP$8)/$AP$2*100,"")</f>
        <v/>
      </c>
      <c r="AQ462" s="24">
        <f>IF(AND(A462&lt;&gt;"",ISNUMBER(W462),W462&gt;=0),SUM(W462,$AQ$8)/$AQ$2*100,"")</f>
        <v>101</v>
      </c>
      <c r="AR462" s="24" t="str">
        <f>IF(AND(A462&lt;&gt;"",T462&gt;0,ISNUMBER(T462)),SUM(T462,$AR$8)/$AR$2*100,"")</f>
        <v/>
      </c>
      <c r="AS462" s="24" t="str">
        <f>IF(AND(A462&lt;&gt;"",X462&lt;&gt;""),SUM(X462,$AS$8)/$AS$2*100,"")</f>
        <v/>
      </c>
      <c r="AT462" s="89">
        <f>IF(AND(A462&lt;&gt;"",OR(ISNUMBER(W462),ISNUMBER(X462))),SUM(W462:X462,$AT$8)/$AT$2*100,"")</f>
        <v>101</v>
      </c>
      <c r="AU462" s="24">
        <f>AA462</f>
        <v>87.540983606557376</v>
      </c>
      <c r="AV462" s="24"/>
      <c r="AW462" s="27">
        <f>IF(A462&lt;&gt;"",AE462-AA462,"")</f>
        <v>13.459016393442624</v>
      </c>
      <c r="AY462" s="27" t="b">
        <f>S462&gt;R462</f>
        <v>0</v>
      </c>
      <c r="BA462" s="27" t="e">
        <f>AND(AA462&gt;$BA$3,(W462+$W$8)/$W$2&lt;$BB$3,(X462+$X$8)/$X$2&lt;$BB$3)</f>
        <v>#VALUE!</v>
      </c>
      <c r="BB462" s="27" t="e">
        <f>AND(AA462&lt;$BA$3,AND(W462/$W$2&gt;$BB$3,X462/$X$2&gt;$BB$3))</f>
        <v>#VALUE!</v>
      </c>
      <c r="BC462" s="27" t="e">
        <f>AND(AA462&lt;$BA$3,OR(W462/$W$2&gt;$BB$3,X462/$X$2&gt;$BB$3))</f>
        <v>#VALUE!</v>
      </c>
      <c r="BE462" s="32" t="s">
        <v>84</v>
      </c>
    </row>
    <row r="463" spans="1:57" s="27" customFormat="1" ht="12.75" customHeight="1" x14ac:dyDescent="0.2">
      <c r="A463" s="10">
        <v>893015</v>
      </c>
      <c r="B463" s="2">
        <v>25</v>
      </c>
      <c r="C463" s="10">
        <v>20</v>
      </c>
      <c r="D463" s="10">
        <v>25</v>
      </c>
      <c r="E463" s="10"/>
      <c r="F463" s="10"/>
      <c r="G463" s="10"/>
      <c r="H463" s="10"/>
      <c r="I463" s="10"/>
      <c r="J463" s="2">
        <v>29</v>
      </c>
      <c r="K463" s="10">
        <v>50</v>
      </c>
      <c r="L463" s="10">
        <v>52</v>
      </c>
      <c r="M463" s="10"/>
      <c r="N463" s="93"/>
      <c r="O463" s="13"/>
      <c r="P463" s="10">
        <v>100</v>
      </c>
      <c r="Q463" s="10"/>
      <c r="R463" s="2"/>
      <c r="S463" s="10"/>
      <c r="T463" s="13"/>
      <c r="U463" s="7">
        <f t="array" ref="U463">IF(AND(A463&lt;&gt;"",OR(ISNUMBER(B463:I463))),SUM(B463:I463),"")</f>
        <v>70</v>
      </c>
      <c r="V463" s="10">
        <f t="array" ref="V463">IF(AND(A463&lt;&gt;"",OR(ISNUMBER(J463:O463))),SUM(J463:O463),"")</f>
        <v>131</v>
      </c>
      <c r="W463" s="10">
        <f t="array" ref="W463">IF(AND(A463&lt;&gt;"",OR(ISNUMBER(P463),ISNUMBER(Q463))),SUM(MAX(P463:Q463),Q463),"")</f>
        <v>100</v>
      </c>
      <c r="X463" s="10" t="str">
        <f t="array" ref="X463">IF(AND(A463&lt;&gt;"",OR(ISNUMBER(S463),ISNUMBER(T463))),SUM(S463,T463),"")</f>
        <v/>
      </c>
      <c r="Y463" s="13">
        <v>1</v>
      </c>
      <c r="Z463" s="13">
        <f>IF(A463&lt;&gt;"",SUM(U463:Y463),"")</f>
        <v>302</v>
      </c>
      <c r="AA463" s="27">
        <f>IF(A463&lt;&gt;"",(Z463+Normalize_To_Add)/(Point_Total_So_Far)*100,"")</f>
        <v>99.016393442622956</v>
      </c>
      <c r="AB463" s="10">
        <f>IF(A463&lt;&gt;"",RANK(AA463,All_Student_XC),"")</f>
        <v>164</v>
      </c>
      <c r="AC463" s="32" t="str">
        <f>IF(A463&lt;&gt;"",CHOOSE(10-MIN(9,TRUNC((AA463+0.5)/10)),"A","B","C","D","F","F","F","F","F","F"),"")</f>
        <v>A</v>
      </c>
      <c r="AD463" s="31" t="str">
        <f>IF(A463&lt;&gt;"",IF(OR(AA463+0.5&gt;=93,AA463+0.5&lt;60),"",IF(MOD(AA463+0.5,10)&gt;=7,"+",IF(MOD(AA463+0.5,10)&lt;3,"-",""))),"")</f>
        <v/>
      </c>
      <c r="AE463" s="32">
        <f>IF(A463&lt;&gt;"",SUM(W463:X463,$W$8:$X$8)/SUM($W$2:$X$2)*100,"")</f>
        <v>100</v>
      </c>
      <c r="AF463" s="32" t="str">
        <f>IF(A463&lt;&gt;"",CHOOSE(10-MIN(9,TRUNC((AE463+0.5)/10)),"A","B","C","D","F","F","F","F","F","F"),"")</f>
        <v>A</v>
      </c>
      <c r="AG463" s="32" t="str">
        <f>IF(A463&lt;&gt;"",IF(OR(AE463+0.5&gt;=93,AE463+0.5&lt;60),"",IF(MOD(AE463+0.5,10)&gt;=7,"+",IF(MOD(AE463+0.5,10)&lt;3,"-",""))),"")</f>
        <v/>
      </c>
      <c r="AH463" s="36">
        <f>IF(A463&lt;&gt;"",MIN(MAX(AA463,AE463),AA463+$AH$8,AE463+$AH$8),"")</f>
        <v>100</v>
      </c>
      <c r="AI463" s="32" t="str">
        <f>IF(A463&lt;&gt;"",CHOOSE(10-MIN(9,TRUNC((AH463+0.5)/10)),"A","B","C","D","F","F","F","F","F","F"),"")</f>
        <v>A</v>
      </c>
      <c r="AJ463" s="32" t="str">
        <f>IF(A463&lt;&gt;"",IF(OR(AH463+0.5&gt;=93,AH463+0.5&lt;60),"",IF(MOD(AH463+0.5,10)&gt;=7,"+",IF(MOD(AH463+0.5,10)&lt;3,"-",""))),"")</f>
        <v/>
      </c>
      <c r="AK463" s="71" t="b">
        <f>IF(A463&lt;&gt;"",OR(AI463&lt;&gt;AC463,AJ463&lt;&gt;AD463),"")</f>
        <v>0</v>
      </c>
      <c r="AL463" s="86">
        <f>IF(AND(A463&lt;&gt;"",U463&lt;&gt;""),SUM(U463,$AL$8)/$AL$2*100,"")</f>
        <v>93.333333333333329</v>
      </c>
      <c r="AM463" s="71">
        <f>IF(AND(A463&lt;&gt;"",V463&lt;&gt;""),SUM(V463,$AM$8)/$AM$2*100,"")</f>
        <v>100.76923076923077</v>
      </c>
      <c r="AN463" s="71">
        <f>IF(AND(A463&lt;&gt;"",ISNUMBER(P463),P463&gt;=0),SUM(P463,$AN$8)/$AN$2*100,"")</f>
        <v>100</v>
      </c>
      <c r="AO463" s="71" t="str">
        <f>IF(AND(A463&lt;&gt;"",ISNUMBER(Q463),Q463&gt;=0),SUM(Q463,$AO$8)/$AO$2*100,"")</f>
        <v/>
      </c>
      <c r="AP463" s="24" t="str">
        <f>IF(AND(A463&lt;&gt;"",R463&lt;&gt;""),SUM(R463,$AP$8)/$AP$2*100,"")</f>
        <v/>
      </c>
      <c r="AQ463" s="24">
        <f>IF(AND(A463&lt;&gt;"",ISNUMBER(W463),W463&gt;=0),SUM(W463,$AQ$8)/$AQ$2*100,"")</f>
        <v>100</v>
      </c>
      <c r="AR463" s="24" t="str">
        <f>IF(AND(A463&lt;&gt;"",T463&gt;0,ISNUMBER(T463)),SUM(T463,$AR$8)/$AR$2*100,"")</f>
        <v/>
      </c>
      <c r="AS463" s="24" t="str">
        <f>IF(AND(A463&lt;&gt;"",X463&lt;&gt;""),SUM(X463,$AS$8)/$AS$2*100,"")</f>
        <v/>
      </c>
      <c r="AT463" s="89">
        <f>IF(AND(A463&lt;&gt;"",OR(ISNUMBER(W463),ISNUMBER(X463))),SUM(W463:X463,$AT$8)/$AT$2*100,"")</f>
        <v>100</v>
      </c>
      <c r="AU463" s="24">
        <f>AA463</f>
        <v>99.016393442622956</v>
      </c>
      <c r="AV463" s="71"/>
      <c r="AW463" s="27">
        <f>IF(A463&lt;&gt;"",AE463-AA463,"")</f>
        <v>0.98360655737704406</v>
      </c>
      <c r="AY463" s="27" t="b">
        <f>S463&gt;R463</f>
        <v>0</v>
      </c>
      <c r="BA463" s="27" t="e">
        <f>AND(AA463&gt;$BA$3,(W463+$W$8)/$W$2&lt;$BB$3,(X463+$X$8)/$X$2&lt;$BB$3)</f>
        <v>#VALUE!</v>
      </c>
      <c r="BB463" s="27" t="e">
        <f>AND(AA463&lt;$BA$3,AND(W463/$W$2&gt;$BB$3,X463/$X$2&gt;$BB$3))</f>
        <v>#VALUE!</v>
      </c>
      <c r="BC463" s="27" t="e">
        <f>AND(AA463&lt;$BA$3,OR(W463/$W$2&gt;$BB$3,X463/$X$2&gt;$BB$3))</f>
        <v>#VALUE!</v>
      </c>
      <c r="BE463" s="32" t="s">
        <v>84</v>
      </c>
    </row>
    <row r="464" spans="1:57" s="27" customFormat="1" ht="12.75" customHeight="1" x14ac:dyDescent="0.2">
      <c r="A464" s="10">
        <v>893613</v>
      </c>
      <c r="B464" s="2">
        <v>18</v>
      </c>
      <c r="C464" s="10">
        <v>17</v>
      </c>
      <c r="D464" s="10">
        <v>15</v>
      </c>
      <c r="E464" s="10"/>
      <c r="F464" s="10"/>
      <c r="G464" s="10"/>
      <c r="H464" s="10"/>
      <c r="I464" s="10"/>
      <c r="J464" s="2">
        <v>29</v>
      </c>
      <c r="K464" s="10">
        <v>50</v>
      </c>
      <c r="L464" s="10">
        <v>49</v>
      </c>
      <c r="M464" s="10"/>
      <c r="N464" s="93"/>
      <c r="O464" s="13"/>
      <c r="P464" s="10">
        <v>40</v>
      </c>
      <c r="Q464" s="10"/>
      <c r="R464" s="2"/>
      <c r="S464" s="10"/>
      <c r="T464" s="13"/>
      <c r="U464" s="7">
        <f t="array" ref="U464">IF(AND(A464&lt;&gt;"",OR(ISNUMBER(B464:I464))),SUM(B464:I464),"")</f>
        <v>50</v>
      </c>
      <c r="V464" s="10">
        <f t="array" ref="V464">IF(AND(A464&lt;&gt;"",OR(ISNUMBER(J464:O464))),SUM(J464:O464),"")</f>
        <v>128</v>
      </c>
      <c r="W464" s="10">
        <f t="array" ref="W464">IF(AND(A464&lt;&gt;"",OR(ISNUMBER(P464),ISNUMBER(Q464))),SUM(MAX(P464:Q464),Q464),"")</f>
        <v>40</v>
      </c>
      <c r="X464" s="10" t="str">
        <f t="array" ref="X464">IF(AND(A464&lt;&gt;"",OR(ISNUMBER(S464),ISNUMBER(T464))),SUM(S464,T464),"")</f>
        <v/>
      </c>
      <c r="Y464" s="13">
        <v>1</v>
      </c>
      <c r="Z464" s="13">
        <f>IF(A464&lt;&gt;"",SUM(U464:Y464),"")</f>
        <v>219</v>
      </c>
      <c r="AA464" s="27">
        <f>IF(A464&lt;&gt;"",(Z464+Normalize_To_Add)/(Point_Total_So_Far)*100,"")</f>
        <v>71.803278688524586</v>
      </c>
      <c r="AB464" s="10">
        <f>IF(A464&lt;&gt;"",RANK(AA464,All_Student_XC),"")</f>
        <v>451</v>
      </c>
      <c r="AC464" s="32" t="str">
        <f>IF(A464&lt;&gt;"",CHOOSE(10-MIN(9,TRUNC((AA464+0.5)/10)),"A","B","C","D","F","F","F","F","F","F"),"")</f>
        <v>C</v>
      </c>
      <c r="AD464" s="31" t="str">
        <f>IF(A464&lt;&gt;"",IF(OR(AA464+0.5&gt;=93,AA464+0.5&lt;60),"",IF(MOD(AA464+0.5,10)&gt;=7,"+",IF(MOD(AA464+0.5,10)&lt;3,"-",""))),"")</f>
        <v>-</v>
      </c>
      <c r="AE464" s="32">
        <f>IF(A464&lt;&gt;"",SUM(W464:X464,$W$8:$X$8)/SUM($W$2:$X$2)*100,"")</f>
        <v>40</v>
      </c>
      <c r="AF464" s="32" t="str">
        <f>IF(A464&lt;&gt;"",CHOOSE(10-MIN(9,TRUNC((AE464+0.5)/10)),"A","B","C","D","F","F","F","F","F","F"),"")</f>
        <v>F</v>
      </c>
      <c r="AG464" s="32" t="str">
        <f>IF(A464&lt;&gt;"",IF(OR(AE464+0.5&gt;=93,AE464+0.5&lt;60),"",IF(MOD(AE464+0.5,10)&gt;=7,"+",IF(MOD(AE464+0.5,10)&lt;3,"-",""))),"")</f>
        <v/>
      </c>
      <c r="AH464" s="36">
        <f>IF(A464&lt;&gt;"",MIN(MAX(AA464,AE464),AA464+$AH$8,AE464+$AH$8),"")</f>
        <v>71.803278688524586</v>
      </c>
      <c r="AI464" s="32" t="str">
        <f>IF(A464&lt;&gt;"",CHOOSE(10-MIN(9,TRUNC((AH464+0.5)/10)),"A","B","C","D","F","F","F","F","F","F"),"")</f>
        <v>C</v>
      </c>
      <c r="AJ464" s="32" t="str">
        <f>IF(A464&lt;&gt;"",IF(OR(AH464+0.5&gt;=93,AH464+0.5&lt;60),"",IF(MOD(AH464+0.5,10)&gt;=7,"+",IF(MOD(AH464+0.5,10)&lt;3,"-",""))),"")</f>
        <v>-</v>
      </c>
      <c r="AK464" s="71" t="b">
        <f>IF(A464&lt;&gt;"",OR(AI464&lt;&gt;AC464,AJ464&lt;&gt;AD464),"")</f>
        <v>0</v>
      </c>
      <c r="AL464" s="86">
        <f>IF(AND(A464&lt;&gt;"",U464&lt;&gt;""),SUM(U464,$AL$8)/$AL$2*100,"")</f>
        <v>66.666666666666657</v>
      </c>
      <c r="AM464" s="71">
        <f>IF(AND(A464&lt;&gt;"",V464&lt;&gt;""),SUM(V464,$AM$8)/$AM$2*100,"")</f>
        <v>98.461538461538467</v>
      </c>
      <c r="AN464" s="71">
        <f>IF(AND(A464&lt;&gt;"",ISNUMBER(P464),P464&gt;=0),SUM(P464,$AN$8)/$AN$2*100,"")</f>
        <v>40</v>
      </c>
      <c r="AO464" s="71" t="str">
        <f>IF(AND(A464&lt;&gt;"",ISNUMBER(Q464),Q464&gt;=0),SUM(Q464,$AO$8)/$AO$2*100,"")</f>
        <v/>
      </c>
      <c r="AP464" s="24" t="str">
        <f>IF(AND(A464&lt;&gt;"",R464&lt;&gt;""),SUM(R464,$AP$8)/$AP$2*100,"")</f>
        <v/>
      </c>
      <c r="AQ464" s="24">
        <f>IF(AND(A464&lt;&gt;"",ISNUMBER(W464),W464&gt;=0),SUM(W464,$AQ$8)/$AQ$2*100,"")</f>
        <v>40</v>
      </c>
      <c r="AR464" s="24" t="str">
        <f>IF(AND(A464&lt;&gt;"",T464&gt;0,ISNUMBER(T464)),SUM(T464,$AR$8)/$AR$2*100,"")</f>
        <v/>
      </c>
      <c r="AS464" s="24" t="str">
        <f>IF(AND(A464&lt;&gt;"",X464&lt;&gt;""),SUM(X464,$AS$8)/$AS$2*100,"")</f>
        <v/>
      </c>
      <c r="AT464" s="89">
        <f>IF(AND(A464&lt;&gt;"",OR(ISNUMBER(W464),ISNUMBER(X464))),SUM(W464:X464,$AT$8)/$AT$2*100,"")</f>
        <v>40</v>
      </c>
      <c r="AU464" s="24">
        <f>AA464</f>
        <v>71.803278688524586</v>
      </c>
      <c r="AV464" s="71"/>
      <c r="AW464" s="27">
        <f>IF(A464&lt;&gt;"",AE464-AA464,"")</f>
        <v>-31.803278688524586</v>
      </c>
      <c r="AY464" s="27" t="b">
        <f>S464&gt;R464</f>
        <v>0</v>
      </c>
      <c r="BA464" s="27" t="e">
        <f>AND(AA464&gt;$BA$3,(W464+$W$8)/$W$2&lt;$BB$3,(X464+$X$8)/$X$2&lt;$BB$3)</f>
        <v>#VALUE!</v>
      </c>
      <c r="BB464" s="27" t="e">
        <f>AND(AA464&lt;$BA$3,AND(W464/$W$2&gt;$BB$3,X464/$X$2&gt;$BB$3))</f>
        <v>#VALUE!</v>
      </c>
      <c r="BC464" s="27" t="e">
        <f>AND(AA464&lt;$BA$3,OR(W464/$W$2&gt;$BB$3,X464/$X$2&gt;$BB$3))</f>
        <v>#VALUE!</v>
      </c>
      <c r="BE464" s="32">
        <v>32</v>
      </c>
    </row>
    <row r="465" spans="1:57" s="27" customFormat="1" ht="12.75" customHeight="1" x14ac:dyDescent="0.2">
      <c r="A465" s="10">
        <v>893636</v>
      </c>
      <c r="B465" s="2">
        <v>9</v>
      </c>
      <c r="C465" s="10">
        <v>19</v>
      </c>
      <c r="D465" s="10">
        <v>10</v>
      </c>
      <c r="E465" s="10"/>
      <c r="F465" s="10"/>
      <c r="G465" s="3"/>
      <c r="H465" s="10"/>
      <c r="I465" s="10"/>
      <c r="J465" s="2">
        <v>29</v>
      </c>
      <c r="K465" s="10" t="s">
        <v>67</v>
      </c>
      <c r="L465" s="10">
        <v>25</v>
      </c>
      <c r="M465" s="10"/>
      <c r="N465" s="10"/>
      <c r="O465" s="12"/>
      <c r="P465" s="41">
        <v>60</v>
      </c>
      <c r="Q465" s="41"/>
      <c r="R465" s="2"/>
      <c r="S465" s="10"/>
      <c r="T465" s="13"/>
      <c r="U465" s="7">
        <f t="array" ref="U465">IF(AND(A465&lt;&gt;"",OR(ISNUMBER(B465:I465))),SUM(B465:I465),"")</f>
        <v>38</v>
      </c>
      <c r="V465" s="10">
        <f t="array" ref="V465">IF(AND(A465&lt;&gt;"",OR(ISNUMBER(J465:O465))),SUM(J465:O465),"")</f>
        <v>54</v>
      </c>
      <c r="W465" s="10">
        <f t="array" ref="W465">IF(AND(A465&lt;&gt;"",OR(ISNUMBER(P465),ISNUMBER(Q465))),SUM(MAX(P465:Q465),Q465),"")</f>
        <v>60</v>
      </c>
      <c r="X465" s="10" t="str">
        <f t="array" ref="X465">IF(AND(A465&lt;&gt;"",OR(ISNUMBER(S465),ISNUMBER(T465))),SUM(S465,T465),"")</f>
        <v/>
      </c>
      <c r="Y465" s="13">
        <v>1</v>
      </c>
      <c r="Z465" s="13">
        <f>IF(A465&lt;&gt;"",SUM(U465:Y465),"")</f>
        <v>153</v>
      </c>
      <c r="AA465" s="27">
        <f>IF(A465&lt;&gt;"",(Z465+Normalize_To_Add)/(Point_Total_So_Far)*100,"")</f>
        <v>50.163934426229503</v>
      </c>
      <c r="AB465" s="10">
        <f>IF(A465&lt;&gt;"",RANK(AA465,All_Student_XC),"")</f>
        <v>491</v>
      </c>
      <c r="AC465" s="32" t="str">
        <f>IF(A465&lt;&gt;"",CHOOSE(10-MIN(9,TRUNC((AA465+0.5)/10)),"A","B","C","D","F","F","F","F","F","F"),"")</f>
        <v>F</v>
      </c>
      <c r="AD465" s="32" t="str">
        <f>IF(A465&lt;&gt;"",IF(OR(AA465+0.5&gt;=93,AA465+0.5&lt;60),"",IF(MOD(AA465+0.5,10)&gt;=7,"+",IF(MOD(AA465+0.5,10)&lt;3,"-",""))),"")</f>
        <v/>
      </c>
      <c r="AE465" s="32">
        <f>IF(A465&lt;&gt;"",SUM(W465:X465,$W$8:$X$8)/SUM($W$2:$X$2)*100,"")</f>
        <v>60</v>
      </c>
      <c r="AF465" s="32" t="str">
        <f>IF(A465&lt;&gt;"",CHOOSE(10-MIN(9,TRUNC((AE465+0.5)/10)),"A","B","C","D","F","F","F","F","F","F"),"")</f>
        <v>D</v>
      </c>
      <c r="AG465" s="32" t="str">
        <f>IF(A465&lt;&gt;"",IF(OR(AE465+0.5&gt;=93,AE465+0.5&lt;60),"",IF(MOD(AE465+0.5,10)&gt;=7,"+",IF(MOD(AE465+0.5,10)&lt;3,"-",""))),"")</f>
        <v>-</v>
      </c>
      <c r="AH465" s="36">
        <f>IF(A465&lt;&gt;"",MIN(MAX(AA465,AE465),AA465+$AH$8,AE465+$AH$8),"")</f>
        <v>60</v>
      </c>
      <c r="AI465" s="32" t="str">
        <f>IF(A465&lt;&gt;"",CHOOSE(10-MIN(9,TRUNC((AH465+0.5)/10)),"A","B","C","D","F","F","F","F","F","F"),"")</f>
        <v>D</v>
      </c>
      <c r="AJ465" s="32" t="str">
        <f>IF(A465&lt;&gt;"",IF(OR(AH465+0.5&gt;=93,AH465+0.5&lt;60),"",IF(MOD(AH465+0.5,10)&gt;=7,"+",IF(MOD(AH465+0.5,10)&lt;3,"-",""))),"")</f>
        <v>-</v>
      </c>
      <c r="AK465" s="32" t="b">
        <f>IF(A465&lt;&gt;"",OR(AI465&lt;&gt;AC465,AJ465&lt;&gt;AD465),"")</f>
        <v>1</v>
      </c>
      <c r="AL465" s="84">
        <f>IF(AND(A465&lt;&gt;"",U465&lt;&gt;""),SUM(U465,$AL$8)/$AL$2*100,"")</f>
        <v>50.666666666666671</v>
      </c>
      <c r="AM465" s="24">
        <f>IF(AND(A465&lt;&gt;"",V465&lt;&gt;""),SUM(V465,$AM$8)/$AM$2*100,"")</f>
        <v>41.53846153846154</v>
      </c>
      <c r="AN465" s="24">
        <f>IF(AND(A465&lt;&gt;"",ISNUMBER(P465),P465&gt;=0),SUM(P465,$AN$8)/$AN$2*100,"")</f>
        <v>60</v>
      </c>
      <c r="AO465" s="24" t="str">
        <f>IF(AND(A465&lt;&gt;"",ISNUMBER(Q465),Q465&gt;=0),SUM(Q465,$AO$8)/$AO$2*100,"")</f>
        <v/>
      </c>
      <c r="AP465" s="24" t="str">
        <f>IF(AND(A465&lt;&gt;"",R465&lt;&gt;""),SUM(R465,$AP$8)/$AP$2*100,"")</f>
        <v/>
      </c>
      <c r="AQ465" s="24">
        <f>IF(AND(A465&lt;&gt;"",ISNUMBER(W465),W465&gt;=0),SUM(W465,$AQ$8)/$AQ$2*100,"")</f>
        <v>60</v>
      </c>
      <c r="AR465" s="24" t="str">
        <f>IF(AND(A465&lt;&gt;"",T465&gt;0,ISNUMBER(T465)),SUM(T465,$AR$8)/$AR$2*100,"")</f>
        <v/>
      </c>
      <c r="AS465" s="24" t="str">
        <f>IF(AND(A465&lt;&gt;"",X465&lt;&gt;""),SUM(X465,$AS$8)/$AS$2*100,"")</f>
        <v/>
      </c>
      <c r="AT465" s="89">
        <f>IF(AND(A465&lt;&gt;"",OR(ISNUMBER(W465),ISNUMBER(X465))),SUM(W465:X465,$AT$8)/$AT$2*100,"")</f>
        <v>60</v>
      </c>
      <c r="AU465" s="24">
        <f>AA465</f>
        <v>50.163934426229503</v>
      </c>
      <c r="AV465" s="24"/>
      <c r="AW465" s="27">
        <f>IF(A465&lt;&gt;"",AE465-AA465,"")</f>
        <v>9.8360655737704974</v>
      </c>
      <c r="AY465" s="27" t="b">
        <f>S465&gt;R465</f>
        <v>0</v>
      </c>
      <c r="BA465" s="27" t="e">
        <f>AND(AA465&gt;$BA$3,(W465+$W$8)/$W$2&lt;$BB$3,(X465+$X$8)/$X$2&lt;$BB$3)</f>
        <v>#VALUE!</v>
      </c>
      <c r="BB465" s="27" t="e">
        <f>AND(AA465&lt;$BA$3,AND(W465/$W$2&gt;$BB$3,X465/$X$2&gt;$BB$3))</f>
        <v>#VALUE!</v>
      </c>
      <c r="BC465" s="27" t="e">
        <f>AND(AA465&lt;$BA$3,OR(W465/$W$2&gt;$BB$3,X465/$X$2&gt;$BB$3))</f>
        <v>#VALUE!</v>
      </c>
      <c r="BE465" s="32">
        <v>32</v>
      </c>
    </row>
    <row r="466" spans="1:57" s="27" customFormat="1" ht="12.75" customHeight="1" x14ac:dyDescent="0.2">
      <c r="A466" s="10">
        <v>893713</v>
      </c>
      <c r="B466" s="2">
        <v>20</v>
      </c>
      <c r="C466" s="10">
        <v>22</v>
      </c>
      <c r="D466" s="10">
        <v>22</v>
      </c>
      <c r="E466" s="10"/>
      <c r="F466" s="10"/>
      <c r="G466" s="10"/>
      <c r="H466" s="10"/>
      <c r="I466" s="10"/>
      <c r="J466" s="2">
        <v>32</v>
      </c>
      <c r="K466" s="10">
        <v>40</v>
      </c>
      <c r="L466" s="10">
        <v>51</v>
      </c>
      <c r="M466" s="10"/>
      <c r="N466" s="93"/>
      <c r="O466" s="13"/>
      <c r="P466" s="10">
        <v>101</v>
      </c>
      <c r="Q466" s="10"/>
      <c r="R466" s="2"/>
      <c r="S466" s="10"/>
      <c r="T466" s="13"/>
      <c r="U466" s="7">
        <f t="array" ref="U466">IF(AND(A466&lt;&gt;"",OR(ISNUMBER(B466:I466))),SUM(B466:I466),"")</f>
        <v>64</v>
      </c>
      <c r="V466" s="10">
        <f t="array" ref="V466">IF(AND(A466&lt;&gt;"",OR(ISNUMBER(J466:O466))),SUM(J466:O466),"")</f>
        <v>123</v>
      </c>
      <c r="W466" s="10">
        <f t="array" ref="W466">IF(AND(A466&lt;&gt;"",OR(ISNUMBER(P466),ISNUMBER(Q466))),SUM(MAX(P466:Q466),Q466),"")</f>
        <v>101</v>
      </c>
      <c r="X466" s="10" t="str">
        <f t="array" ref="X466">IF(AND(A466&lt;&gt;"",OR(ISNUMBER(S466),ISNUMBER(T466))),SUM(S466,T466),"")</f>
        <v/>
      </c>
      <c r="Y466" s="13">
        <v>1</v>
      </c>
      <c r="Z466" s="13">
        <f>IF(A466&lt;&gt;"",SUM(U466:Y466),"")</f>
        <v>289</v>
      </c>
      <c r="AA466" s="27">
        <f>IF(A466&lt;&gt;"",(Z466+Normalize_To_Add)/(Point_Total_So_Far)*100,"")</f>
        <v>94.754098360655732</v>
      </c>
      <c r="AB466" s="10">
        <f>IF(A466&lt;&gt;"",RANK(AA466,All_Student_XC),"")</f>
        <v>273</v>
      </c>
      <c r="AC466" s="32" t="str">
        <f>IF(A466&lt;&gt;"",CHOOSE(10-MIN(9,TRUNC((AA466+0.5)/10)),"A","B","C","D","F","F","F","F","F","F"),"")</f>
        <v>A</v>
      </c>
      <c r="AD466" s="31" t="str">
        <f>IF(A466&lt;&gt;"",IF(OR(AA466+0.5&gt;=93,AA466+0.5&lt;60),"",IF(MOD(AA466+0.5,10)&gt;=7,"+",IF(MOD(AA466+0.5,10)&lt;3,"-",""))),"")</f>
        <v/>
      </c>
      <c r="AE466" s="32">
        <f>IF(A466&lt;&gt;"",SUM(W466:X466,$W$8:$X$8)/SUM($W$2:$X$2)*100,"")</f>
        <v>101</v>
      </c>
      <c r="AF466" s="32" t="str">
        <f>IF(A466&lt;&gt;"",CHOOSE(10-MIN(9,TRUNC((AE466+0.5)/10)),"A","B","C","D","F","F","F","F","F","F"),"")</f>
        <v>A</v>
      </c>
      <c r="AG466" s="32" t="str">
        <f>IF(A466&lt;&gt;"",IF(OR(AE466+0.5&gt;=93,AE466+0.5&lt;60),"",IF(MOD(AE466+0.5,10)&gt;=7,"+",IF(MOD(AE466+0.5,10)&lt;3,"-",""))),"")</f>
        <v/>
      </c>
      <c r="AH466" s="36">
        <f>IF(A466&lt;&gt;"",MIN(MAX(AA466,AE466),AA466+$AH$8,AE466+$AH$8),"")</f>
        <v>101</v>
      </c>
      <c r="AI466" s="32" t="str">
        <f>IF(A466&lt;&gt;"",CHOOSE(10-MIN(9,TRUNC((AH466+0.5)/10)),"A","B","C","D","F","F","F","F","F","F"),"")</f>
        <v>A</v>
      </c>
      <c r="AJ466" s="32" t="str">
        <f>IF(A466&lt;&gt;"",IF(OR(AH466+0.5&gt;=93,AH466+0.5&lt;60),"",IF(MOD(AH466+0.5,10)&gt;=7,"+",IF(MOD(AH466+0.5,10)&lt;3,"-",""))),"")</f>
        <v/>
      </c>
      <c r="AK466" s="71" t="b">
        <f>IF(A466&lt;&gt;"",OR(AI466&lt;&gt;AC466,AJ466&lt;&gt;AD466),"")</f>
        <v>0</v>
      </c>
      <c r="AL466" s="86">
        <f>IF(AND(A466&lt;&gt;"",U466&lt;&gt;""),SUM(U466,$AL$8)/$AL$2*100,"")</f>
        <v>85.333333333333343</v>
      </c>
      <c r="AM466" s="71">
        <f>IF(AND(A466&lt;&gt;"",V466&lt;&gt;""),SUM(V466,$AM$8)/$AM$2*100,"")</f>
        <v>94.615384615384613</v>
      </c>
      <c r="AN466" s="71">
        <f>IF(AND(A466&lt;&gt;"",ISNUMBER(P466),P466&gt;=0),SUM(P466,$AN$8)/$AN$2*100,"")</f>
        <v>101</v>
      </c>
      <c r="AO466" s="71" t="str">
        <f>IF(AND(A466&lt;&gt;"",ISNUMBER(Q466),Q466&gt;=0),SUM(Q466,$AO$8)/$AO$2*100,"")</f>
        <v/>
      </c>
      <c r="AP466" s="24" t="str">
        <f>IF(AND(A466&lt;&gt;"",R466&lt;&gt;""),SUM(R466,$AP$8)/$AP$2*100,"")</f>
        <v/>
      </c>
      <c r="AQ466" s="24">
        <f>IF(AND(A466&lt;&gt;"",ISNUMBER(W466),W466&gt;=0),SUM(W466,$AQ$8)/$AQ$2*100,"")</f>
        <v>101</v>
      </c>
      <c r="AR466" s="24" t="str">
        <f>IF(AND(A466&lt;&gt;"",T466&gt;0,ISNUMBER(T466)),SUM(T466,$AR$8)/$AR$2*100,"")</f>
        <v/>
      </c>
      <c r="AS466" s="24" t="str">
        <f>IF(AND(A466&lt;&gt;"",X466&lt;&gt;""),SUM(X466,$AS$8)/$AS$2*100,"")</f>
        <v/>
      </c>
      <c r="AT466" s="89">
        <f>IF(AND(A466&lt;&gt;"",OR(ISNUMBER(W466),ISNUMBER(X466))),SUM(W466:X466,$AT$8)/$AT$2*100,"")</f>
        <v>101</v>
      </c>
      <c r="AU466" s="24">
        <f>AA466</f>
        <v>94.754098360655732</v>
      </c>
      <c r="AV466" s="71"/>
      <c r="AW466" s="27">
        <f>IF(A466&lt;&gt;"",AE466-AA466,"")</f>
        <v>6.2459016393442681</v>
      </c>
      <c r="AY466" s="27" t="b">
        <f>S466&gt;R466</f>
        <v>0</v>
      </c>
      <c r="BA466" s="27" t="e">
        <f>AND(AA466&gt;$BA$3,(W466+$W$8)/$W$2&lt;$BB$3,(X466+$X$8)/$X$2&lt;$BB$3)</f>
        <v>#VALUE!</v>
      </c>
      <c r="BB466" s="27" t="e">
        <f>AND(AA466&lt;$BA$3,AND(W466/$W$2&gt;$BB$3,X466/$X$2&gt;$BB$3))</f>
        <v>#VALUE!</v>
      </c>
      <c r="BC466" s="27" t="e">
        <f>AND(AA466&lt;$BA$3,OR(W466/$W$2&gt;$BB$3,X466/$X$2&gt;$BB$3))</f>
        <v>#VALUE!</v>
      </c>
      <c r="BE466" s="32" t="s">
        <v>84</v>
      </c>
    </row>
    <row r="467" spans="1:57" s="27" customFormat="1" ht="12.75" customHeight="1" x14ac:dyDescent="0.2">
      <c r="A467" s="10">
        <v>895349</v>
      </c>
      <c r="B467" s="2">
        <v>23</v>
      </c>
      <c r="C467" s="10">
        <v>24</v>
      </c>
      <c r="D467" s="10">
        <v>25</v>
      </c>
      <c r="E467" s="10"/>
      <c r="F467" s="10"/>
      <c r="G467" s="3"/>
      <c r="H467" s="10"/>
      <c r="I467" s="10"/>
      <c r="J467" s="2">
        <v>31</v>
      </c>
      <c r="K467" s="10">
        <v>52</v>
      </c>
      <c r="L467" s="10">
        <v>52</v>
      </c>
      <c r="M467" s="10"/>
      <c r="N467" s="10"/>
      <c r="O467" s="12"/>
      <c r="P467" s="7">
        <v>101</v>
      </c>
      <c r="Q467" s="7"/>
      <c r="R467" s="2"/>
      <c r="S467" s="10"/>
      <c r="T467" s="13"/>
      <c r="U467" s="35">
        <f t="array" ref="U467">IF(AND(A467&lt;&gt;"",OR(ISNUMBER(B467:I467))),SUM(B467:I467),"")</f>
        <v>72</v>
      </c>
      <c r="V467" s="10">
        <f t="array" ref="V467">IF(AND(A467&lt;&gt;"",OR(ISNUMBER(J467:O467))),SUM(J467:O467),"")</f>
        <v>135</v>
      </c>
      <c r="W467" s="10">
        <f t="array" ref="W467">IF(AND(A467&lt;&gt;"",OR(ISNUMBER(P467),ISNUMBER(Q467))),SUM(MAX(P467:Q467),Q467),"")</f>
        <v>101</v>
      </c>
      <c r="X467" s="10" t="str">
        <f t="array" ref="X467">IF(AND(A467&lt;&gt;"",OR(ISNUMBER(S467),ISNUMBER(T467))),SUM(S467,T467),"")</f>
        <v/>
      </c>
      <c r="Y467" s="13">
        <v>1</v>
      </c>
      <c r="Z467" s="13">
        <f>IF(A467&lt;&gt;"",SUM(U467:Y467),"")</f>
        <v>309</v>
      </c>
      <c r="AA467" s="27">
        <f>IF(A467&lt;&gt;"",(Z467+Normalize_To_Add)/(Point_Total_So_Far)*100,"")</f>
        <v>101.31147540983608</v>
      </c>
      <c r="AB467" s="10">
        <f>IF(A467&lt;&gt;"",RANK(AA467,All_Student_XC),"")</f>
        <v>35</v>
      </c>
      <c r="AC467" s="32" t="str">
        <f>IF(A467&lt;&gt;"",CHOOSE(10-MIN(9,TRUNC((AA467+0.5)/10)),"A","B","C","D","F","F","F","F","F","F"),"")</f>
        <v>A</v>
      </c>
      <c r="AD467" s="32" t="str">
        <f>IF(A467&lt;&gt;"",IF(OR(AA467+0.5&gt;=93,AA467+0.5&lt;60),"",IF(MOD(AA467+0.5,10)&gt;=7,"+",IF(MOD(AA467+0.5,10)&lt;3,"-",""))),"")</f>
        <v/>
      </c>
      <c r="AE467" s="32">
        <f>IF(A467&lt;&gt;"",SUM(W467:X467,$W$8:$X$8)/SUM($W$2:$X$2)*100,"")</f>
        <v>101</v>
      </c>
      <c r="AF467" s="32" t="str">
        <f>IF(A467&lt;&gt;"",CHOOSE(10-MIN(9,TRUNC((AE467+0.5)/10)),"A","B","C","D","F","F","F","F","F","F"),"")</f>
        <v>A</v>
      </c>
      <c r="AG467" s="32" t="str">
        <f>IF(A467&lt;&gt;"",IF(OR(AE467+0.5&gt;=93,AE467+0.5&lt;60),"",IF(MOD(AE467+0.5,10)&gt;=7,"+",IF(MOD(AE467+0.5,10)&lt;3,"-",""))),"")</f>
        <v/>
      </c>
      <c r="AH467" s="36">
        <f>IF(A467&lt;&gt;"",MIN(MAX(AA467,AE467),AA467+$AH$8,AE467+$AH$8),"")</f>
        <v>101.31147540983608</v>
      </c>
      <c r="AI467" s="32" t="str">
        <f>IF(A467&lt;&gt;"",CHOOSE(10-MIN(9,TRUNC((AH467+0.5)/10)),"A","B","C","D","F","F","F","F","F","F"),"")</f>
        <v>A</v>
      </c>
      <c r="AJ467" s="32" t="str">
        <f>IF(A467&lt;&gt;"",IF(OR(AH467+0.5&gt;=93,AH467+0.5&lt;60),"",IF(MOD(AH467+0.5,10)&gt;=7,"+",IF(MOD(AH467+0.5,10)&lt;3,"-",""))),"")</f>
        <v/>
      </c>
      <c r="AK467" s="32" t="b">
        <f>IF(A467&lt;&gt;"",OR(AI467&lt;&gt;AC467,AJ467&lt;&gt;AD467),"")</f>
        <v>0</v>
      </c>
      <c r="AL467" s="84">
        <f>IF(AND(A467&lt;&gt;"",U467&lt;&gt;""),SUM(U467,$AL$8)/$AL$2*100,"")</f>
        <v>96</v>
      </c>
      <c r="AM467" s="24">
        <f>IF(AND(A467&lt;&gt;"",V467&lt;&gt;""),SUM(V467,$AM$8)/$AM$2*100,"")</f>
        <v>103.84615384615385</v>
      </c>
      <c r="AN467" s="24">
        <f>IF(AND(A467&lt;&gt;"",ISNUMBER(P467),P467&gt;=0),SUM(P467,$AN$8)/$AN$2*100,"")</f>
        <v>101</v>
      </c>
      <c r="AO467" s="24" t="str">
        <f>IF(AND(A467&lt;&gt;"",ISNUMBER(Q467),Q467&gt;=0),SUM(Q467,$AO$8)/$AO$2*100,"")</f>
        <v/>
      </c>
      <c r="AP467" s="24" t="str">
        <f>IF(AND(A467&lt;&gt;"",R467&lt;&gt;""),SUM(R467,$AP$8)/$AP$2*100,"")</f>
        <v/>
      </c>
      <c r="AQ467" s="24">
        <f>IF(AND(A467&lt;&gt;"",ISNUMBER(W467),W467&gt;=0),SUM(W467,$AQ$8)/$AQ$2*100,"")</f>
        <v>101</v>
      </c>
      <c r="AR467" s="24" t="str">
        <f>IF(AND(A467&lt;&gt;"",T467&gt;0,ISNUMBER(T467)),SUM(T467,$AR$8)/$AR$2*100,"")</f>
        <v/>
      </c>
      <c r="AS467" s="24" t="str">
        <f>IF(AND(A467&lt;&gt;"",X467&lt;&gt;""),SUM(X467,$AS$8)/$AS$2*100,"")</f>
        <v/>
      </c>
      <c r="AT467" s="89">
        <f>IF(AND(A467&lt;&gt;"",OR(ISNUMBER(W467),ISNUMBER(X467))),SUM(W467:X467,$AT$8)/$AT$2*100,"")</f>
        <v>101</v>
      </c>
      <c r="AU467" s="24">
        <f>AA467</f>
        <v>101.31147540983608</v>
      </c>
      <c r="AV467" s="24"/>
      <c r="AW467" s="27">
        <f>IF(A467&lt;&gt;"",AE467-AA467,"")</f>
        <v>-0.31147540983607769</v>
      </c>
      <c r="AY467" s="27" t="b">
        <f>S467&gt;R467</f>
        <v>0</v>
      </c>
      <c r="BA467" s="27" t="e">
        <f>AND(AA467&gt;$BA$3,(W467+$W$8)/$W$2&lt;$BB$3,(X467+$X$8)/$X$2&lt;$BB$3)</f>
        <v>#VALUE!</v>
      </c>
      <c r="BB467" s="27" t="e">
        <f>AND(AA467&lt;$BA$3,AND(W467/$W$2&gt;$BB$3,X467/$X$2&gt;$BB$3))</f>
        <v>#VALUE!</v>
      </c>
      <c r="BC467" s="27" t="e">
        <f>AND(AA467&lt;$BA$3,OR(W467/$W$2&gt;$BB$3,X467/$X$2&gt;$BB$3))</f>
        <v>#VALUE!</v>
      </c>
      <c r="BE467" s="32" t="s">
        <v>84</v>
      </c>
    </row>
    <row r="468" spans="1:57" s="27" customFormat="1" ht="12.75" customHeight="1" x14ac:dyDescent="0.2">
      <c r="A468" s="10">
        <v>896543</v>
      </c>
      <c r="B468" s="2">
        <v>3</v>
      </c>
      <c r="C468" s="10">
        <v>20</v>
      </c>
      <c r="D468" s="10">
        <v>23</v>
      </c>
      <c r="E468" s="10"/>
      <c r="F468" s="10"/>
      <c r="G468" s="10"/>
      <c r="H468" s="10"/>
      <c r="I468" s="10"/>
      <c r="J468" s="2">
        <v>23</v>
      </c>
      <c r="K468" s="10">
        <v>45</v>
      </c>
      <c r="L468" s="10">
        <v>49</v>
      </c>
      <c r="M468" s="10"/>
      <c r="N468" s="93"/>
      <c r="O468" s="13"/>
      <c r="P468" s="10">
        <v>98</v>
      </c>
      <c r="Q468" s="10"/>
      <c r="R468" s="2"/>
      <c r="S468" s="10"/>
      <c r="T468" s="13"/>
      <c r="U468" s="7">
        <f t="array" ref="U468">IF(AND(A468&lt;&gt;"",OR(ISNUMBER(B468:I468))),SUM(B468:I468),"")</f>
        <v>46</v>
      </c>
      <c r="V468" s="10">
        <f t="array" ref="V468">IF(AND(A468&lt;&gt;"",OR(ISNUMBER(J468:O468))),SUM(J468:O468),"")</f>
        <v>117</v>
      </c>
      <c r="W468" s="10">
        <f t="array" ref="W468">IF(AND(A468&lt;&gt;"",OR(ISNUMBER(P468),ISNUMBER(Q468))),SUM(MAX(P468:Q468),Q468),"")</f>
        <v>98</v>
      </c>
      <c r="X468" s="10" t="str">
        <f t="array" ref="X468">IF(AND(A468&lt;&gt;"",OR(ISNUMBER(S468),ISNUMBER(T468))),SUM(S468,T468),"")</f>
        <v/>
      </c>
      <c r="Y468" s="13">
        <v>1</v>
      </c>
      <c r="Z468" s="13">
        <f>IF(A468&lt;&gt;"",SUM(U468:Y468),"")</f>
        <v>262</v>
      </c>
      <c r="AA468" s="27">
        <f>IF(A468&lt;&gt;"",(Z468+Normalize_To_Add)/(Point_Total_So_Far)*100,"")</f>
        <v>85.901639344262293</v>
      </c>
      <c r="AB468" s="10">
        <f>IF(A468&lt;&gt;"",RANK(AA468,All_Student_XC),"")</f>
        <v>370</v>
      </c>
      <c r="AC468" s="32" t="str">
        <f>IF(A468&lt;&gt;"",CHOOSE(10-MIN(9,TRUNC((AA468+0.5)/10)),"A","B","C","D","F","F","F","F","F","F"),"")</f>
        <v>B</v>
      </c>
      <c r="AD468" s="31" t="str">
        <f>IF(A468&lt;&gt;"",IF(OR(AA468+0.5&gt;=93,AA468+0.5&lt;60),"",IF(MOD(AA468+0.5,10)&gt;=7,"+",IF(MOD(AA468+0.5,10)&lt;3,"-",""))),"")</f>
        <v/>
      </c>
      <c r="AE468" s="32">
        <f>IF(A468&lt;&gt;"",SUM(W468:X468,$W$8:$X$8)/SUM($W$2:$X$2)*100,"")</f>
        <v>98</v>
      </c>
      <c r="AF468" s="32" t="str">
        <f>IF(A468&lt;&gt;"",CHOOSE(10-MIN(9,TRUNC((AE468+0.5)/10)),"A","B","C","D","F","F","F","F","F","F"),"")</f>
        <v>A</v>
      </c>
      <c r="AG468" s="32" t="str">
        <f>IF(A468&lt;&gt;"",IF(OR(AE468+0.5&gt;=93,AE468+0.5&lt;60),"",IF(MOD(AE468+0.5,10)&gt;=7,"+",IF(MOD(AE468+0.5,10)&lt;3,"-",""))),"")</f>
        <v/>
      </c>
      <c r="AH468" s="36">
        <f>IF(A468&lt;&gt;"",MIN(MAX(AA468,AE468),AA468+$AH$8,AE468+$AH$8),"")</f>
        <v>98</v>
      </c>
      <c r="AI468" s="32" t="str">
        <f>IF(A468&lt;&gt;"",CHOOSE(10-MIN(9,TRUNC((AH468+0.5)/10)),"A","B","C","D","F","F","F","F","F","F"),"")</f>
        <v>A</v>
      </c>
      <c r="AJ468" s="32" t="str">
        <f>IF(A468&lt;&gt;"",IF(OR(AH468+0.5&gt;=93,AH468+0.5&lt;60),"",IF(MOD(AH468+0.5,10)&gt;=7,"+",IF(MOD(AH468+0.5,10)&lt;3,"-",""))),"")</f>
        <v/>
      </c>
      <c r="AK468" s="71" t="b">
        <f>IF(A468&lt;&gt;"",OR(AI468&lt;&gt;AC468,AJ468&lt;&gt;AD468),"")</f>
        <v>1</v>
      </c>
      <c r="AL468" s="86">
        <f>IF(AND(A468&lt;&gt;"",U468&lt;&gt;""),SUM(U468,$AL$8)/$AL$2*100,"")</f>
        <v>61.333333333333329</v>
      </c>
      <c r="AM468" s="71">
        <f>IF(AND(A468&lt;&gt;"",V468&lt;&gt;""),SUM(V468,$AM$8)/$AM$2*100,"")</f>
        <v>90</v>
      </c>
      <c r="AN468" s="71">
        <f>IF(AND(A468&lt;&gt;"",ISNUMBER(P468),P468&gt;=0),SUM(P468,$AN$8)/$AN$2*100,"")</f>
        <v>98</v>
      </c>
      <c r="AO468" s="71" t="str">
        <f>IF(AND(A468&lt;&gt;"",ISNUMBER(Q468),Q468&gt;=0),SUM(Q468,$AO$8)/$AO$2*100,"")</f>
        <v/>
      </c>
      <c r="AP468" s="24" t="str">
        <f>IF(AND(A468&lt;&gt;"",R468&lt;&gt;""),SUM(R468,$AP$8)/$AP$2*100,"")</f>
        <v/>
      </c>
      <c r="AQ468" s="24">
        <f>IF(AND(A468&lt;&gt;"",ISNUMBER(W468),W468&gt;=0),SUM(W468,$AQ$8)/$AQ$2*100,"")</f>
        <v>98</v>
      </c>
      <c r="AR468" s="24" t="str">
        <f>IF(AND(A468&lt;&gt;"",T468&gt;0,ISNUMBER(T468)),SUM(T468,$AR$8)/$AR$2*100,"")</f>
        <v/>
      </c>
      <c r="AS468" s="24" t="str">
        <f>IF(AND(A468&lt;&gt;"",X468&lt;&gt;""),SUM(X468,$AS$8)/$AS$2*100,"")</f>
        <v/>
      </c>
      <c r="AT468" s="89">
        <f>IF(AND(A468&lt;&gt;"",OR(ISNUMBER(W468),ISNUMBER(X468))),SUM(W468:X468,$AT$8)/$AT$2*100,"")</f>
        <v>98</v>
      </c>
      <c r="AU468" s="24">
        <f>AA468</f>
        <v>85.901639344262293</v>
      </c>
      <c r="AV468" s="71"/>
      <c r="AW468" s="27">
        <f>IF(A468&lt;&gt;"",AE468-AA468,"")</f>
        <v>12.098360655737707</v>
      </c>
      <c r="AY468" s="27" t="b">
        <f>S468&gt;R468</f>
        <v>0</v>
      </c>
      <c r="BA468" s="27" t="e">
        <f>AND(AA468&gt;$BA$3,(W468+$W$8)/$W$2&lt;$BB$3,(X468+$X$8)/$X$2&lt;$BB$3)</f>
        <v>#VALUE!</v>
      </c>
      <c r="BB468" s="27" t="e">
        <f>AND(AA468&lt;$BA$3,AND(W468/$W$2&gt;$BB$3,X468/$X$2&gt;$BB$3))</f>
        <v>#VALUE!</v>
      </c>
      <c r="BC468" s="27" t="e">
        <f>AND(AA468&lt;$BA$3,OR(W468/$W$2&gt;$BB$3,X468/$X$2&gt;$BB$3))</f>
        <v>#VALUE!</v>
      </c>
      <c r="BE468" s="32" t="s">
        <v>84</v>
      </c>
    </row>
    <row r="469" spans="1:57" s="27" customFormat="1" ht="12.75" customHeight="1" x14ac:dyDescent="0.2">
      <c r="A469">
        <v>896698</v>
      </c>
      <c r="B469" s="2">
        <v>2</v>
      </c>
      <c r="C469" s="10">
        <v>13</v>
      </c>
      <c r="D469" s="10">
        <v>18</v>
      </c>
      <c r="E469" s="10"/>
      <c r="F469" s="10"/>
      <c r="G469" s="3"/>
      <c r="H469" s="10"/>
      <c r="I469" s="10"/>
      <c r="J469" s="2">
        <v>8</v>
      </c>
      <c r="K469" s="10" t="s">
        <v>67</v>
      </c>
      <c r="L469" s="10">
        <v>30</v>
      </c>
      <c r="M469" s="10"/>
      <c r="N469" s="93"/>
      <c r="O469" s="12"/>
      <c r="P469" s="10">
        <v>101</v>
      </c>
      <c r="Q469" s="41"/>
      <c r="R469" s="2"/>
      <c r="S469" s="10"/>
      <c r="T469" s="13"/>
      <c r="U469" s="7">
        <f t="array" ref="U469">IF(AND(A469&lt;&gt;"",OR(ISNUMBER(B469:I469))),SUM(B469:I469),"")</f>
        <v>33</v>
      </c>
      <c r="V469" s="10">
        <f t="array" ref="V469">IF(AND(A469&lt;&gt;"",OR(ISNUMBER(J469:O469))),SUM(J469:O469),"")</f>
        <v>38</v>
      </c>
      <c r="W469" s="10">
        <f t="array" ref="W469">IF(AND(A469&lt;&gt;"",OR(ISNUMBER(P469),ISNUMBER(Q469))),SUM(MAX(P469:Q469),Q469),"")</f>
        <v>101</v>
      </c>
      <c r="X469" s="10" t="str">
        <f t="array" ref="X469">IF(AND(A469&lt;&gt;"",OR(ISNUMBER(S469),ISNUMBER(T469))),SUM(S469,T469),"")</f>
        <v/>
      </c>
      <c r="Y469" s="13">
        <v>1</v>
      </c>
      <c r="Z469" s="13">
        <f>IF(A469&lt;&gt;"",SUM(U469:Y469),"")</f>
        <v>173</v>
      </c>
      <c r="AA469" s="27">
        <f>IF(A469&lt;&gt;"",(Z469+Normalize_To_Add)/(Point_Total_So_Far)*100,"")</f>
        <v>56.721311475409841</v>
      </c>
      <c r="AB469" s="10">
        <f>IF(A469&lt;&gt;"",RANK(AA469,All_Student_XC),"")</f>
        <v>485</v>
      </c>
      <c r="AC469" s="32" t="str">
        <f>IF(A469&lt;&gt;"",CHOOSE(10-MIN(9,TRUNC((AA469+0.5)/10)),"A","B","C","D","F","F","F","F","F","F"),"")</f>
        <v>F</v>
      </c>
      <c r="AD469" s="32" t="str">
        <f>IF(A469&lt;&gt;"",IF(OR(AA469+0.5&gt;=93,AA469+0.5&lt;60),"",IF(MOD(AA469+0.5,10)&gt;=7,"+",IF(MOD(AA469+0.5,10)&lt;3,"-",""))),"")</f>
        <v/>
      </c>
      <c r="AE469" s="32">
        <f>IF(A469&lt;&gt;"",SUM(W469:X469,$W$8:$X$8)/SUM($W$2:$X$2)*100,"")</f>
        <v>101</v>
      </c>
      <c r="AF469" s="32" t="str">
        <f>IF(A469&lt;&gt;"",CHOOSE(10-MIN(9,TRUNC((AE469+0.5)/10)),"A","B","C","D","F","F","F","F","F","F"),"")</f>
        <v>A</v>
      </c>
      <c r="AG469" s="32" t="str">
        <f>IF(A469&lt;&gt;"",IF(OR(AE469+0.5&gt;=93,AE469+0.5&lt;60),"",IF(MOD(AE469+0.5,10)&gt;=7,"+",IF(MOD(AE469+0.5,10)&lt;3,"-",""))),"")</f>
        <v/>
      </c>
      <c r="AH469" s="36">
        <f>IF(A469&lt;&gt;"",MIN(MAX(AA469,AE469),AA469+$AH$8,AE469+$AH$8),"")</f>
        <v>101</v>
      </c>
      <c r="AI469" s="32" t="str">
        <f>IF(A469&lt;&gt;"",CHOOSE(10-MIN(9,TRUNC((AH469+0.5)/10)),"A","B","C","D","F","F","F","F","F","F"),"")</f>
        <v>A</v>
      </c>
      <c r="AJ469" s="32" t="str">
        <f>IF(A469&lt;&gt;"",IF(OR(AH469+0.5&gt;=93,AH469+0.5&lt;60),"",IF(MOD(AH469+0.5,10)&gt;=7,"+",IF(MOD(AH469+0.5,10)&lt;3,"-",""))),"")</f>
        <v/>
      </c>
      <c r="AK469" s="32" t="b">
        <f>IF(A469&lt;&gt;"",OR(AI469&lt;&gt;AC469,AJ469&lt;&gt;AD469),"")</f>
        <v>1</v>
      </c>
      <c r="AL469" s="84">
        <f>IF(AND(A469&lt;&gt;"",U469&lt;&gt;""),SUM(U469,$AL$8)/$AL$2*100,"")</f>
        <v>44</v>
      </c>
      <c r="AM469" s="24">
        <f>IF(AND(A469&lt;&gt;"",V469&lt;&gt;""),SUM(V469,$AM$8)/$AM$2*100,"")</f>
        <v>29.230769230769234</v>
      </c>
      <c r="AN469" s="24">
        <f>IF(AND(A469&lt;&gt;"",ISNUMBER(P469),P469&gt;=0),SUM(P469,$AN$8)/$AN$2*100,"")</f>
        <v>101</v>
      </c>
      <c r="AO469" s="24" t="str">
        <f>IF(AND(A469&lt;&gt;"",ISNUMBER(Q469),Q469&gt;=0),SUM(Q469,$AO$8)/$AO$2*100,"")</f>
        <v/>
      </c>
      <c r="AP469" s="24" t="str">
        <f>IF(AND(A469&lt;&gt;"",R469&lt;&gt;""),SUM(R469,$AP$8)/$AP$2*100,"")</f>
        <v/>
      </c>
      <c r="AQ469" s="24">
        <f>IF(AND(A469&lt;&gt;"",ISNUMBER(W469),W469&gt;=0),SUM(W469,$AQ$8)/$AQ$2*100,"")</f>
        <v>101</v>
      </c>
      <c r="AR469" s="24" t="str">
        <f>IF(AND(A469&lt;&gt;"",T469&gt;0,ISNUMBER(T469)),SUM(T469,$AR$8)/$AR$2*100,"")</f>
        <v/>
      </c>
      <c r="AS469" s="24" t="str">
        <f>IF(AND(A469&lt;&gt;"",X469&lt;&gt;""),SUM(X469,$AS$8)/$AS$2*100,"")</f>
        <v/>
      </c>
      <c r="AT469" s="89">
        <f>IF(AND(A469&lt;&gt;"",OR(ISNUMBER(W469),ISNUMBER(X469))),SUM(W469:X469,$AT$8)/$AT$2*100,"")</f>
        <v>101</v>
      </c>
      <c r="AU469" s="24">
        <f>AA469</f>
        <v>56.721311475409841</v>
      </c>
      <c r="AV469" s="24"/>
      <c r="AW469" s="27">
        <f>IF(A469&lt;&gt;"",AE469-AA469,"")</f>
        <v>44.278688524590159</v>
      </c>
      <c r="AY469" s="27" t="b">
        <f>S469&gt;R469</f>
        <v>0</v>
      </c>
      <c r="BA469" s="27" t="e">
        <f>AND(AA469&gt;$BA$3,(W469+$W$8)/$W$2&lt;$BB$3,(X469+$X$8)/$X$2&lt;$BB$3)</f>
        <v>#VALUE!</v>
      </c>
      <c r="BB469" s="27" t="e">
        <f>AND(AA469&lt;$BA$3,AND(W469/$W$2&gt;$BB$3,X469/$X$2&gt;$BB$3))</f>
        <v>#VALUE!</v>
      </c>
      <c r="BC469" s="27" t="e">
        <f>AND(AA469&lt;$BA$3,OR(W469/$W$2&gt;$BB$3,X469/$X$2&gt;$BB$3))</f>
        <v>#VALUE!</v>
      </c>
      <c r="BE469" s="32" t="s">
        <v>85</v>
      </c>
    </row>
    <row r="470" spans="1:57" s="27" customFormat="1" ht="12.75" customHeight="1" x14ac:dyDescent="0.2">
      <c r="A470" s="10">
        <v>896794</v>
      </c>
      <c r="B470" s="2">
        <v>22</v>
      </c>
      <c r="C470" s="10">
        <v>20</v>
      </c>
      <c r="D470" s="10">
        <v>22</v>
      </c>
      <c r="E470" s="10"/>
      <c r="F470" s="10"/>
      <c r="G470" s="10"/>
      <c r="H470" s="10"/>
      <c r="I470" s="10"/>
      <c r="J470" s="2">
        <v>32</v>
      </c>
      <c r="K470" s="10">
        <v>48</v>
      </c>
      <c r="L470" s="10">
        <v>49</v>
      </c>
      <c r="M470" s="10"/>
      <c r="N470" s="93"/>
      <c r="O470" s="13"/>
      <c r="P470" s="10">
        <v>60</v>
      </c>
      <c r="Q470" s="10"/>
      <c r="R470" s="2"/>
      <c r="S470" s="10"/>
      <c r="T470" s="13"/>
      <c r="U470" s="7">
        <f t="array" ref="U470">IF(AND(A470&lt;&gt;"",OR(ISNUMBER(B470:I470))),SUM(B470:I470),"")</f>
        <v>64</v>
      </c>
      <c r="V470" s="10">
        <f t="array" ref="V470">IF(AND(A470&lt;&gt;"",OR(ISNUMBER(J470:O470))),SUM(J470:O470),"")</f>
        <v>129</v>
      </c>
      <c r="W470" s="10">
        <f t="array" ref="W470">IF(AND(A470&lt;&gt;"",OR(ISNUMBER(P470),ISNUMBER(Q470))),SUM(MAX(P470:Q470),Q470),"")</f>
        <v>60</v>
      </c>
      <c r="X470" s="10" t="str">
        <f t="array" ref="X470">IF(AND(A470&lt;&gt;"",OR(ISNUMBER(S470),ISNUMBER(T470))),SUM(S470,T470),"")</f>
        <v/>
      </c>
      <c r="Y470" s="13">
        <v>1</v>
      </c>
      <c r="Z470" s="13">
        <f>IF(A470&lt;&gt;"",SUM(U470:Y470),"")</f>
        <v>254</v>
      </c>
      <c r="AA470" s="27">
        <f>IF(A470&lt;&gt;"",(Z470+Normalize_To_Add)/(Point_Total_So_Far)*100,"")</f>
        <v>83.278688524590166</v>
      </c>
      <c r="AB470" s="10">
        <f>IF(A470&lt;&gt;"",RANK(AA470,All_Student_XC),"")</f>
        <v>389</v>
      </c>
      <c r="AC470" s="32" t="str">
        <f>IF(A470&lt;&gt;"",CHOOSE(10-MIN(9,TRUNC((AA470+0.5)/10)),"A","B","C","D","F","F","F","F","F","F"),"")</f>
        <v>B</v>
      </c>
      <c r="AD470" s="31" t="str">
        <f>IF(A470&lt;&gt;"",IF(OR(AA470+0.5&gt;=93,AA470+0.5&lt;60),"",IF(MOD(AA470+0.5,10)&gt;=7,"+",IF(MOD(AA470+0.5,10)&lt;3,"-",""))),"")</f>
        <v/>
      </c>
      <c r="AE470" s="32">
        <f>IF(A470&lt;&gt;"",SUM(W470:X470,$W$8:$X$8)/SUM($W$2:$X$2)*100,"")</f>
        <v>60</v>
      </c>
      <c r="AF470" s="32" t="str">
        <f>IF(A470&lt;&gt;"",CHOOSE(10-MIN(9,TRUNC((AE470+0.5)/10)),"A","B","C","D","F","F","F","F","F","F"),"")</f>
        <v>D</v>
      </c>
      <c r="AG470" s="32" t="str">
        <f>IF(A470&lt;&gt;"",IF(OR(AE470+0.5&gt;=93,AE470+0.5&lt;60),"",IF(MOD(AE470+0.5,10)&gt;=7,"+",IF(MOD(AE470+0.5,10)&lt;3,"-",""))),"")</f>
        <v>-</v>
      </c>
      <c r="AH470" s="36">
        <f>IF(A470&lt;&gt;"",MIN(MAX(AA470,AE470),AA470+$AH$8,AE470+$AH$8),"")</f>
        <v>83.278688524590166</v>
      </c>
      <c r="AI470" s="32" t="str">
        <f>IF(A470&lt;&gt;"",CHOOSE(10-MIN(9,TRUNC((AH470+0.5)/10)),"A","B","C","D","F","F","F","F","F","F"),"")</f>
        <v>B</v>
      </c>
      <c r="AJ470" s="32" t="str">
        <f>IF(A470&lt;&gt;"",IF(OR(AH470+0.5&gt;=93,AH470+0.5&lt;60),"",IF(MOD(AH470+0.5,10)&gt;=7,"+",IF(MOD(AH470+0.5,10)&lt;3,"-",""))),"")</f>
        <v/>
      </c>
      <c r="AK470" s="71" t="b">
        <f>IF(A470&lt;&gt;"",OR(AI470&lt;&gt;AC470,AJ470&lt;&gt;AD470),"")</f>
        <v>0</v>
      </c>
      <c r="AL470" s="86">
        <f>IF(AND(A470&lt;&gt;"",U470&lt;&gt;""),SUM(U470,$AL$8)/$AL$2*100,"")</f>
        <v>85.333333333333343</v>
      </c>
      <c r="AM470" s="71">
        <f>IF(AND(A470&lt;&gt;"",V470&lt;&gt;""),SUM(V470,$AM$8)/$AM$2*100,"")</f>
        <v>99.230769230769226</v>
      </c>
      <c r="AN470" s="71">
        <f>IF(AND(A470&lt;&gt;"",ISNUMBER(P470),P470&gt;=0),SUM(P470,$AN$8)/$AN$2*100,"")</f>
        <v>60</v>
      </c>
      <c r="AO470" s="71" t="str">
        <f>IF(AND(A470&lt;&gt;"",ISNUMBER(Q470),Q470&gt;=0),SUM(Q470,$AO$8)/$AO$2*100,"")</f>
        <v/>
      </c>
      <c r="AP470" s="24" t="str">
        <f>IF(AND(A470&lt;&gt;"",R470&lt;&gt;""),SUM(R470,$AP$8)/$AP$2*100,"")</f>
        <v/>
      </c>
      <c r="AQ470" s="24">
        <f>IF(AND(A470&lt;&gt;"",ISNUMBER(W470),W470&gt;=0),SUM(W470,$AQ$8)/$AQ$2*100,"")</f>
        <v>60</v>
      </c>
      <c r="AR470" s="24" t="str">
        <f>IF(AND(A470&lt;&gt;"",T470&gt;0,ISNUMBER(T470)),SUM(T470,$AR$8)/$AR$2*100,"")</f>
        <v/>
      </c>
      <c r="AS470" s="24" t="str">
        <f>IF(AND(A470&lt;&gt;"",X470&lt;&gt;""),SUM(X470,$AS$8)/$AS$2*100,"")</f>
        <v/>
      </c>
      <c r="AT470" s="89">
        <f>IF(AND(A470&lt;&gt;"",OR(ISNUMBER(W470),ISNUMBER(X470))),SUM(W470:X470,$AT$8)/$AT$2*100,"")</f>
        <v>60</v>
      </c>
      <c r="AU470" s="24">
        <f>AA470</f>
        <v>83.278688524590166</v>
      </c>
      <c r="AV470" s="71"/>
      <c r="AW470" s="27">
        <f>IF(A470&lt;&gt;"",AE470-AA470,"")</f>
        <v>-23.278688524590166</v>
      </c>
      <c r="AY470" s="27" t="b">
        <f>S470&gt;R470</f>
        <v>0</v>
      </c>
      <c r="BA470" s="27" t="e">
        <f>AND(AA470&gt;$BA$3,(W470+$W$8)/$W$2&lt;$BB$3,(X470+$X$8)/$X$2&lt;$BB$3)</f>
        <v>#VALUE!</v>
      </c>
      <c r="BB470" s="27" t="e">
        <f>AND(AA470&lt;$BA$3,AND(W470/$W$2&gt;$BB$3,X470/$X$2&gt;$BB$3))</f>
        <v>#VALUE!</v>
      </c>
      <c r="BC470" s="27" t="e">
        <f>AND(AA470&lt;$BA$3,OR(W470/$W$2&gt;$BB$3,X470/$X$2&gt;$BB$3))</f>
        <v>#VALUE!</v>
      </c>
      <c r="BE470" s="32" t="s">
        <v>85</v>
      </c>
    </row>
    <row r="471" spans="1:57" s="27" customFormat="1" ht="12.75" customHeight="1" x14ac:dyDescent="0.2">
      <c r="A471" s="10">
        <v>899538</v>
      </c>
      <c r="B471" s="2">
        <v>23</v>
      </c>
      <c r="C471" s="10">
        <v>24</v>
      </c>
      <c r="D471" s="10">
        <v>25</v>
      </c>
      <c r="E471" s="10"/>
      <c r="F471" s="10"/>
      <c r="G471" s="3"/>
      <c r="H471" s="10"/>
      <c r="I471" s="10"/>
      <c r="J471" s="2">
        <v>28</v>
      </c>
      <c r="K471" s="10">
        <v>52</v>
      </c>
      <c r="L471" s="10">
        <v>52</v>
      </c>
      <c r="M471" s="10"/>
      <c r="N471" s="93"/>
      <c r="O471" s="12"/>
      <c r="P471" s="10">
        <v>100</v>
      </c>
      <c r="Q471" s="41"/>
      <c r="R471" s="2"/>
      <c r="S471" s="10"/>
      <c r="T471" s="13"/>
      <c r="U471" s="7">
        <f t="array" ref="U471">IF(AND(A471&lt;&gt;"",OR(ISNUMBER(B471:I471))),SUM(B471:I471),"")</f>
        <v>72</v>
      </c>
      <c r="V471" s="10">
        <f t="array" ref="V471">IF(AND(A471&lt;&gt;"",OR(ISNUMBER(J471:O471))),SUM(J471:O471),"")</f>
        <v>132</v>
      </c>
      <c r="W471" s="10">
        <f t="array" ref="W471">IF(AND(A471&lt;&gt;"",OR(ISNUMBER(P471),ISNUMBER(Q471))),SUM(MAX(P471:Q471),Q471),"")</f>
        <v>100</v>
      </c>
      <c r="X471" s="10" t="str">
        <f t="array" ref="X471">IF(AND(A471&lt;&gt;"",OR(ISNUMBER(S471),ISNUMBER(T471))),SUM(S471,T471),"")</f>
        <v/>
      </c>
      <c r="Y471" s="13">
        <v>1</v>
      </c>
      <c r="Z471" s="13">
        <f>IF(A471&lt;&gt;"",SUM(U471:Y471),"")</f>
        <v>305</v>
      </c>
      <c r="AA471" s="27">
        <f>IF(A471&lt;&gt;"",(Z471+Normalize_To_Add)/(Point_Total_So_Far)*100,"")</f>
        <v>100</v>
      </c>
      <c r="AB471" s="10">
        <f>IF(A471&lt;&gt;"",RANK(AA471,All_Student_XC),"")</f>
        <v>109</v>
      </c>
      <c r="AC471" s="32" t="str">
        <f>IF(A471&lt;&gt;"",CHOOSE(10-MIN(9,TRUNC((AA471+0.5)/10)),"A","B","C","D","F","F","F","F","F","F"),"")</f>
        <v>A</v>
      </c>
      <c r="AD471" s="32" t="str">
        <f>IF(A471&lt;&gt;"",IF(OR(AA471+0.5&gt;=93,AA471+0.5&lt;60),"",IF(MOD(AA471+0.5,10)&gt;=7,"+",IF(MOD(AA471+0.5,10)&lt;3,"-",""))),"")</f>
        <v/>
      </c>
      <c r="AE471" s="32">
        <f>IF(A471&lt;&gt;"",SUM(W471:X471,$W$8:$X$8)/SUM($W$2:$X$2)*100,"")</f>
        <v>100</v>
      </c>
      <c r="AF471" s="44" t="str">
        <f>IF(A471&lt;&gt;"",CHOOSE(10-MIN(9,TRUNC((AE471+0.5)/10)),"A","B","C","D","F","F","F","F","F","F"),"")</f>
        <v>A</v>
      </c>
      <c r="AG471" s="44" t="str">
        <f>IF(A471&lt;&gt;"",IF(OR(AE471+0.5&gt;=93,AE471+0.5&lt;60),"",IF(MOD(AE471+0.5,10)&gt;=7,"+",IF(MOD(AE471+0.5,10)&lt;3,"-",""))),"")</f>
        <v/>
      </c>
      <c r="AH471" s="36">
        <f>IF(A471&lt;&gt;"",MIN(MAX(AA471,AE471),AA471+$AH$8,AE471+$AH$8),"")</f>
        <v>100</v>
      </c>
      <c r="AI471" s="32" t="str">
        <f>IF(A471&lt;&gt;"",CHOOSE(10-MIN(9,TRUNC((AH471+0.5)/10)),"A","B","C","D","F","F","F","F","F","F"),"")</f>
        <v>A</v>
      </c>
      <c r="AJ471" s="32" t="str">
        <f>IF(A471&lt;&gt;"",IF(OR(AH471+0.5&gt;=93,AH471+0.5&lt;60),"",IF(MOD(AH471+0.5,10)&gt;=7,"+",IF(MOD(AH471+0.5,10)&lt;3,"-",""))),"")</f>
        <v/>
      </c>
      <c r="AK471" s="32" t="b">
        <f>IF(A471&lt;&gt;"",OR(AI471&lt;&gt;AC471,AJ471&lt;&gt;AD471),"")</f>
        <v>0</v>
      </c>
      <c r="AL471" s="84">
        <f>IF(AND(A471&lt;&gt;"",U471&lt;&gt;""),SUM(U471,$AL$8)/$AL$2*100,"")</f>
        <v>96</v>
      </c>
      <c r="AM471" s="24">
        <f>IF(AND(A471&lt;&gt;"",V471&lt;&gt;""),SUM(V471,$AM$8)/$AM$2*100,"")</f>
        <v>101.53846153846153</v>
      </c>
      <c r="AN471" s="24">
        <f>IF(AND(A471&lt;&gt;"",ISNUMBER(P471),P471&gt;=0),SUM(P471,$AN$8)/$AN$2*100,"")</f>
        <v>100</v>
      </c>
      <c r="AO471" s="24" t="str">
        <f>IF(AND(A471&lt;&gt;"",ISNUMBER(Q471),Q471&gt;=0),SUM(Q471,$AO$8)/$AO$2*100,"")</f>
        <v/>
      </c>
      <c r="AP471" s="24" t="str">
        <f>IF(AND(A471&lt;&gt;"",R471&lt;&gt;""),SUM(R471,$AP$8)/$AP$2*100,"")</f>
        <v/>
      </c>
      <c r="AQ471" s="24">
        <f>IF(AND(A471&lt;&gt;"",ISNUMBER(W471),W471&gt;=0),SUM(W471,$AQ$8)/$AQ$2*100,"")</f>
        <v>100</v>
      </c>
      <c r="AR471" s="24" t="str">
        <f>IF(AND(A471&lt;&gt;"",T471&gt;0,ISNUMBER(T471)),SUM(T471,$AR$8)/$AR$2*100,"")</f>
        <v/>
      </c>
      <c r="AS471" s="24" t="str">
        <f>IF(AND(A471&lt;&gt;"",X471&lt;&gt;""),SUM(X471,$AS$8)/$AS$2*100,"")</f>
        <v/>
      </c>
      <c r="AT471" s="89">
        <f>IF(AND(A471&lt;&gt;"",OR(ISNUMBER(W471),ISNUMBER(X471))),SUM(W471:X471,$AT$8)/$AT$2*100,"")</f>
        <v>100</v>
      </c>
      <c r="AU471" s="24">
        <f>AA471</f>
        <v>100</v>
      </c>
      <c r="AV471" s="24"/>
      <c r="AW471" s="27">
        <f>IF(A471&lt;&gt;"",AE471-AA471,"")</f>
        <v>0</v>
      </c>
      <c r="AY471" s="27" t="b">
        <f>S471&gt;R471</f>
        <v>0</v>
      </c>
      <c r="BA471" s="27" t="e">
        <f>AND(AA471&gt;$BA$3,(W471+$W$8)/$W$2&lt;$BB$3,(X471+$X$8)/$X$2&lt;$BB$3)</f>
        <v>#VALUE!</v>
      </c>
      <c r="BB471" s="27" t="e">
        <f>AND(AA471&lt;$BA$3,AND(W471/$W$2&gt;$BB$3,X471/$X$2&gt;$BB$3))</f>
        <v>#VALUE!</v>
      </c>
      <c r="BC471" s="27" t="e">
        <f>AND(AA471&lt;$BA$3,OR(W471/$W$2&gt;$BB$3,X471/$X$2&gt;$BB$3))</f>
        <v>#VALUE!</v>
      </c>
      <c r="BE471" s="32" t="s">
        <v>84</v>
      </c>
    </row>
    <row r="472" spans="1:57" s="27" customFormat="1" ht="12.75" customHeight="1" x14ac:dyDescent="0.2">
      <c r="A472" s="10">
        <v>901942</v>
      </c>
      <c r="B472" s="2">
        <v>3</v>
      </c>
      <c r="C472" s="10" t="s">
        <v>67</v>
      </c>
      <c r="D472" s="10" t="s">
        <v>67</v>
      </c>
      <c r="E472" s="10"/>
      <c r="F472" s="10"/>
      <c r="G472" s="10"/>
      <c r="H472" s="10"/>
      <c r="I472" s="10"/>
      <c r="J472" s="2" t="s">
        <v>67</v>
      </c>
      <c r="K472" s="10">
        <v>16</v>
      </c>
      <c r="L472" s="10" t="s">
        <v>67</v>
      </c>
      <c r="M472" s="10"/>
      <c r="N472" s="10"/>
      <c r="O472" s="12"/>
      <c r="P472" s="7" t="s">
        <v>67</v>
      </c>
      <c r="Q472" s="7"/>
      <c r="R472" s="2"/>
      <c r="S472" s="10"/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>IF(A472&lt;&gt;"",SUM(U472:Y472),"")</f>
        <v>19</v>
      </c>
      <c r="AA472" s="27">
        <f>IF(A472&lt;&gt;"",(Z472+Normalize_To_Add)/(Point_Total_So_Far)*100,"")</f>
        <v>6.2295081967213122</v>
      </c>
      <c r="AB472" s="10">
        <f>IF(A472&lt;&gt;"",RANK(AA472,All_Student_XC),"")</f>
        <v>515</v>
      </c>
      <c r="AC472" s="32" t="str">
        <f>IF(A472&lt;&gt;"",CHOOSE(10-MIN(9,TRUNC((AA472+0.5)/10)),"A","B","C","D","F","F","F","F","F","F"),"")</f>
        <v>F</v>
      </c>
      <c r="AD472" s="32" t="str">
        <f>IF(A472&lt;&gt;"",IF(OR(AA472+0.5&gt;=93,AA472+0.5&lt;60),"",IF(MOD(AA472+0.5,10)&gt;=7,"+",IF(MOD(AA472+0.5,10)&lt;3,"-",""))),"")</f>
        <v/>
      </c>
      <c r="AE472" s="32">
        <f>IF(A472&lt;&gt;"",SUM(W472:X472,$W$8:$X$8)/SUM($W$2:$X$2)*100,"")</f>
        <v>0</v>
      </c>
      <c r="AF472" s="32" t="str">
        <f>IF(A472&lt;&gt;"",CHOOSE(10-MIN(9,TRUNC((AE472+0.5)/10)),"A","B","C","D","F","F","F","F","F","F"),"")</f>
        <v>F</v>
      </c>
      <c r="AG472" s="32" t="str">
        <f>IF(A472&lt;&gt;"",IF(OR(AE472+0.5&gt;=93,AE472+0.5&lt;60),"",IF(MOD(AE472+0.5,10)&gt;=7,"+",IF(MOD(AE472+0.5,10)&lt;3,"-",""))),"")</f>
        <v/>
      </c>
      <c r="AH472" s="36">
        <f>IF(A472&lt;&gt;"",MIN(MAX(AA472,AE472),AA472+$AH$8,AE472+$AH$8),"")</f>
        <v>6.2295081967213122</v>
      </c>
      <c r="AI472" s="32" t="str">
        <f>IF(A472&lt;&gt;"",CHOOSE(10-MIN(9,TRUNC((AH472+0.5)/10)),"A","B","C","D","F","F","F","F","F","F"),"")</f>
        <v>F</v>
      </c>
      <c r="AJ472" s="32" t="str">
        <f>IF(A472&lt;&gt;"",IF(OR(AH472+0.5&gt;=93,AH472+0.5&lt;60),"",IF(MOD(AH472+0.5,10)&gt;=7,"+",IF(MOD(AH472+0.5,10)&lt;3,"-",""))),"")</f>
        <v/>
      </c>
      <c r="AK472" s="32" t="b">
        <f>IF(A472&lt;&gt;"",OR(AI472&lt;&gt;AC472,AJ472&lt;&gt;AD472),"")</f>
        <v>0</v>
      </c>
      <c r="AL472" s="84">
        <f>IF(AND(A472&lt;&gt;"",U472&lt;&gt;""),SUM(U472,$AL$8)/$AL$2*100,"")</f>
        <v>4</v>
      </c>
      <c r="AM472" s="24">
        <f>IF(AND(A472&lt;&gt;"",V472&lt;&gt;""),SUM(V472,$AM$8)/$AM$2*100,"")</f>
        <v>12.307692307692308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9" t="str">
        <f>IF(AND(A472&lt;&gt;"",OR(ISNUMBER(W472),ISNUMBER(X472))),SUM(W472:X472,$AT$8)/$AT$2*100,"")</f>
        <v/>
      </c>
      <c r="AU472" s="24">
        <f>AA472</f>
        <v>6.2295081967213122</v>
      </c>
      <c r="AV472" s="24"/>
      <c r="AW472" s="27">
        <f>IF(A472&lt;&gt;"",AE472-AA472,"")</f>
        <v>-6.2295081967213122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  <c r="BE472" s="32" t="s">
        <v>85</v>
      </c>
    </row>
    <row r="473" spans="1:57" s="27" customFormat="1" ht="12.75" customHeight="1" x14ac:dyDescent="0.2">
      <c r="A473" s="10">
        <v>903718</v>
      </c>
      <c r="B473" s="2">
        <v>23</v>
      </c>
      <c r="C473" s="10">
        <v>23</v>
      </c>
      <c r="D473" s="10">
        <v>25</v>
      </c>
      <c r="E473" s="10"/>
      <c r="F473" s="10"/>
      <c r="G473" s="10"/>
      <c r="H473" s="10"/>
      <c r="I473" s="10"/>
      <c r="J473" s="2">
        <v>32</v>
      </c>
      <c r="K473" s="10">
        <v>52</v>
      </c>
      <c r="L473" s="10">
        <v>52</v>
      </c>
      <c r="M473" s="10"/>
      <c r="N473" s="93"/>
      <c r="O473" s="13"/>
      <c r="P473" s="10">
        <v>101</v>
      </c>
      <c r="Q473" s="10"/>
      <c r="R473" s="2"/>
      <c r="S473" s="10"/>
      <c r="T473" s="13"/>
      <c r="U473" s="7">
        <f t="array" ref="U473">IF(AND(A473&lt;&gt;"",OR(ISNUMBER(B473:I473))),SUM(B473:I473),"")</f>
        <v>71</v>
      </c>
      <c r="V473" s="10">
        <f t="array" ref="V473">IF(AND(A473&lt;&gt;"",OR(ISNUMBER(J473:O473))),SUM(J473:O473),"")</f>
        <v>136</v>
      </c>
      <c r="W473" s="10">
        <f t="array" ref="W473">IF(AND(A473&lt;&gt;"",OR(ISNUMBER(P473),ISNUMBER(Q473))),SUM(MAX(P473:Q473),Q473),"")</f>
        <v>101</v>
      </c>
      <c r="X473" s="10" t="str">
        <f t="array" ref="X473">IF(AND(A473&lt;&gt;"",OR(ISNUMBER(S473),ISNUMBER(T473))),SUM(S473,T473),"")</f>
        <v/>
      </c>
      <c r="Y473" s="13">
        <v>1</v>
      </c>
      <c r="Z473" s="13">
        <f>IF(A473&lt;&gt;"",SUM(U473:Y473),"")</f>
        <v>309</v>
      </c>
      <c r="AA473" s="27">
        <f>IF(A473&lt;&gt;"",(Z473+Normalize_To_Add)/(Point_Total_So_Far)*100,"")</f>
        <v>101.31147540983608</v>
      </c>
      <c r="AB473" s="10">
        <f>IF(A473&lt;&gt;"",RANK(AA473,All_Student_XC),"")</f>
        <v>35</v>
      </c>
      <c r="AC473" s="32" t="str">
        <f>IF(A473&lt;&gt;"",CHOOSE(10-MIN(9,TRUNC((AA473+0.5)/10)),"A","B","C","D","F","F","F","F","F","F"),"")</f>
        <v>A</v>
      </c>
      <c r="AD473" s="31" t="str">
        <f>IF(A473&lt;&gt;"",IF(OR(AA473+0.5&gt;=93,AA473+0.5&lt;60),"",IF(MOD(AA473+0.5,10)&gt;=7,"+",IF(MOD(AA473+0.5,10)&lt;3,"-",""))),"")</f>
        <v/>
      </c>
      <c r="AE473" s="32">
        <f>IF(A473&lt;&gt;"",SUM(W473:X473,$W$8:$X$8)/SUM($W$2:$X$2)*100,"")</f>
        <v>101</v>
      </c>
      <c r="AF473" s="32" t="str">
        <f>IF(A473&lt;&gt;"",CHOOSE(10-MIN(9,TRUNC((AE473+0.5)/10)),"A","B","C","D","F","F","F","F","F","F"),"")</f>
        <v>A</v>
      </c>
      <c r="AG473" s="32" t="str">
        <f>IF(A473&lt;&gt;"",IF(OR(AE473+0.5&gt;=93,AE473+0.5&lt;60),"",IF(MOD(AE473+0.5,10)&gt;=7,"+",IF(MOD(AE473+0.5,10)&lt;3,"-",""))),"")</f>
        <v/>
      </c>
      <c r="AH473" s="36">
        <f>IF(A473&lt;&gt;"",MIN(MAX(AA473,AE473),AA473+$AH$8,AE473+$AH$8),"")</f>
        <v>101.31147540983608</v>
      </c>
      <c r="AI473" s="32" t="str">
        <f>IF(A473&lt;&gt;"",CHOOSE(10-MIN(9,TRUNC((AH473+0.5)/10)),"A","B","C","D","F","F","F","F","F","F"),"")</f>
        <v>A</v>
      </c>
      <c r="AJ473" s="32" t="str">
        <f>IF(A473&lt;&gt;"",IF(OR(AH473+0.5&gt;=93,AH473+0.5&lt;60),"",IF(MOD(AH473+0.5,10)&gt;=7,"+",IF(MOD(AH473+0.5,10)&lt;3,"-",""))),"")</f>
        <v/>
      </c>
      <c r="AK473" s="71" t="b">
        <f>IF(A473&lt;&gt;"",OR(AI473&lt;&gt;AC473,AJ473&lt;&gt;AD473),"")</f>
        <v>0</v>
      </c>
      <c r="AL473" s="86">
        <f>IF(AND(A473&lt;&gt;"",U473&lt;&gt;""),SUM(U473,$AL$8)/$AL$2*100,"")</f>
        <v>94.666666666666671</v>
      </c>
      <c r="AM473" s="71">
        <f>IF(AND(A473&lt;&gt;"",V473&lt;&gt;""),SUM(V473,$AM$8)/$AM$2*100,"")</f>
        <v>104.61538461538463</v>
      </c>
      <c r="AN473" s="71">
        <f>IF(AND(A473&lt;&gt;"",ISNUMBER(P473),P473&gt;=0),SUM(P473,$AN$8)/$AN$2*100,"")</f>
        <v>101</v>
      </c>
      <c r="AO473" s="71" t="str">
        <f>IF(AND(A473&lt;&gt;"",ISNUMBER(Q473),Q473&gt;=0),SUM(Q473,$AO$8)/$AO$2*100,"")</f>
        <v/>
      </c>
      <c r="AP473" s="24" t="str">
        <f>IF(AND(A473&lt;&gt;"",R473&lt;&gt;""),SUM(R473,$AP$8)/$AP$2*100,"")</f>
        <v/>
      </c>
      <c r="AQ473" s="24">
        <f>IF(AND(A473&lt;&gt;"",ISNUMBER(W473),W473&gt;=0),SUM(W473,$AQ$8)/$AQ$2*100,"")</f>
        <v>101</v>
      </c>
      <c r="AR473" s="24" t="str">
        <f>IF(AND(A473&lt;&gt;"",T473&gt;0,ISNUMBER(T473)),SUM(T473,$AR$8)/$AR$2*100,"")</f>
        <v/>
      </c>
      <c r="AS473" s="24" t="str">
        <f>IF(AND(A473&lt;&gt;"",X473&lt;&gt;""),SUM(X473,$AS$8)/$AS$2*100,"")</f>
        <v/>
      </c>
      <c r="AT473" s="89">
        <f>IF(AND(A473&lt;&gt;"",OR(ISNUMBER(W473),ISNUMBER(X473))),SUM(W473:X473,$AT$8)/$AT$2*100,"")</f>
        <v>101</v>
      </c>
      <c r="AU473" s="24">
        <f>AA473</f>
        <v>101.31147540983608</v>
      </c>
      <c r="AV473" s="71"/>
      <c r="AW473" s="27">
        <f>IF(A473&lt;&gt;"",AE473-AA473,"")</f>
        <v>-0.31147540983607769</v>
      </c>
      <c r="AY473" s="27" t="b">
        <f>S473&gt;R473</f>
        <v>0</v>
      </c>
      <c r="BA473" s="27" t="e">
        <f>AND(AA473&gt;$BA$3,(W473+$W$8)/$W$2&lt;$BB$3,(X473+$X$8)/$X$2&lt;$BB$3)</f>
        <v>#VALUE!</v>
      </c>
      <c r="BB473" s="27" t="e">
        <f>AND(AA473&lt;$BA$3,AND(W473/$W$2&gt;$BB$3,X473/$X$2&gt;$BB$3))</f>
        <v>#VALUE!</v>
      </c>
      <c r="BC473" s="27" t="e">
        <f>AND(AA473&lt;$BA$3,OR(W473/$W$2&gt;$BB$3,X473/$X$2&gt;$BB$3))</f>
        <v>#VALUE!</v>
      </c>
      <c r="BE473" s="32" t="s">
        <v>84</v>
      </c>
    </row>
    <row r="474" spans="1:57" s="27" customFormat="1" ht="12.75" customHeight="1" x14ac:dyDescent="0.2">
      <c r="A474" s="10">
        <v>905776</v>
      </c>
      <c r="B474" s="2">
        <v>22</v>
      </c>
      <c r="C474" s="10">
        <v>20</v>
      </c>
      <c r="D474" s="10">
        <v>20</v>
      </c>
      <c r="E474" s="10"/>
      <c r="F474" s="10"/>
      <c r="G474" s="10"/>
      <c r="H474" s="10"/>
      <c r="I474" s="10"/>
      <c r="J474" s="2">
        <v>31</v>
      </c>
      <c r="K474" s="10">
        <v>50</v>
      </c>
      <c r="L474" s="10">
        <v>40</v>
      </c>
      <c r="M474" s="10"/>
      <c r="N474" s="93"/>
      <c r="O474" s="13"/>
      <c r="P474" s="10">
        <v>60</v>
      </c>
      <c r="Q474" s="10"/>
      <c r="R474" s="2"/>
      <c r="S474" s="10"/>
      <c r="T474" s="13"/>
      <c r="U474" s="7">
        <f t="array" ref="U474">IF(AND(A474&lt;&gt;"",OR(ISNUMBER(B474:I474))),SUM(B474:I474),"")</f>
        <v>62</v>
      </c>
      <c r="V474" s="10">
        <f t="array" ref="V474">IF(AND(A474&lt;&gt;"",OR(ISNUMBER(J474:O474))),SUM(J474:O474),"")</f>
        <v>121</v>
      </c>
      <c r="W474" s="10">
        <f t="array" ref="W474">IF(AND(A474&lt;&gt;"",OR(ISNUMBER(P474),ISNUMBER(Q474))),SUM(MAX(P474:Q474),Q474),"")</f>
        <v>60</v>
      </c>
      <c r="X474" s="10" t="str">
        <f t="array" ref="X474">IF(AND(A474&lt;&gt;"",OR(ISNUMBER(S474),ISNUMBER(T474))),SUM(S474,T474),"")</f>
        <v/>
      </c>
      <c r="Y474" s="13">
        <v>1</v>
      </c>
      <c r="Z474" s="13">
        <f>IF(A474&lt;&gt;"",SUM(U474:Y474),"")</f>
        <v>244</v>
      </c>
      <c r="AA474" s="27">
        <f>IF(A474&lt;&gt;"",(Z474+Normalize_To_Add)/(Point_Total_So_Far)*100,"")</f>
        <v>80</v>
      </c>
      <c r="AB474" s="10">
        <f>IF(A474&lt;&gt;"",RANK(AA474,All_Student_XC),"")</f>
        <v>412</v>
      </c>
      <c r="AC474" s="32" t="str">
        <f>IF(A474&lt;&gt;"",CHOOSE(10-MIN(9,TRUNC((AA474+0.5)/10)),"A","B","C","D","F","F","F","F","F","F"),"")</f>
        <v>B</v>
      </c>
      <c r="AD474" s="31" t="str">
        <f>IF(A474&lt;&gt;"",IF(OR(AA474+0.5&gt;=93,AA474+0.5&lt;60),"",IF(MOD(AA474+0.5,10)&gt;=7,"+",IF(MOD(AA474+0.5,10)&lt;3,"-",""))),"")</f>
        <v>-</v>
      </c>
      <c r="AE474" s="32">
        <f>IF(A474&lt;&gt;"",SUM(W474:X474,$W$8:$X$8)/SUM($W$2:$X$2)*100,"")</f>
        <v>60</v>
      </c>
      <c r="AF474" s="32" t="str">
        <f>IF(A474&lt;&gt;"",CHOOSE(10-MIN(9,TRUNC((AE474+0.5)/10)),"A","B","C","D","F","F","F","F","F","F"),"")</f>
        <v>D</v>
      </c>
      <c r="AG474" s="32" t="str">
        <f>IF(A474&lt;&gt;"",IF(OR(AE474+0.5&gt;=93,AE474+0.5&lt;60),"",IF(MOD(AE474+0.5,10)&gt;=7,"+",IF(MOD(AE474+0.5,10)&lt;3,"-",""))),"")</f>
        <v>-</v>
      </c>
      <c r="AH474" s="36">
        <f>IF(A474&lt;&gt;"",MIN(MAX(AA474,AE474),AA474+$AH$8,AE474+$AH$8),"")</f>
        <v>80</v>
      </c>
      <c r="AI474" s="32" t="str">
        <f>IF(A474&lt;&gt;"",CHOOSE(10-MIN(9,TRUNC((AH474+0.5)/10)),"A","B","C","D","F","F","F","F","F","F"),"")</f>
        <v>B</v>
      </c>
      <c r="AJ474" s="32" t="str">
        <f>IF(A474&lt;&gt;"",IF(OR(AH474+0.5&gt;=93,AH474+0.5&lt;60),"",IF(MOD(AH474+0.5,10)&gt;=7,"+",IF(MOD(AH474+0.5,10)&lt;3,"-",""))),"")</f>
        <v>-</v>
      </c>
      <c r="AK474" s="71" t="b">
        <f>IF(A474&lt;&gt;"",OR(AI474&lt;&gt;AC474,AJ474&lt;&gt;AD474),"")</f>
        <v>0</v>
      </c>
      <c r="AL474" s="86">
        <f>IF(AND(A474&lt;&gt;"",U474&lt;&gt;""),SUM(U474,$AL$8)/$AL$2*100,"")</f>
        <v>82.666666666666671</v>
      </c>
      <c r="AM474" s="71">
        <f>IF(AND(A474&lt;&gt;"",V474&lt;&gt;""),SUM(V474,$AM$8)/$AM$2*100,"")</f>
        <v>93.07692307692308</v>
      </c>
      <c r="AN474" s="71">
        <f>IF(AND(A474&lt;&gt;"",ISNUMBER(P474),P474&gt;=0),SUM(P474,$AN$8)/$AN$2*100,"")</f>
        <v>60</v>
      </c>
      <c r="AO474" s="71" t="str">
        <f>IF(AND(A474&lt;&gt;"",ISNUMBER(Q474),Q474&gt;=0),SUM(Q474,$AO$8)/$AO$2*100,"")</f>
        <v/>
      </c>
      <c r="AP474" s="24" t="str">
        <f>IF(AND(A474&lt;&gt;"",R474&lt;&gt;""),SUM(R474,$AP$8)/$AP$2*100,"")</f>
        <v/>
      </c>
      <c r="AQ474" s="24">
        <f>IF(AND(A474&lt;&gt;"",ISNUMBER(W474),W474&gt;=0),SUM(W474,$AQ$8)/$AQ$2*100,"")</f>
        <v>60</v>
      </c>
      <c r="AR474" s="24" t="str">
        <f>IF(AND(A474&lt;&gt;"",T474&gt;0,ISNUMBER(T474)),SUM(T474,$AR$8)/$AR$2*100,"")</f>
        <v/>
      </c>
      <c r="AS474" s="24" t="str">
        <f>IF(AND(A474&lt;&gt;"",X474&lt;&gt;""),SUM(X474,$AS$8)/$AS$2*100,"")</f>
        <v/>
      </c>
      <c r="AT474" s="89">
        <f>IF(AND(A474&lt;&gt;"",OR(ISNUMBER(W474),ISNUMBER(X474))),SUM(W474:X474,$AT$8)/$AT$2*100,"")</f>
        <v>60</v>
      </c>
      <c r="AU474" s="24">
        <f>AA474</f>
        <v>80</v>
      </c>
      <c r="AV474" s="71"/>
      <c r="AW474" s="27">
        <f>IF(A474&lt;&gt;"",AE474-AA474,"")</f>
        <v>-20</v>
      </c>
      <c r="AY474" s="27" t="b">
        <f>S474&gt;R474</f>
        <v>0</v>
      </c>
      <c r="BA474" s="27" t="e">
        <f>AND(AA474&gt;$BA$3,(W474+$W$8)/$W$2&lt;$BB$3,(X474+$X$8)/$X$2&lt;$BB$3)</f>
        <v>#VALUE!</v>
      </c>
      <c r="BB474" s="27" t="e">
        <f>AND(AA474&lt;$BA$3,AND(W474/$W$2&gt;$BB$3,X474/$X$2&gt;$BB$3))</f>
        <v>#VALUE!</v>
      </c>
      <c r="BC474" s="27" t="e">
        <f>AND(AA474&lt;$BA$3,OR(W474/$W$2&gt;$BB$3,X474/$X$2&gt;$BB$3))</f>
        <v>#VALUE!</v>
      </c>
      <c r="BE474" s="32" t="s">
        <v>84</v>
      </c>
    </row>
    <row r="475" spans="1:57" s="27" customFormat="1" ht="12.75" customHeight="1" x14ac:dyDescent="0.2">
      <c r="A475" s="10">
        <v>908446</v>
      </c>
      <c r="B475" s="2">
        <v>22</v>
      </c>
      <c r="C475" s="10">
        <v>21</v>
      </c>
      <c r="D475" s="10">
        <v>19</v>
      </c>
      <c r="E475" s="10"/>
      <c r="F475" s="10"/>
      <c r="G475" s="10"/>
      <c r="H475" s="10"/>
      <c r="I475" s="10"/>
      <c r="J475" s="2">
        <v>29</v>
      </c>
      <c r="K475" s="10">
        <v>50</v>
      </c>
      <c r="L475" s="10">
        <v>50</v>
      </c>
      <c r="M475" s="10"/>
      <c r="N475" s="10"/>
      <c r="O475" s="12"/>
      <c r="P475" s="41">
        <v>100</v>
      </c>
      <c r="Q475" s="41"/>
      <c r="R475" s="2"/>
      <c r="S475" s="10"/>
      <c r="T475" s="13"/>
      <c r="U475" s="7">
        <f t="array" ref="U475">IF(AND(A475&lt;&gt;"",OR(ISNUMBER(B475:I475))),SUM(B475:I475),"")</f>
        <v>62</v>
      </c>
      <c r="V475" s="10">
        <f t="array" ref="V475">IF(AND(A475&lt;&gt;"",OR(ISNUMBER(J475:O475))),SUM(J475:O475),"")</f>
        <v>129</v>
      </c>
      <c r="W475" s="10">
        <f t="array" ref="W475">IF(AND(A475&lt;&gt;"",OR(ISNUMBER(P475),ISNUMBER(Q475))),SUM(MAX(P475:Q475),Q475),"")</f>
        <v>100</v>
      </c>
      <c r="X475" s="10" t="str">
        <f t="array" ref="X475">IF(AND(A475&lt;&gt;"",OR(ISNUMBER(S475),ISNUMBER(T475))),SUM(S475,T475),"")</f>
        <v/>
      </c>
      <c r="Y475" s="13">
        <v>1</v>
      </c>
      <c r="Z475" s="13">
        <f>IF(A475&lt;&gt;"",SUM(U475:Y475),"")</f>
        <v>292</v>
      </c>
      <c r="AA475" s="27">
        <f>IF(A475&lt;&gt;"",(Z475+Normalize_To_Add)/(Point_Total_So_Far)*100,"")</f>
        <v>95.73770491803279</v>
      </c>
      <c r="AB475" s="10">
        <f>IF(A475&lt;&gt;"",RANK(AA475,All_Student_XC),"")</f>
        <v>261</v>
      </c>
      <c r="AC475" s="32" t="str">
        <f>IF(A475&lt;&gt;"",CHOOSE(10-MIN(9,TRUNC((AA475+0.5)/10)),"A","B","C","D","F","F","F","F","F","F"),"")</f>
        <v>A</v>
      </c>
      <c r="AD475" s="32" t="str">
        <f>IF(A475&lt;&gt;"",IF(OR(AA475+0.5&gt;=93,AA475+0.5&lt;60),"",IF(MOD(AA475+0.5,10)&gt;=7,"+",IF(MOD(AA475+0.5,10)&lt;3,"-",""))),"")</f>
        <v/>
      </c>
      <c r="AE475" s="32">
        <f>IF(A475&lt;&gt;"",SUM(W475:X475,$W$8:$X$8)/SUM($W$2:$X$2)*100,"")</f>
        <v>100</v>
      </c>
      <c r="AF475" s="32" t="str">
        <f>IF(A475&lt;&gt;"",CHOOSE(10-MIN(9,TRUNC((AE475+0.5)/10)),"A","B","C","D","F","F","F","F","F","F"),"")</f>
        <v>A</v>
      </c>
      <c r="AG475" s="32" t="str">
        <f>IF(A475&lt;&gt;"",IF(OR(AE475+0.5&gt;=93,AE475+0.5&lt;60),"",IF(MOD(AE475+0.5,10)&gt;=7,"+",IF(MOD(AE475+0.5,10)&lt;3,"-",""))),"")</f>
        <v/>
      </c>
      <c r="AH475" s="36">
        <f>IF(A475&lt;&gt;"",MIN(MAX(AA475,AE475),AA475+$AH$8,AE475+$AH$8),"")</f>
        <v>100</v>
      </c>
      <c r="AI475" s="32" t="str">
        <f>IF(A475&lt;&gt;"",CHOOSE(10-MIN(9,TRUNC((AH475+0.5)/10)),"A","B","C","D","F","F","F","F","F","F"),"")</f>
        <v>A</v>
      </c>
      <c r="AJ475" s="32" t="str">
        <f>IF(A475&lt;&gt;"",IF(OR(AH475+0.5&gt;=93,AH475+0.5&lt;60),"",IF(MOD(AH475+0.5,10)&gt;=7,"+",IF(MOD(AH475+0.5,10)&lt;3,"-",""))),"")</f>
        <v/>
      </c>
      <c r="AK475" s="32" t="b">
        <f>IF(A475&lt;&gt;"",OR(AI475&lt;&gt;AC475,AJ475&lt;&gt;AD475),"")</f>
        <v>0</v>
      </c>
      <c r="AL475" s="84">
        <f>IF(AND(A475&lt;&gt;"",U475&lt;&gt;""),SUM(U475,$AL$8)/$AL$2*100,"")</f>
        <v>82.666666666666671</v>
      </c>
      <c r="AM475" s="24">
        <f>IF(AND(A475&lt;&gt;"",V475&lt;&gt;""),SUM(V475,$AM$8)/$AM$2*100,"")</f>
        <v>99.230769230769226</v>
      </c>
      <c r="AN475" s="24">
        <f>IF(AND(A475&lt;&gt;"",ISNUMBER(P475),P475&gt;=0),SUM(P475,$AN$8)/$AN$2*100,"")</f>
        <v>100</v>
      </c>
      <c r="AO475" s="24" t="str">
        <f>IF(AND(A475&lt;&gt;"",ISNUMBER(Q475),Q475&gt;=0),SUM(Q475,$AO$8)/$AO$2*100,"")</f>
        <v/>
      </c>
      <c r="AP475" s="24" t="str">
        <f>IF(AND(A475&lt;&gt;"",R475&lt;&gt;""),SUM(R475,$AP$8)/$AP$2*100,"")</f>
        <v/>
      </c>
      <c r="AQ475" s="24">
        <f>IF(AND(A475&lt;&gt;"",ISNUMBER(W475),W475&gt;=0),SUM(W475,$AQ$8)/$AQ$2*100,"")</f>
        <v>100</v>
      </c>
      <c r="AR475" s="24" t="str">
        <f>IF(AND(A475&lt;&gt;"",T475&gt;0,ISNUMBER(T475)),SUM(T475,$AR$8)/$AR$2*100,"")</f>
        <v/>
      </c>
      <c r="AS475" s="24" t="str">
        <f>IF(AND(A475&lt;&gt;"",X475&lt;&gt;""),SUM(X475,$AS$8)/$AS$2*100,"")</f>
        <v/>
      </c>
      <c r="AT475" s="89">
        <f>IF(AND(A475&lt;&gt;"",OR(ISNUMBER(W475),ISNUMBER(X475))),SUM(W475:X475,$AT$8)/$AT$2*100,"")</f>
        <v>100</v>
      </c>
      <c r="AU475" s="24">
        <f>AA475</f>
        <v>95.73770491803279</v>
      </c>
      <c r="AV475" s="24"/>
      <c r="AW475" s="27">
        <f>IF(A475&lt;&gt;"",AE475-AA475,"")</f>
        <v>4.2622950819672099</v>
      </c>
      <c r="AY475" s="27" t="b">
        <f>S475&gt;R475</f>
        <v>0</v>
      </c>
      <c r="BA475" s="27" t="e">
        <f>AND(AA475&gt;$BA$3,(W475+$W$8)/$W$2&lt;$BB$3,(X475+$X$8)/$X$2&lt;$BB$3)</f>
        <v>#VALUE!</v>
      </c>
      <c r="BB475" s="27" t="e">
        <f>AND(AA475&lt;$BA$3,AND(W475/$W$2&gt;$BB$3,X475/$X$2&gt;$BB$3))</f>
        <v>#VALUE!</v>
      </c>
      <c r="BC475" s="27" t="e">
        <f>AND(AA475&lt;$BA$3,OR(W475/$W$2&gt;$BB$3,X475/$X$2&gt;$BB$3))</f>
        <v>#VALUE!</v>
      </c>
      <c r="BE475" s="32" t="s">
        <v>84</v>
      </c>
    </row>
    <row r="476" spans="1:57" s="27" customFormat="1" ht="12.75" customHeight="1" x14ac:dyDescent="0.2">
      <c r="A476" s="10">
        <v>913327</v>
      </c>
      <c r="B476" s="2">
        <v>17</v>
      </c>
      <c r="C476" s="10">
        <v>23</v>
      </c>
      <c r="D476" s="10">
        <v>25</v>
      </c>
      <c r="E476" s="10"/>
      <c r="F476" s="10"/>
      <c r="G476" s="10"/>
      <c r="H476" s="10"/>
      <c r="I476" s="10"/>
      <c r="J476" s="2">
        <v>31</v>
      </c>
      <c r="K476" s="10">
        <v>50</v>
      </c>
      <c r="L476" s="10">
        <v>50</v>
      </c>
      <c r="M476" s="10"/>
      <c r="N476" s="93"/>
      <c r="O476" s="13"/>
      <c r="P476" s="10">
        <v>101</v>
      </c>
      <c r="Q476" s="10"/>
      <c r="R476" s="2"/>
      <c r="S476" s="10"/>
      <c r="T476" s="13"/>
      <c r="U476" s="7">
        <f t="array" ref="U476">IF(AND(A476&lt;&gt;"",OR(ISNUMBER(B476:I476))),SUM(B476:I476),"")</f>
        <v>65</v>
      </c>
      <c r="V476" s="10">
        <f t="array" ref="V476">IF(AND(A476&lt;&gt;"",OR(ISNUMBER(J476:O476))),SUM(J476:O476),"")</f>
        <v>131</v>
      </c>
      <c r="W476" s="10">
        <f t="array" ref="W476">IF(AND(A476&lt;&gt;"",OR(ISNUMBER(P476),ISNUMBER(Q476))),SUM(MAX(P476:Q476),Q476),"")</f>
        <v>101</v>
      </c>
      <c r="X476" s="10" t="str">
        <f t="array" ref="X476">IF(AND(A476&lt;&gt;"",OR(ISNUMBER(S476),ISNUMBER(T476))),SUM(S476,T476),"")</f>
        <v/>
      </c>
      <c r="Y476" s="13">
        <v>1</v>
      </c>
      <c r="Z476" s="13">
        <f>IF(A476&lt;&gt;"",SUM(U476:Y476),"")</f>
        <v>298</v>
      </c>
      <c r="AA476" s="27">
        <f>IF(A476&lt;&gt;"",(Z476+Normalize_To_Add)/(Point_Total_So_Far)*100,"")</f>
        <v>97.704918032786878</v>
      </c>
      <c r="AB476" s="10">
        <f>IF(A476&lt;&gt;"",RANK(AA476,All_Student_XC),"")</f>
        <v>210</v>
      </c>
      <c r="AC476" s="32" t="str">
        <f>IF(A476&lt;&gt;"",CHOOSE(10-MIN(9,TRUNC((AA476+0.5)/10)),"A","B","C","D","F","F","F","F","F","F"),"")</f>
        <v>A</v>
      </c>
      <c r="AD476" s="31" t="str">
        <f>IF(A476&lt;&gt;"",IF(OR(AA476+0.5&gt;=93,AA476+0.5&lt;60),"",IF(MOD(AA476+0.5,10)&gt;=7,"+",IF(MOD(AA476+0.5,10)&lt;3,"-",""))),"")</f>
        <v/>
      </c>
      <c r="AE476" s="32">
        <f>IF(A476&lt;&gt;"",SUM(W476:X476,$W$8:$X$8)/SUM($W$2:$X$2)*100,"")</f>
        <v>101</v>
      </c>
      <c r="AF476" s="32" t="str">
        <f>IF(A476&lt;&gt;"",CHOOSE(10-MIN(9,TRUNC((AE476+0.5)/10)),"A","B","C","D","F","F","F","F","F","F"),"")</f>
        <v>A</v>
      </c>
      <c r="AG476" s="32" t="str">
        <f>IF(A476&lt;&gt;"",IF(OR(AE476+0.5&gt;=93,AE476+0.5&lt;60),"",IF(MOD(AE476+0.5,10)&gt;=7,"+",IF(MOD(AE476+0.5,10)&lt;3,"-",""))),"")</f>
        <v/>
      </c>
      <c r="AH476" s="36">
        <f>IF(A476&lt;&gt;"",MIN(MAX(AA476,AE476),AA476+$AH$8,AE476+$AH$8),"")</f>
        <v>101</v>
      </c>
      <c r="AI476" s="32" t="str">
        <f>IF(A476&lt;&gt;"",CHOOSE(10-MIN(9,TRUNC((AH476+0.5)/10)),"A","B","C","D","F","F","F","F","F","F"),"")</f>
        <v>A</v>
      </c>
      <c r="AJ476" s="32" t="str">
        <f>IF(A476&lt;&gt;"",IF(OR(AH476+0.5&gt;=93,AH476+0.5&lt;60),"",IF(MOD(AH476+0.5,10)&gt;=7,"+",IF(MOD(AH476+0.5,10)&lt;3,"-",""))),"")</f>
        <v/>
      </c>
      <c r="AK476" s="71" t="b">
        <f>IF(A476&lt;&gt;"",OR(AI476&lt;&gt;AC476,AJ476&lt;&gt;AD476),"")</f>
        <v>0</v>
      </c>
      <c r="AL476" s="86">
        <f>IF(AND(A476&lt;&gt;"",U476&lt;&gt;""),SUM(U476,$AL$8)/$AL$2*100,"")</f>
        <v>86.666666666666671</v>
      </c>
      <c r="AM476" s="71">
        <f>IF(AND(A476&lt;&gt;"",V476&lt;&gt;""),SUM(V476,$AM$8)/$AM$2*100,"")</f>
        <v>100.76923076923077</v>
      </c>
      <c r="AN476" s="71">
        <f>IF(AND(A476&lt;&gt;"",ISNUMBER(P476),P476&gt;=0),SUM(P476,$AN$8)/$AN$2*100,"")</f>
        <v>101</v>
      </c>
      <c r="AO476" s="71" t="str">
        <f>IF(AND(A476&lt;&gt;"",ISNUMBER(Q476),Q476&gt;=0),SUM(Q476,$AO$8)/$AO$2*100,"")</f>
        <v/>
      </c>
      <c r="AP476" s="24" t="str">
        <f>IF(AND(A476&lt;&gt;"",R476&lt;&gt;""),SUM(R476,$AP$8)/$AP$2*100,"")</f>
        <v/>
      </c>
      <c r="AQ476" s="24">
        <f>IF(AND(A476&lt;&gt;"",ISNUMBER(W476),W476&gt;=0),SUM(W476,$AQ$8)/$AQ$2*100,"")</f>
        <v>101</v>
      </c>
      <c r="AR476" s="24" t="str">
        <f>IF(AND(A476&lt;&gt;"",T476&gt;0,ISNUMBER(T476)),SUM(T476,$AR$8)/$AR$2*100,"")</f>
        <v/>
      </c>
      <c r="AS476" s="24" t="str">
        <f>IF(AND(A476&lt;&gt;"",X476&lt;&gt;""),SUM(X476,$AS$8)/$AS$2*100,"")</f>
        <v/>
      </c>
      <c r="AT476" s="89">
        <f>IF(AND(A476&lt;&gt;"",OR(ISNUMBER(W476),ISNUMBER(X476))),SUM(W476:X476,$AT$8)/$AT$2*100,"")</f>
        <v>101</v>
      </c>
      <c r="AU476" s="24">
        <f>AA476</f>
        <v>97.704918032786878</v>
      </c>
      <c r="AV476" s="71"/>
      <c r="AW476" s="27">
        <f>IF(A476&lt;&gt;"",AE476-AA476,"")</f>
        <v>3.2950819672131217</v>
      </c>
      <c r="AY476" s="27" t="b">
        <f>S476&gt;R476</f>
        <v>0</v>
      </c>
      <c r="BA476" s="27" t="e">
        <f>AND(AA476&gt;$BA$3,(W476+$W$8)/$W$2&lt;$BB$3,(X476+$X$8)/$X$2&lt;$BB$3)</f>
        <v>#VALUE!</v>
      </c>
      <c r="BB476" s="27" t="e">
        <f>AND(AA476&lt;$BA$3,AND(W476/$W$2&gt;$BB$3,X476/$X$2&gt;$BB$3))</f>
        <v>#VALUE!</v>
      </c>
      <c r="BC476" s="27" t="e">
        <f>AND(AA476&lt;$BA$3,OR(W476/$W$2&gt;$BB$3,X476/$X$2&gt;$BB$3))</f>
        <v>#VALUE!</v>
      </c>
      <c r="BE476" s="32">
        <v>32</v>
      </c>
    </row>
    <row r="477" spans="1:57" s="27" customFormat="1" ht="12.75" customHeight="1" x14ac:dyDescent="0.2">
      <c r="A477" s="10">
        <v>913753</v>
      </c>
      <c r="B477" s="55">
        <v>19</v>
      </c>
      <c r="C477" s="10">
        <v>21</v>
      </c>
      <c r="D477" s="10">
        <v>19</v>
      </c>
      <c r="E477" s="10"/>
      <c r="F477" s="10"/>
      <c r="G477" s="3"/>
      <c r="H477" s="10"/>
      <c r="I477" s="10"/>
      <c r="J477" s="2">
        <v>29</v>
      </c>
      <c r="K477" s="10">
        <v>44</v>
      </c>
      <c r="L477" s="10">
        <v>51</v>
      </c>
      <c r="M477" s="10"/>
      <c r="N477" s="93"/>
      <c r="O477" s="12"/>
      <c r="P477" s="10">
        <v>101</v>
      </c>
      <c r="Q477" s="41"/>
      <c r="R477" s="2"/>
      <c r="S477" s="10"/>
      <c r="T477" s="13"/>
      <c r="U477" s="7">
        <f t="array" ref="U477">IF(AND(A477&lt;&gt;"",OR(ISNUMBER(B477:I477))),SUM(B477:I477),"")</f>
        <v>59</v>
      </c>
      <c r="V477" s="10">
        <f t="array" ref="V477">IF(AND(A477&lt;&gt;"",OR(ISNUMBER(J477:O477))),SUM(J477:O477),"")</f>
        <v>124</v>
      </c>
      <c r="W477" s="10">
        <f t="array" ref="W477">IF(AND(A477&lt;&gt;"",OR(ISNUMBER(P477),ISNUMBER(Q477))),SUM(MAX(P477:Q477),Q477),"")</f>
        <v>101</v>
      </c>
      <c r="X477" s="10" t="str">
        <f t="array" ref="X477">IF(AND(A477&lt;&gt;"",OR(ISNUMBER(S477),ISNUMBER(T477))),SUM(S477,T477),"")</f>
        <v/>
      </c>
      <c r="Y477" s="13">
        <v>1</v>
      </c>
      <c r="Z477" s="13">
        <f>IF(A477&lt;&gt;"",SUM(U477:Y477),"")</f>
        <v>285</v>
      </c>
      <c r="AA477" s="27">
        <f>IF(A477&lt;&gt;"",(Z477+Normalize_To_Add)/(Point_Total_So_Far)*100,"")</f>
        <v>93.442622950819683</v>
      </c>
      <c r="AB477" s="10">
        <f>IF(A477&lt;&gt;"",RANK(AA477,All_Student_XC),"")</f>
        <v>293</v>
      </c>
      <c r="AC477" s="32" t="str">
        <f>IF(A477&lt;&gt;"",CHOOSE(10-MIN(9,TRUNC((AA477+0.5)/10)),"A","B","C","D","F","F","F","F","F","F"),"")</f>
        <v>A</v>
      </c>
      <c r="AD477" s="32" t="str">
        <f>IF(A477&lt;&gt;"",IF(OR(AA477+0.5&gt;=93,AA477+0.5&lt;60),"",IF(MOD(AA477+0.5,10)&gt;=7,"+",IF(MOD(AA477+0.5,10)&lt;3,"-",""))),"")</f>
        <v/>
      </c>
      <c r="AE477" s="32">
        <f>IF(A477&lt;&gt;"",SUM(W477:X477,$W$8:$X$8)/SUM($W$2:$X$2)*100,"")</f>
        <v>101</v>
      </c>
      <c r="AF477" s="44" t="str">
        <f>IF(A477&lt;&gt;"",CHOOSE(10-MIN(9,TRUNC((AE477+0.5)/10)),"A","B","C","D","F","F","F","F","F","F"),"")</f>
        <v>A</v>
      </c>
      <c r="AG477" s="44" t="str">
        <f>IF(A477&lt;&gt;"",IF(OR(AE477+0.5&gt;=93,AE477+0.5&lt;60),"",IF(MOD(AE477+0.5,10)&gt;=7,"+",IF(MOD(AE477+0.5,10)&lt;3,"-",""))),"")</f>
        <v/>
      </c>
      <c r="AH477" s="36">
        <f>IF(A477&lt;&gt;"",MIN(MAX(AA477,AE477),AA477+$AH$8,AE477+$AH$8),"")</f>
        <v>101</v>
      </c>
      <c r="AI477" s="32" t="str">
        <f>IF(A477&lt;&gt;"",CHOOSE(10-MIN(9,TRUNC((AH477+0.5)/10)),"A","B","C","D","F","F","F","F","F","F"),"")</f>
        <v>A</v>
      </c>
      <c r="AJ477" s="32" t="str">
        <f>IF(A477&lt;&gt;"",IF(OR(AH477+0.5&gt;=93,AH477+0.5&lt;60),"",IF(MOD(AH477+0.5,10)&gt;=7,"+",IF(MOD(AH477+0.5,10)&lt;3,"-",""))),"")</f>
        <v/>
      </c>
      <c r="AK477" s="32" t="b">
        <f>IF(A477&lt;&gt;"",OR(AI477&lt;&gt;AC477,AJ477&lt;&gt;AD477),"")</f>
        <v>0</v>
      </c>
      <c r="AL477" s="84">
        <f>IF(AND(A477&lt;&gt;"",U477&lt;&gt;""),SUM(U477,$AL$8)/$AL$2*100,"")</f>
        <v>78.666666666666657</v>
      </c>
      <c r="AM477" s="24">
        <f>IF(AND(A477&lt;&gt;"",V477&lt;&gt;""),SUM(V477,$AM$8)/$AM$2*100,"")</f>
        <v>95.384615384615387</v>
      </c>
      <c r="AN477" s="24">
        <f>IF(AND(A477&lt;&gt;"",ISNUMBER(P477),P477&gt;=0),SUM(P477,$AN$8)/$AN$2*100,"")</f>
        <v>101</v>
      </c>
      <c r="AO477" s="24" t="str">
        <f>IF(AND(A477&lt;&gt;"",ISNUMBER(Q477),Q477&gt;=0),SUM(Q477,$AO$8)/$AO$2*100,"")</f>
        <v/>
      </c>
      <c r="AP477" s="24" t="str">
        <f>IF(AND(A477&lt;&gt;"",R477&lt;&gt;""),SUM(R477,$AP$8)/$AP$2*100,"")</f>
        <v/>
      </c>
      <c r="AQ477" s="24">
        <f>IF(AND(A477&lt;&gt;"",ISNUMBER(W477),W477&gt;=0),SUM(W477,$AQ$8)/$AQ$2*100,"")</f>
        <v>101</v>
      </c>
      <c r="AR477" s="24" t="str">
        <f>IF(AND(A477&lt;&gt;"",T477&gt;0,ISNUMBER(T477)),SUM(T477,$AR$8)/$AR$2*100,"")</f>
        <v/>
      </c>
      <c r="AS477" s="24" t="str">
        <f>IF(AND(A477&lt;&gt;"",X477&lt;&gt;""),SUM(X477,$AS$8)/$AS$2*100,"")</f>
        <v/>
      </c>
      <c r="AT477" s="89">
        <f>IF(AND(A477&lt;&gt;"",OR(ISNUMBER(W477),ISNUMBER(X477))),SUM(W477:X477,$AT$8)/$AT$2*100,"")</f>
        <v>101</v>
      </c>
      <c r="AU477" s="24">
        <f>AA477</f>
        <v>93.442622950819683</v>
      </c>
      <c r="AV477" s="24"/>
      <c r="AW477" s="27">
        <f>IF(A477&lt;&gt;"",AE477-AA477,"")</f>
        <v>7.5573770491803174</v>
      </c>
      <c r="AY477" s="27" t="b">
        <f>S477&gt;R477</f>
        <v>0</v>
      </c>
      <c r="BA477" s="27" t="e">
        <f>AND(AA477&gt;$BA$3,(W477+$W$8)/$W$2&lt;$BB$3,(X477+$X$8)/$X$2&lt;$BB$3)</f>
        <v>#VALUE!</v>
      </c>
      <c r="BB477" s="27" t="e">
        <f>AND(AA477&lt;$BA$3,AND(W477/$W$2&gt;$BB$3,X477/$X$2&gt;$BB$3))</f>
        <v>#VALUE!</v>
      </c>
      <c r="BC477" s="27" t="e">
        <f>AND(AA477&lt;$BA$3,OR(W477/$W$2&gt;$BB$3,X477/$X$2&gt;$BB$3))</f>
        <v>#VALUE!</v>
      </c>
      <c r="BE477" s="32">
        <v>32</v>
      </c>
    </row>
    <row r="478" spans="1:57" s="27" customFormat="1" ht="12.75" customHeight="1" x14ac:dyDescent="0.2">
      <c r="A478" s="10">
        <v>914485</v>
      </c>
      <c r="B478" s="2">
        <v>24</v>
      </c>
      <c r="C478" s="10">
        <v>25</v>
      </c>
      <c r="D478" s="10">
        <v>25</v>
      </c>
      <c r="E478" s="10"/>
      <c r="F478" s="10"/>
      <c r="G478" s="10"/>
      <c r="H478" s="10"/>
      <c r="I478" s="10"/>
      <c r="J478" s="2">
        <v>30</v>
      </c>
      <c r="K478" s="10">
        <v>48</v>
      </c>
      <c r="L478" s="10">
        <v>51</v>
      </c>
      <c r="M478" s="10"/>
      <c r="N478" s="93"/>
      <c r="O478" s="13"/>
      <c r="P478" s="10">
        <v>101</v>
      </c>
      <c r="Q478" s="10"/>
      <c r="R478" s="2"/>
      <c r="S478" s="10"/>
      <c r="T478" s="13"/>
      <c r="U478" s="7">
        <f t="array" ref="U478">IF(AND(A478&lt;&gt;"",OR(ISNUMBER(B478:I478))),SUM(B478:I478),"")</f>
        <v>74</v>
      </c>
      <c r="V478" s="10">
        <f t="array" ref="V478">IF(AND(A478&lt;&gt;"",OR(ISNUMBER(J478:O478))),SUM(J478:O478),"")</f>
        <v>129</v>
      </c>
      <c r="W478" s="10">
        <f t="array" ref="W478">IF(AND(A478&lt;&gt;"",OR(ISNUMBER(P478),ISNUMBER(Q478))),SUM(MAX(P478:Q478),Q478),"")</f>
        <v>101</v>
      </c>
      <c r="X478" s="10" t="str">
        <f t="array" ref="X478">IF(AND(A478&lt;&gt;"",OR(ISNUMBER(S478),ISNUMBER(T478))),SUM(S478,T478),"")</f>
        <v/>
      </c>
      <c r="Y478" s="13">
        <v>1</v>
      </c>
      <c r="Z478" s="13">
        <f>IF(A478&lt;&gt;"",SUM(U478:Y478),"")</f>
        <v>305</v>
      </c>
      <c r="AA478" s="27">
        <f>IF(A478&lt;&gt;"",(Z478+Normalize_To_Add)/(Point_Total_So_Far)*100,"")</f>
        <v>100</v>
      </c>
      <c r="AB478" s="10">
        <f>IF(A478&lt;&gt;"",RANK(AA478,All_Student_XC),"")</f>
        <v>109</v>
      </c>
      <c r="AC478" s="32" t="str">
        <f>IF(A478&lt;&gt;"",CHOOSE(10-MIN(9,TRUNC((AA478+0.5)/10)),"A","B","C","D","F","F","F","F","F","F"),"")</f>
        <v>A</v>
      </c>
      <c r="AD478" s="31" t="str">
        <f>IF(A478&lt;&gt;"",IF(OR(AA478+0.5&gt;=93,AA478+0.5&lt;60),"",IF(MOD(AA478+0.5,10)&gt;=7,"+",IF(MOD(AA478+0.5,10)&lt;3,"-",""))),"")</f>
        <v/>
      </c>
      <c r="AE478" s="32">
        <f>IF(A478&lt;&gt;"",SUM(W478:X478,$W$8:$X$8)/SUM($W$2:$X$2)*100,"")</f>
        <v>101</v>
      </c>
      <c r="AF478" s="32" t="str">
        <f>IF(A478&lt;&gt;"",CHOOSE(10-MIN(9,TRUNC((AE478+0.5)/10)),"A","B","C","D","F","F","F","F","F","F"),"")</f>
        <v>A</v>
      </c>
      <c r="AG478" s="32" t="str">
        <f>IF(A478&lt;&gt;"",IF(OR(AE478+0.5&gt;=93,AE478+0.5&lt;60),"",IF(MOD(AE478+0.5,10)&gt;=7,"+",IF(MOD(AE478+0.5,10)&lt;3,"-",""))),"")</f>
        <v/>
      </c>
      <c r="AH478" s="36">
        <f>IF(A478&lt;&gt;"",MIN(MAX(AA478,AE478),AA478+$AH$8,AE478+$AH$8),"")</f>
        <v>101</v>
      </c>
      <c r="AI478" s="32" t="str">
        <f>IF(A478&lt;&gt;"",CHOOSE(10-MIN(9,TRUNC((AH478+0.5)/10)),"A","B","C","D","F","F","F","F","F","F"),"")</f>
        <v>A</v>
      </c>
      <c r="AJ478" s="32" t="str">
        <f>IF(A478&lt;&gt;"",IF(OR(AH478+0.5&gt;=93,AH478+0.5&lt;60),"",IF(MOD(AH478+0.5,10)&gt;=7,"+",IF(MOD(AH478+0.5,10)&lt;3,"-",""))),"")</f>
        <v/>
      </c>
      <c r="AK478" s="71" t="b">
        <f>IF(A478&lt;&gt;"",OR(AI478&lt;&gt;AC478,AJ478&lt;&gt;AD478),"")</f>
        <v>0</v>
      </c>
      <c r="AL478" s="86">
        <f>IF(AND(A478&lt;&gt;"",U478&lt;&gt;""),SUM(U478,$AL$8)/$AL$2*100,"")</f>
        <v>98.666666666666671</v>
      </c>
      <c r="AM478" s="71">
        <f>IF(AND(A478&lt;&gt;"",V478&lt;&gt;""),SUM(V478,$AM$8)/$AM$2*100,"")</f>
        <v>99.230769230769226</v>
      </c>
      <c r="AN478" s="71">
        <f>IF(AND(A478&lt;&gt;"",ISNUMBER(P478),P478&gt;=0),SUM(P478,$AN$8)/$AN$2*100,"")</f>
        <v>101</v>
      </c>
      <c r="AO478" s="71" t="str">
        <f>IF(AND(A478&lt;&gt;"",ISNUMBER(Q478),Q478&gt;=0),SUM(Q478,$AO$8)/$AO$2*100,"")</f>
        <v/>
      </c>
      <c r="AP478" s="24" t="str">
        <f>IF(AND(A478&lt;&gt;"",R478&lt;&gt;""),SUM(R478,$AP$8)/$AP$2*100,"")</f>
        <v/>
      </c>
      <c r="AQ478" s="24">
        <f>IF(AND(A478&lt;&gt;"",ISNUMBER(W478),W478&gt;=0),SUM(W478,$AQ$8)/$AQ$2*100,"")</f>
        <v>101</v>
      </c>
      <c r="AR478" s="24" t="str">
        <f>IF(AND(A478&lt;&gt;"",T478&gt;0,ISNUMBER(T478)),SUM(T478,$AR$8)/$AR$2*100,"")</f>
        <v/>
      </c>
      <c r="AS478" s="24" t="str">
        <f>IF(AND(A478&lt;&gt;"",X478&lt;&gt;""),SUM(X478,$AS$8)/$AS$2*100,"")</f>
        <v/>
      </c>
      <c r="AT478" s="89">
        <f>IF(AND(A478&lt;&gt;"",OR(ISNUMBER(W478),ISNUMBER(X478))),SUM(W478:X478,$AT$8)/$AT$2*100,"")</f>
        <v>101</v>
      </c>
      <c r="AU478" s="24">
        <f>AA478</f>
        <v>100</v>
      </c>
      <c r="AV478" s="71"/>
      <c r="AW478" s="27">
        <f>IF(A478&lt;&gt;"",AE478-AA478,"")</f>
        <v>1</v>
      </c>
      <c r="AY478" s="27" t="b">
        <f>S478&gt;R478</f>
        <v>0</v>
      </c>
      <c r="BA478" s="27" t="e">
        <f>AND(AA478&gt;$BA$3,(W478+$W$8)/$W$2&lt;$BB$3,(X478+$X$8)/$X$2&lt;$BB$3)</f>
        <v>#VALUE!</v>
      </c>
      <c r="BB478" s="27" t="e">
        <f>AND(AA478&lt;$BA$3,AND(W478/$W$2&gt;$BB$3,X478/$X$2&gt;$BB$3))</f>
        <v>#VALUE!</v>
      </c>
      <c r="BC478" s="27" t="e">
        <f>AND(AA478&lt;$BA$3,OR(W478/$W$2&gt;$BB$3,X478/$X$2&gt;$BB$3))</f>
        <v>#VALUE!</v>
      </c>
      <c r="BE478" s="32" t="s">
        <v>85</v>
      </c>
    </row>
    <row r="479" spans="1:57" s="27" customFormat="1" ht="12.75" customHeight="1" x14ac:dyDescent="0.2">
      <c r="A479" s="10">
        <v>914881</v>
      </c>
      <c r="B479" s="2">
        <v>22</v>
      </c>
      <c r="C479" s="10">
        <v>22</v>
      </c>
      <c r="D479" s="10">
        <v>20</v>
      </c>
      <c r="E479" s="10"/>
      <c r="F479" s="10"/>
      <c r="G479" s="10"/>
      <c r="H479" s="10"/>
      <c r="I479" s="10"/>
      <c r="J479" s="2">
        <v>29</v>
      </c>
      <c r="K479" s="10">
        <v>52</v>
      </c>
      <c r="L479" s="10">
        <v>52</v>
      </c>
      <c r="M479" s="10"/>
      <c r="N479" s="93"/>
      <c r="O479" s="13"/>
      <c r="P479" s="10">
        <v>101</v>
      </c>
      <c r="Q479" s="10"/>
      <c r="R479" s="2"/>
      <c r="S479" s="10"/>
      <c r="T479" s="13"/>
      <c r="U479" s="7">
        <f t="array" ref="U479">IF(AND(A479&lt;&gt;"",OR(ISNUMBER(B479:I479))),SUM(B479:I479),"")</f>
        <v>64</v>
      </c>
      <c r="V479" s="10">
        <f t="array" ref="V479">IF(AND(A479&lt;&gt;"",OR(ISNUMBER(J479:O479))),SUM(J479:O479),"")</f>
        <v>133</v>
      </c>
      <c r="W479" s="10">
        <f t="array" ref="W479">IF(AND(A479&lt;&gt;"",OR(ISNUMBER(P479),ISNUMBER(Q479))),SUM(MAX(P479:Q479),Q479),"")</f>
        <v>101</v>
      </c>
      <c r="X479" s="10" t="str">
        <f t="array" ref="X479">IF(AND(A479&lt;&gt;"",OR(ISNUMBER(S479),ISNUMBER(T479))),SUM(S479,T479),"")</f>
        <v/>
      </c>
      <c r="Y479" s="13">
        <v>1</v>
      </c>
      <c r="Z479" s="13">
        <f>IF(A479&lt;&gt;"",SUM(U479:Y479),"")</f>
        <v>299</v>
      </c>
      <c r="AA479" s="27">
        <f>IF(A479&lt;&gt;"",(Z479+Normalize_To_Add)/(Point_Total_So_Far)*100,"")</f>
        <v>98.032786885245898</v>
      </c>
      <c r="AB479" s="10">
        <f>IF(A479&lt;&gt;"",RANK(AA479,All_Student_XC),"")</f>
        <v>195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/>
      </c>
      <c r="AE479" s="32">
        <f>IF(A479&lt;&gt;"",SUM(W479:X479,$W$8:$X$8)/SUM($W$2:$X$2)*100,"")</f>
        <v>101</v>
      </c>
      <c r="AF479" s="32" t="str">
        <f>IF(A479&lt;&gt;"",CHOOSE(10-MIN(9,TRUNC((AE479+0.5)/10)),"A","B","C","D","F","F","F","F","F","F"),"")</f>
        <v>A</v>
      </c>
      <c r="AG479" s="32" t="str">
        <f>IF(A479&lt;&gt;"",IF(OR(AE479+0.5&gt;=93,AE479+0.5&lt;60),"",IF(MOD(AE479+0.5,10)&gt;=7,"+",IF(MOD(AE479+0.5,10)&lt;3,"-",""))),"")</f>
        <v/>
      </c>
      <c r="AH479" s="36">
        <f>IF(A479&lt;&gt;"",MIN(MAX(AA479,AE479),AA479+$AH$8,AE479+$AH$8),"")</f>
        <v>101</v>
      </c>
      <c r="AI479" s="32" t="str">
        <f>IF(A479&lt;&gt;"",CHOOSE(10-MIN(9,TRUNC((AH479+0.5)/10)),"A","B","C","D","F","F","F","F","F","F"),"")</f>
        <v>A</v>
      </c>
      <c r="AJ479" s="32" t="str">
        <f>IF(A479&lt;&gt;"",IF(OR(AH479+0.5&gt;=93,AH479+0.5&lt;60),"",IF(MOD(AH479+0.5,10)&gt;=7,"+",IF(MOD(AH479+0.5,10)&lt;3,"-",""))),"")</f>
        <v/>
      </c>
      <c r="AK479" s="71" t="b">
        <f>IF(A479&lt;&gt;"",OR(AI479&lt;&gt;AC479,AJ479&lt;&gt;AD479),"")</f>
        <v>0</v>
      </c>
      <c r="AL479" s="86">
        <f>IF(AND(A479&lt;&gt;"",U479&lt;&gt;""),SUM(U479,$AL$8)/$AL$2*100,"")</f>
        <v>85.333333333333343</v>
      </c>
      <c r="AM479" s="71">
        <f>IF(AND(A479&lt;&gt;"",V479&lt;&gt;""),SUM(V479,$AM$8)/$AM$2*100,"")</f>
        <v>102.30769230769229</v>
      </c>
      <c r="AN479" s="71">
        <f>IF(AND(A479&lt;&gt;"",ISNUMBER(P479),P479&gt;=0),SUM(P479,$AN$8)/$AN$2*100,"")</f>
        <v>101</v>
      </c>
      <c r="AO479" s="71" t="str">
        <f>IF(AND(A479&lt;&gt;"",ISNUMBER(Q479),Q479&gt;=0),SUM(Q479,$AO$8)/$AO$2*100,"")</f>
        <v/>
      </c>
      <c r="AP479" s="24" t="str">
        <f>IF(AND(A479&lt;&gt;"",R479&lt;&gt;""),SUM(R479,$AP$8)/$AP$2*100,"")</f>
        <v/>
      </c>
      <c r="AQ479" s="24">
        <f>IF(AND(A479&lt;&gt;"",ISNUMBER(W479),W479&gt;=0),SUM(W479,$AQ$8)/$AQ$2*100,"")</f>
        <v>101</v>
      </c>
      <c r="AR479" s="24" t="str">
        <f>IF(AND(A479&lt;&gt;"",T479&gt;0,ISNUMBER(T479)),SUM(T479,$AR$8)/$AR$2*100,"")</f>
        <v/>
      </c>
      <c r="AS479" s="24" t="str">
        <f>IF(AND(A479&lt;&gt;"",X479&lt;&gt;""),SUM(X479,$AS$8)/$AS$2*100,"")</f>
        <v/>
      </c>
      <c r="AT479" s="89">
        <f>IF(AND(A479&lt;&gt;"",OR(ISNUMBER(W479),ISNUMBER(X479))),SUM(W479:X479,$AT$8)/$AT$2*100,"")</f>
        <v>101</v>
      </c>
      <c r="AU479" s="24">
        <f>AA479</f>
        <v>98.032786885245898</v>
      </c>
      <c r="AV479" s="71"/>
      <c r="AW479" s="27">
        <f>IF(A479&lt;&gt;"",AE479-AA479,"")</f>
        <v>2.9672131147541023</v>
      </c>
      <c r="AY479" s="27" t="b">
        <f>S479&gt;R479</f>
        <v>0</v>
      </c>
      <c r="BA479" s="27" t="e">
        <f>AND(AA479&gt;$BA$3,(W479+$W$8)/$W$2&lt;$BB$3,(X479+$X$8)/$X$2&lt;$BB$3)</f>
        <v>#VALUE!</v>
      </c>
      <c r="BB479" s="27" t="e">
        <f>AND(AA479&lt;$BA$3,AND(W479/$W$2&gt;$BB$3,X479/$X$2&gt;$BB$3))</f>
        <v>#VALUE!</v>
      </c>
      <c r="BC479" s="27" t="e">
        <f>AND(AA479&lt;$BA$3,OR(W479/$W$2&gt;$BB$3,X479/$X$2&gt;$BB$3))</f>
        <v>#VALUE!</v>
      </c>
      <c r="BE479" s="32" t="s">
        <v>84</v>
      </c>
    </row>
    <row r="480" spans="1:57" s="27" customFormat="1" ht="12.75" customHeight="1" x14ac:dyDescent="0.2">
      <c r="A480" s="10">
        <v>920606</v>
      </c>
      <c r="B480" s="2">
        <v>14</v>
      </c>
      <c r="C480" s="10">
        <v>8</v>
      </c>
      <c r="D480" s="10">
        <v>22</v>
      </c>
      <c r="E480" s="10"/>
      <c r="F480" s="10"/>
      <c r="G480" s="10"/>
      <c r="H480" s="10"/>
      <c r="I480" s="10"/>
      <c r="J480" s="2">
        <v>28</v>
      </c>
      <c r="K480" s="10">
        <v>13</v>
      </c>
      <c r="L480" s="10">
        <v>50</v>
      </c>
      <c r="M480" s="10"/>
      <c r="N480" s="93"/>
      <c r="O480" s="13"/>
      <c r="P480" s="10">
        <v>100</v>
      </c>
      <c r="Q480" s="10"/>
      <c r="R480" s="2"/>
      <c r="S480" s="10"/>
      <c r="T480" s="13"/>
      <c r="U480" s="7">
        <f t="array" ref="U480">IF(AND(A480&lt;&gt;"",OR(ISNUMBER(B480:I480))),SUM(B480:I480),"")</f>
        <v>44</v>
      </c>
      <c r="V480" s="10">
        <f t="array" ref="V480">IF(AND(A480&lt;&gt;"",OR(ISNUMBER(J480:O480))),SUM(J480:O480),"")</f>
        <v>91</v>
      </c>
      <c r="W480" s="10">
        <f t="array" ref="W480">IF(AND(A480&lt;&gt;"",OR(ISNUMBER(P480),ISNUMBER(Q480))),SUM(MAX(P480:Q480),Q480),"")</f>
        <v>100</v>
      </c>
      <c r="X480" s="10" t="str">
        <f t="array" ref="X480">IF(AND(A480&lt;&gt;"",OR(ISNUMBER(S480),ISNUMBER(T480))),SUM(S480,T480),"")</f>
        <v/>
      </c>
      <c r="Y480" s="13">
        <v>1</v>
      </c>
      <c r="Z480" s="13">
        <f>IF(A480&lt;&gt;"",SUM(U480:Y480),"")</f>
        <v>236</v>
      </c>
      <c r="AA480" s="27">
        <f>IF(A480&lt;&gt;"",(Z480+Normalize_To_Add)/(Point_Total_So_Far)*100,"")</f>
        <v>77.377049180327873</v>
      </c>
      <c r="AB480" s="10">
        <f>IF(A480&lt;&gt;"",RANK(AA480,All_Student_XC),"")</f>
        <v>426</v>
      </c>
      <c r="AC480" s="32" t="str">
        <f>IF(A480&lt;&gt;"",CHOOSE(10-MIN(9,TRUNC((AA480+0.5)/10)),"A","B","C","D","F","F","F","F","F","F"),"")</f>
        <v>C</v>
      </c>
      <c r="AD480" s="31" t="str">
        <f>IF(A480&lt;&gt;"",IF(OR(AA480+0.5&gt;=93,AA480+0.5&lt;60),"",IF(MOD(AA480+0.5,10)&gt;=7,"+",IF(MOD(AA480+0.5,10)&lt;3,"-",""))),"")</f>
        <v>+</v>
      </c>
      <c r="AE480" s="32">
        <f>IF(A480&lt;&gt;"",SUM(W480:X480,$W$8:$X$8)/SUM($W$2:$X$2)*100,"")</f>
        <v>100</v>
      </c>
      <c r="AF480" s="32" t="str">
        <f>IF(A480&lt;&gt;"",CHOOSE(10-MIN(9,TRUNC((AE480+0.5)/10)),"A","B","C","D","F","F","F","F","F","F"),"")</f>
        <v>A</v>
      </c>
      <c r="AG480" s="32" t="str">
        <f>IF(A480&lt;&gt;"",IF(OR(AE480+0.5&gt;=93,AE480+0.5&lt;60),"",IF(MOD(AE480+0.5,10)&gt;=7,"+",IF(MOD(AE480+0.5,10)&lt;3,"-",""))),"")</f>
        <v/>
      </c>
      <c r="AH480" s="36">
        <f>IF(A480&lt;&gt;"",MIN(MAX(AA480,AE480),AA480+$AH$8,AE480+$AH$8),"")</f>
        <v>100</v>
      </c>
      <c r="AI480" s="32" t="str">
        <f>IF(A480&lt;&gt;"",CHOOSE(10-MIN(9,TRUNC((AH480+0.5)/10)),"A","B","C","D","F","F","F","F","F","F"),"")</f>
        <v>A</v>
      </c>
      <c r="AJ480" s="32" t="str">
        <f>IF(A480&lt;&gt;"",IF(OR(AH480+0.5&gt;=93,AH480+0.5&lt;60),"",IF(MOD(AH480+0.5,10)&gt;=7,"+",IF(MOD(AH480+0.5,10)&lt;3,"-",""))),"")</f>
        <v/>
      </c>
      <c r="AK480" s="71" t="b">
        <f>IF(A480&lt;&gt;"",OR(AI480&lt;&gt;AC480,AJ480&lt;&gt;AD480),"")</f>
        <v>1</v>
      </c>
      <c r="AL480" s="86">
        <f>IF(AND(A480&lt;&gt;"",U480&lt;&gt;""),SUM(U480,$AL$8)/$AL$2*100,"")</f>
        <v>58.666666666666664</v>
      </c>
      <c r="AM480" s="71">
        <f>IF(AND(A480&lt;&gt;"",V480&lt;&gt;""),SUM(V480,$AM$8)/$AM$2*100,"")</f>
        <v>70</v>
      </c>
      <c r="AN480" s="71">
        <f>IF(AND(A480&lt;&gt;"",ISNUMBER(P480),P480&gt;=0),SUM(P480,$AN$8)/$AN$2*100,"")</f>
        <v>100</v>
      </c>
      <c r="AO480" s="71" t="str">
        <f>IF(AND(A480&lt;&gt;"",ISNUMBER(Q480),Q480&gt;=0),SUM(Q480,$AO$8)/$AO$2*100,"")</f>
        <v/>
      </c>
      <c r="AP480" s="24" t="str">
        <f>IF(AND(A480&lt;&gt;"",R480&lt;&gt;""),SUM(R480,$AP$8)/$AP$2*100,"")</f>
        <v/>
      </c>
      <c r="AQ480" s="24">
        <f>IF(AND(A480&lt;&gt;"",ISNUMBER(W480),W480&gt;=0),SUM(W480,$AQ$8)/$AQ$2*100,"")</f>
        <v>100</v>
      </c>
      <c r="AR480" s="24" t="str">
        <f>IF(AND(A480&lt;&gt;"",T480&gt;0,ISNUMBER(T480)),SUM(T480,$AR$8)/$AR$2*100,"")</f>
        <v/>
      </c>
      <c r="AS480" s="24" t="str">
        <f>IF(AND(A480&lt;&gt;"",X480&lt;&gt;""),SUM(X480,$AS$8)/$AS$2*100,"")</f>
        <v/>
      </c>
      <c r="AT480" s="89">
        <f>IF(AND(A480&lt;&gt;"",OR(ISNUMBER(W480),ISNUMBER(X480))),SUM(W480:X480,$AT$8)/$AT$2*100,"")</f>
        <v>100</v>
      </c>
      <c r="AU480" s="24">
        <f>AA480</f>
        <v>77.377049180327873</v>
      </c>
      <c r="AV480" s="71"/>
      <c r="AW480" s="27">
        <f>IF(A480&lt;&gt;"",AE480-AA480,"")</f>
        <v>22.622950819672127</v>
      </c>
      <c r="AY480" s="27" t="b">
        <f>S480&gt;R480</f>
        <v>0</v>
      </c>
      <c r="BA480" s="27" t="e">
        <f>AND(AA480&gt;$BA$3,(W480+$W$8)/$W$2&lt;$BB$3,(X480+$X$8)/$X$2&lt;$BB$3)</f>
        <v>#VALUE!</v>
      </c>
      <c r="BB480" s="27" t="e">
        <f>AND(AA480&lt;$BA$3,AND(W480/$W$2&gt;$BB$3,X480/$X$2&gt;$BB$3))</f>
        <v>#VALUE!</v>
      </c>
      <c r="BC480" s="27" t="e">
        <f>AND(AA480&lt;$BA$3,OR(W480/$W$2&gt;$BB$3,X480/$X$2&gt;$BB$3))</f>
        <v>#VALUE!</v>
      </c>
      <c r="BE480" s="32">
        <v>32</v>
      </c>
    </row>
    <row r="481" spans="1:57" s="27" customFormat="1" ht="12.75" customHeight="1" x14ac:dyDescent="0.2">
      <c r="A481" s="10">
        <v>924607</v>
      </c>
      <c r="B481" s="2">
        <v>23</v>
      </c>
      <c r="C481" s="10">
        <v>23</v>
      </c>
      <c r="D481" s="10">
        <v>22</v>
      </c>
      <c r="E481" s="10"/>
      <c r="F481" s="10"/>
      <c r="G481" s="10"/>
      <c r="H481" s="10"/>
      <c r="I481" s="10"/>
      <c r="J481" s="2">
        <v>28</v>
      </c>
      <c r="K481" s="10">
        <v>49</v>
      </c>
      <c r="L481" s="10">
        <v>49</v>
      </c>
      <c r="M481" s="10"/>
      <c r="N481" s="10"/>
      <c r="O481" s="12"/>
      <c r="P481" s="7">
        <v>101</v>
      </c>
      <c r="Q481" s="7"/>
      <c r="R481" s="2"/>
      <c r="S481" s="10"/>
      <c r="T481" s="13"/>
      <c r="U481" s="35">
        <f t="array" ref="U481">IF(AND(A481&lt;&gt;"",OR(ISNUMBER(B481:I481))),SUM(B481:I481),"")</f>
        <v>68</v>
      </c>
      <c r="V481" s="10">
        <f t="array" ref="V481">IF(AND(A481&lt;&gt;"",OR(ISNUMBER(J481:O481))),SUM(J481:O481),"")</f>
        <v>126</v>
      </c>
      <c r="W481" s="10">
        <f t="array" ref="W481">IF(AND(A481&lt;&gt;"",OR(ISNUMBER(P481),ISNUMBER(Q481))),SUM(MAX(P481:Q481),Q481),"")</f>
        <v>101</v>
      </c>
      <c r="X481" s="10" t="str">
        <f t="array" ref="X481">IF(AND(A481&lt;&gt;"",OR(ISNUMBER(S481),ISNUMBER(T481))),SUM(S481,T481),"")</f>
        <v/>
      </c>
      <c r="Y481" s="13">
        <v>1</v>
      </c>
      <c r="Z481" s="13">
        <f>IF(A481&lt;&gt;"",SUM(U481:Y481),"")</f>
        <v>296</v>
      </c>
      <c r="AA481" s="27">
        <f>IF(A481&lt;&gt;"",(Z481+Normalize_To_Add)/(Point_Total_So_Far)*100,"")</f>
        <v>97.049180327868854</v>
      </c>
      <c r="AB481" s="10">
        <f>IF(A481&lt;&gt;"",RANK(AA481,All_Student_XC),"")</f>
        <v>237</v>
      </c>
      <c r="AC481" s="32" t="str">
        <f>IF(A481&lt;&gt;"",CHOOSE(10-MIN(9,TRUNC((AA481+0.5)/10)),"A","B","C","D","F","F","F","F","F","F"),"")</f>
        <v>A</v>
      </c>
      <c r="AD481" s="32" t="str">
        <f>IF(A481&lt;&gt;"",IF(OR(AA481+0.5&gt;=93,AA481+0.5&lt;60),"",IF(MOD(AA481+0.5,10)&gt;=7,"+",IF(MOD(AA481+0.5,10)&lt;3,"-",""))),"")</f>
        <v/>
      </c>
      <c r="AE481" s="32">
        <f>IF(A481&lt;&gt;"",SUM(W481:X481,$W$8:$X$8)/SUM($W$2:$X$2)*100,"")</f>
        <v>101</v>
      </c>
      <c r="AF481" s="32" t="str">
        <f>IF(A481&lt;&gt;"",CHOOSE(10-MIN(9,TRUNC((AE481+0.5)/10)),"A","B","C","D","F","F","F","F","F","F"),"")</f>
        <v>A</v>
      </c>
      <c r="AG481" s="32" t="str">
        <f>IF(A481&lt;&gt;"",IF(OR(AE481+0.5&gt;=93,AE481+0.5&lt;60),"",IF(MOD(AE481+0.5,10)&gt;=7,"+",IF(MOD(AE481+0.5,10)&lt;3,"-",""))),"")</f>
        <v/>
      </c>
      <c r="AH481" s="36">
        <f>IF(A481&lt;&gt;"",MIN(MAX(AA481,AE481),AA481+$AH$8,AE481+$AH$8),"")</f>
        <v>101</v>
      </c>
      <c r="AI481" s="32" t="str">
        <f>IF(A481&lt;&gt;"",CHOOSE(10-MIN(9,TRUNC((AH481+0.5)/10)),"A","B","C","D","F","F","F","F","F","F"),"")</f>
        <v>A</v>
      </c>
      <c r="AJ481" s="32" t="str">
        <f>IF(A481&lt;&gt;"",IF(OR(AH481+0.5&gt;=93,AH481+0.5&lt;60),"",IF(MOD(AH481+0.5,10)&gt;=7,"+",IF(MOD(AH481+0.5,10)&lt;3,"-",""))),"")</f>
        <v/>
      </c>
      <c r="AK481" s="32" t="b">
        <f>IF(A481&lt;&gt;"",OR(AI481&lt;&gt;AC481,AJ481&lt;&gt;AD481),"")</f>
        <v>0</v>
      </c>
      <c r="AL481" s="84">
        <f>IF(AND(A481&lt;&gt;"",U481&lt;&gt;""),SUM(U481,$AL$8)/$AL$2*100,"")</f>
        <v>90.666666666666657</v>
      </c>
      <c r="AM481" s="24">
        <f>IF(AND(A481&lt;&gt;"",V481&lt;&gt;""),SUM(V481,$AM$8)/$AM$2*100,"")</f>
        <v>96.92307692307692</v>
      </c>
      <c r="AN481" s="24">
        <f>IF(AND(A481&lt;&gt;"",ISNUMBER(P481),P481&gt;=0),SUM(P481,$AN$8)/$AN$2*100,"")</f>
        <v>101</v>
      </c>
      <c r="AO481" s="24" t="str">
        <f>IF(AND(A481&lt;&gt;"",ISNUMBER(Q481),Q481&gt;=0),SUM(Q481,$AO$8)/$AO$2*100,"")</f>
        <v/>
      </c>
      <c r="AP481" s="24" t="str">
        <f>IF(AND(A481&lt;&gt;"",R481&lt;&gt;""),SUM(R481,$AP$8)/$AP$2*100,"")</f>
        <v/>
      </c>
      <c r="AQ481" s="24">
        <f>IF(AND(A481&lt;&gt;"",ISNUMBER(W481),W481&gt;=0),SUM(W481,$AQ$8)/$AQ$2*100,"")</f>
        <v>101</v>
      </c>
      <c r="AR481" s="24" t="str">
        <f>IF(AND(A481&lt;&gt;"",T481&gt;0,ISNUMBER(T481)),SUM(T481,$AR$8)/$AR$2*100,"")</f>
        <v/>
      </c>
      <c r="AS481" s="24" t="str">
        <f>IF(AND(A481&lt;&gt;"",X481&lt;&gt;""),SUM(X481,$AS$8)/$AS$2*100,"")</f>
        <v/>
      </c>
      <c r="AT481" s="89">
        <f>IF(AND(A481&lt;&gt;"",OR(ISNUMBER(W481),ISNUMBER(X481))),SUM(W481:X481,$AT$8)/$AT$2*100,"")</f>
        <v>101</v>
      </c>
      <c r="AU481" s="24">
        <f>AA481</f>
        <v>97.049180327868854</v>
      </c>
      <c r="AV481" s="24"/>
      <c r="AW481" s="27">
        <f>IF(A481&lt;&gt;"",AE481-AA481,"")</f>
        <v>3.9508196721311464</v>
      </c>
      <c r="AY481" s="27" t="b">
        <f>S481&gt;R481</f>
        <v>0</v>
      </c>
      <c r="BA481" s="27" t="e">
        <f>AND(AA481&gt;$BA$3,(W481+$W$8)/$W$2&lt;$BB$3,(X481+$X$8)/$X$2&lt;$BB$3)</f>
        <v>#VALUE!</v>
      </c>
      <c r="BB481" s="27" t="e">
        <f>AND(AA481&lt;$BA$3,AND(W481/$W$2&gt;$BB$3,X481/$X$2&gt;$BB$3))</f>
        <v>#VALUE!</v>
      </c>
      <c r="BC481" s="27" t="e">
        <f>AND(AA481&lt;$BA$3,OR(W481/$W$2&gt;$BB$3,X481/$X$2&gt;$BB$3))</f>
        <v>#VALUE!</v>
      </c>
      <c r="BE481" s="32">
        <v>32</v>
      </c>
    </row>
    <row r="482" spans="1:57" s="27" customFormat="1" ht="12.75" customHeight="1" x14ac:dyDescent="0.2">
      <c r="A482" s="10">
        <v>929375</v>
      </c>
      <c r="B482" s="2">
        <v>24</v>
      </c>
      <c r="C482" s="10">
        <v>21</v>
      </c>
      <c r="D482" s="10">
        <v>23</v>
      </c>
      <c r="E482" s="10"/>
      <c r="F482" s="10"/>
      <c r="G482" s="10"/>
      <c r="H482" s="10"/>
      <c r="I482" s="10"/>
      <c r="J482" s="2">
        <v>31</v>
      </c>
      <c r="K482" s="10">
        <v>51</v>
      </c>
      <c r="L482" s="10">
        <v>49</v>
      </c>
      <c r="M482" s="10"/>
      <c r="N482" s="93"/>
      <c r="O482" s="12"/>
      <c r="P482" s="10">
        <v>100</v>
      </c>
      <c r="Q482" s="41"/>
      <c r="R482" s="2"/>
      <c r="S482" s="10"/>
      <c r="T482" s="13"/>
      <c r="U482" s="7">
        <f t="array" ref="U482">IF(AND(A482&lt;&gt;"",OR(ISNUMBER(B482:I482))),SUM(B482:I482),"")</f>
        <v>68</v>
      </c>
      <c r="V482" s="10">
        <f t="array" ref="V482">IF(AND(A482&lt;&gt;"",OR(ISNUMBER(J482:O482))),SUM(J482:O482),"")</f>
        <v>131</v>
      </c>
      <c r="W482" s="10">
        <f t="array" ref="W482">IF(AND(A482&lt;&gt;"",OR(ISNUMBER(P482),ISNUMBER(Q482))),SUM(MAX(P482:Q482),Q482),"")</f>
        <v>100</v>
      </c>
      <c r="X482" s="10" t="str">
        <f t="array" ref="X482">IF(AND(A482&lt;&gt;"",OR(ISNUMBER(S482),ISNUMBER(T482))),SUM(S482,T482),"")</f>
        <v/>
      </c>
      <c r="Y482" s="13">
        <v>1</v>
      </c>
      <c r="Z482" s="13">
        <f>IF(A482&lt;&gt;"",SUM(U482:Y482),"")</f>
        <v>300</v>
      </c>
      <c r="AA482" s="27">
        <f>IF(A482&lt;&gt;"",(Z482+Normalize_To_Add)/(Point_Total_So_Far)*100,"")</f>
        <v>98.360655737704917</v>
      </c>
      <c r="AB482" s="10">
        <f>IF(A482&lt;&gt;"",RANK(AA482,All_Student_XC),"")</f>
        <v>186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>
        <f>IF(A482&lt;&gt;"",SUM(W482:X482,$W$8:$X$8)/SUM($W$2:$X$2)*100,"")</f>
        <v>100</v>
      </c>
      <c r="AF482" s="32" t="str">
        <f>IF(A482&lt;&gt;"",CHOOSE(10-MIN(9,TRUNC((AE482+0.5)/10)),"A","B","C","D","F","F","F","F","F","F"),"")</f>
        <v>A</v>
      </c>
      <c r="AG482" s="32" t="str">
        <f>IF(A482&lt;&gt;"",IF(OR(AE482+0.5&gt;=93,AE482+0.5&lt;60),"",IF(MOD(AE482+0.5,10)&gt;=7,"+",IF(MOD(AE482+0.5,10)&lt;3,"-",""))),"")</f>
        <v/>
      </c>
      <c r="AH482" s="36">
        <f>IF(A482&lt;&gt;"",MIN(MAX(AA482,AE482),AA482+$AH$8,AE482+$AH$8),"")</f>
        <v>100</v>
      </c>
      <c r="AI482" s="32" t="str">
        <f>IF(A482&lt;&gt;"",CHOOSE(10-MIN(9,TRUNC((AH482+0.5)/10)),"A","B","C","D","F","F","F","F","F","F"),"")</f>
        <v>A</v>
      </c>
      <c r="AJ482" s="32" t="str">
        <f>IF(A482&lt;&gt;"",IF(OR(AH482+0.5&gt;=93,AH482+0.5&lt;60),"",IF(MOD(AH482+0.5,10)&gt;=7,"+",IF(MOD(AH482+0.5,10)&lt;3,"-",""))),"")</f>
        <v/>
      </c>
      <c r="AK482" s="32" t="b">
        <f>IF(A482&lt;&gt;"",OR(AI482&lt;&gt;AC482,AJ482&lt;&gt;AD482),"")</f>
        <v>0</v>
      </c>
      <c r="AL482" s="84">
        <f>IF(AND(A482&lt;&gt;"",U482&lt;&gt;""),SUM(U482,$AL$8)/$AL$2*100,"")</f>
        <v>90.666666666666657</v>
      </c>
      <c r="AM482" s="24">
        <f>IF(AND(A482&lt;&gt;"",V482&lt;&gt;""),SUM(V482,$AM$8)/$AM$2*100,"")</f>
        <v>100.76923076923077</v>
      </c>
      <c r="AN482" s="24">
        <f>IF(AND(A482&lt;&gt;"",ISNUMBER(P482),P482&gt;=0),SUM(P482,$AN$8)/$AN$2*100,"")</f>
        <v>100</v>
      </c>
      <c r="AO482" s="24" t="str">
        <f>IF(AND(A482&lt;&gt;"",ISNUMBER(Q482),Q482&gt;=0),SUM(Q482,$AO$8)/$AO$2*100,"")</f>
        <v/>
      </c>
      <c r="AP482" s="24" t="str">
        <f>IF(AND(A482&lt;&gt;"",R482&lt;&gt;""),SUM(R482,$AP$8)/$AP$2*100,"")</f>
        <v/>
      </c>
      <c r="AQ482" s="24">
        <f>IF(AND(A482&lt;&gt;"",ISNUMBER(W482),W482&gt;=0),SUM(W482,$AQ$8)/$AQ$2*100,"")</f>
        <v>100</v>
      </c>
      <c r="AR482" s="24" t="str">
        <f>IF(AND(A482&lt;&gt;"",T482&gt;0,ISNUMBER(T482)),SUM(T482,$AR$8)/$AR$2*100,"")</f>
        <v/>
      </c>
      <c r="AS482" s="24" t="str">
        <f>IF(AND(A482&lt;&gt;"",X482&lt;&gt;""),SUM(X482,$AS$8)/$AS$2*100,"")</f>
        <v/>
      </c>
      <c r="AT482" s="89">
        <f>IF(AND(A482&lt;&gt;"",OR(ISNUMBER(W482),ISNUMBER(X482))),SUM(W482:X482,$AT$8)/$AT$2*100,"")</f>
        <v>100</v>
      </c>
      <c r="AU482" s="24">
        <f>AA482</f>
        <v>98.360655737704917</v>
      </c>
      <c r="AV482" s="24"/>
      <c r="AW482" s="27">
        <f>IF(A482&lt;&gt;"",AE482-AA482,"")</f>
        <v>1.6393442622950829</v>
      </c>
      <c r="AY482" s="27" t="b">
        <f>S482&gt;R482</f>
        <v>0</v>
      </c>
      <c r="BA482" s="27" t="e">
        <f>AND(AA482&gt;$BA$3,(W482+$W$8)/$W$2&lt;$BB$3,(X482+$X$8)/$X$2&lt;$BB$3)</f>
        <v>#VALUE!</v>
      </c>
      <c r="BB482" s="27" t="e">
        <f>AND(AA482&lt;$BA$3,AND(W482/$W$2&gt;$BB$3,X482/$X$2&gt;$BB$3))</f>
        <v>#VALUE!</v>
      </c>
      <c r="BC482" s="27" t="e">
        <f>AND(AA482&lt;$BA$3,OR(W482/$W$2&gt;$BB$3,X482/$X$2&gt;$BB$3))</f>
        <v>#VALUE!</v>
      </c>
      <c r="BE482" s="32" t="s">
        <v>85</v>
      </c>
    </row>
    <row r="483" spans="1:57" s="27" customFormat="1" ht="12.75" customHeight="1" x14ac:dyDescent="0.2">
      <c r="A483" s="10">
        <v>929552</v>
      </c>
      <c r="B483" s="2">
        <v>24</v>
      </c>
      <c r="C483" s="10">
        <v>23</v>
      </c>
      <c r="D483" s="10">
        <v>25</v>
      </c>
      <c r="E483" s="10"/>
      <c r="F483" s="10"/>
      <c r="G483" s="3"/>
      <c r="H483" s="10"/>
      <c r="I483" s="10"/>
      <c r="J483" s="2">
        <v>32</v>
      </c>
      <c r="K483" s="10">
        <v>52</v>
      </c>
      <c r="L483" s="10">
        <v>51</v>
      </c>
      <c r="M483" s="10"/>
      <c r="N483" s="10"/>
      <c r="O483" s="12"/>
      <c r="P483" s="41">
        <v>100</v>
      </c>
      <c r="Q483" s="41"/>
      <c r="R483" s="2"/>
      <c r="S483" s="10"/>
      <c r="T483" s="13"/>
      <c r="U483" s="7">
        <f t="array" ref="U483">IF(AND(A483&lt;&gt;"",OR(ISNUMBER(B483:I483))),SUM(B483:I483),"")</f>
        <v>72</v>
      </c>
      <c r="V483" s="10">
        <f t="array" ref="V483">IF(AND(A483&lt;&gt;"",OR(ISNUMBER(J483:O483))),SUM(J483:O483),"")</f>
        <v>135</v>
      </c>
      <c r="W483" s="10">
        <f t="array" ref="W483">IF(AND(A483&lt;&gt;"",OR(ISNUMBER(P483),ISNUMBER(Q483))),SUM(MAX(P483:Q483),Q483),"")</f>
        <v>100</v>
      </c>
      <c r="X483" s="10" t="str">
        <f t="array" ref="X483">IF(AND(A483&lt;&gt;"",OR(ISNUMBER(S483),ISNUMBER(T483))),SUM(S483,T483),"")</f>
        <v/>
      </c>
      <c r="Y483" s="13">
        <v>1</v>
      </c>
      <c r="Z483" s="13">
        <f>IF(A483&lt;&gt;"",SUM(U483:Y483),"")</f>
        <v>308</v>
      </c>
      <c r="AA483" s="27">
        <f>IF(A483&lt;&gt;"",(Z483+Normalize_To_Add)/(Point_Total_So_Far)*100,"")</f>
        <v>100.98360655737706</v>
      </c>
      <c r="AB483" s="10">
        <f>IF(A483&lt;&gt;"",RANK(AA483,All_Student_XC),"")</f>
        <v>57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>
        <f>IF(A483&lt;&gt;"",SUM(W483:X483,$W$8:$X$8)/SUM($W$2:$X$2)*100,"")</f>
        <v>100</v>
      </c>
      <c r="AF483" s="32" t="str">
        <f>IF(A483&lt;&gt;"",CHOOSE(10-MIN(9,TRUNC((AE483+0.5)/10)),"A","B","C","D","F","F","F","F","F","F"),"")</f>
        <v>A</v>
      </c>
      <c r="AG483" s="32" t="str">
        <f>IF(A483&lt;&gt;"",IF(OR(AE483+0.5&gt;=93,AE483+0.5&lt;60),"",IF(MOD(AE483+0.5,10)&gt;=7,"+",IF(MOD(AE483+0.5,10)&lt;3,"-",""))),"")</f>
        <v/>
      </c>
      <c r="AH483" s="36">
        <f>IF(A483&lt;&gt;"",MIN(MAX(AA483,AE483),AA483+$AH$8,AE483+$AH$8),"")</f>
        <v>100.98360655737706</v>
      </c>
      <c r="AI483" s="32" t="str">
        <f>IF(A483&lt;&gt;"",CHOOSE(10-MIN(9,TRUNC((AH483+0.5)/10)),"A","B","C","D","F","F","F","F","F","F"),"")</f>
        <v>A</v>
      </c>
      <c r="AJ483" s="32" t="str">
        <f>IF(A483&lt;&gt;"",IF(OR(AH483+0.5&gt;=93,AH483+0.5&lt;60),"",IF(MOD(AH483+0.5,10)&gt;=7,"+",IF(MOD(AH483+0.5,10)&lt;3,"-",""))),"")</f>
        <v/>
      </c>
      <c r="AK483" s="32" t="b">
        <f>IF(A483&lt;&gt;"",OR(AI483&lt;&gt;AC483,AJ483&lt;&gt;AD483),"")</f>
        <v>0</v>
      </c>
      <c r="AL483" s="84">
        <f>IF(AND(A483&lt;&gt;"",U483&lt;&gt;""),SUM(U483,$AL$8)/$AL$2*100,"")</f>
        <v>96</v>
      </c>
      <c r="AM483" s="24">
        <f>IF(AND(A483&lt;&gt;"",V483&lt;&gt;""),SUM(V483,$AM$8)/$AM$2*100,"")</f>
        <v>103.84615384615385</v>
      </c>
      <c r="AN483" s="24">
        <f>IF(AND(A483&lt;&gt;"",ISNUMBER(P483),P483&gt;=0),SUM(P483,$AN$8)/$AN$2*100,"")</f>
        <v>100</v>
      </c>
      <c r="AO483" s="24" t="str">
        <f>IF(AND(A483&lt;&gt;"",ISNUMBER(Q483),Q483&gt;=0),SUM(Q483,$AO$8)/$AO$2*100,"")</f>
        <v/>
      </c>
      <c r="AP483" s="24" t="str">
        <f>IF(AND(A483&lt;&gt;"",R483&lt;&gt;""),SUM(R483,$AP$8)/$AP$2*100,"")</f>
        <v/>
      </c>
      <c r="AQ483" s="24">
        <f>IF(AND(A483&lt;&gt;"",ISNUMBER(W483),W483&gt;=0),SUM(W483,$AQ$8)/$AQ$2*100,"")</f>
        <v>100</v>
      </c>
      <c r="AR483" s="24" t="str">
        <f>IF(AND(A483&lt;&gt;"",T483&gt;0,ISNUMBER(T483)),SUM(T483,$AR$8)/$AR$2*100,"")</f>
        <v/>
      </c>
      <c r="AS483" s="24" t="str">
        <f>IF(AND(A483&lt;&gt;"",X483&lt;&gt;""),SUM(X483,$AS$8)/$AS$2*100,"")</f>
        <v/>
      </c>
      <c r="AT483" s="89">
        <f>IF(AND(A483&lt;&gt;"",OR(ISNUMBER(W483),ISNUMBER(X483))),SUM(W483:X483,$AT$8)/$AT$2*100,"")</f>
        <v>100</v>
      </c>
      <c r="AU483" s="24">
        <f>AA483</f>
        <v>100.98360655737706</v>
      </c>
      <c r="AV483" s="24"/>
      <c r="AW483" s="27">
        <f>IF(A483&lt;&gt;"",AE483-AA483,"")</f>
        <v>-0.98360655737705827</v>
      </c>
      <c r="AY483" s="27" t="b">
        <f>S483&gt;R483</f>
        <v>0</v>
      </c>
      <c r="BA483" s="27" t="e">
        <f>AND(AA483&gt;$BA$3,(W483+$W$8)/$W$2&lt;$BB$3,(X483+$X$8)/$X$2&lt;$BB$3)</f>
        <v>#VALUE!</v>
      </c>
      <c r="BB483" s="27" t="e">
        <f>AND(AA483&lt;$BA$3,AND(W483/$W$2&gt;$BB$3,X483/$X$2&gt;$BB$3))</f>
        <v>#VALUE!</v>
      </c>
      <c r="BC483" s="27" t="e">
        <f>AND(AA483&lt;$BA$3,OR(W483/$W$2&gt;$BB$3,X483/$X$2&gt;$BB$3))</f>
        <v>#VALUE!</v>
      </c>
      <c r="BE483" s="32">
        <v>32</v>
      </c>
    </row>
    <row r="484" spans="1:57" s="27" customFormat="1" ht="12.75" customHeight="1" x14ac:dyDescent="0.2">
      <c r="A484" s="10">
        <v>931090</v>
      </c>
      <c r="B484" s="2">
        <v>25</v>
      </c>
      <c r="C484" s="10">
        <v>23</v>
      </c>
      <c r="D484" s="10">
        <v>25</v>
      </c>
      <c r="E484" s="10"/>
      <c r="F484" s="10"/>
      <c r="G484" s="10"/>
      <c r="H484" s="10"/>
      <c r="I484" s="10"/>
      <c r="J484" s="2">
        <v>29</v>
      </c>
      <c r="K484" s="10">
        <v>41</v>
      </c>
      <c r="L484" s="10">
        <v>51</v>
      </c>
      <c r="M484" s="10"/>
      <c r="N484" s="93"/>
      <c r="O484" s="13"/>
      <c r="P484" s="10">
        <v>101</v>
      </c>
      <c r="Q484" s="10"/>
      <c r="R484" s="2"/>
      <c r="S484" s="10"/>
      <c r="T484" s="13"/>
      <c r="U484" s="1">
        <f t="array" ref="U484">IF(AND(A484&lt;&gt;"",OR(ISNUMBER(B484:I484))),SUM(B484:I484),"")</f>
        <v>73</v>
      </c>
      <c r="V484" s="10">
        <f t="array" ref="V484">IF(AND(A484&lt;&gt;"",OR(ISNUMBER(J484:O484))),SUM(J484:O484),"")</f>
        <v>121</v>
      </c>
      <c r="W484" s="10">
        <f t="array" ref="W484">IF(AND(A484&lt;&gt;"",OR(ISNUMBER(P484),ISNUMBER(Q484))),SUM(MAX(P484:Q484),Q484),"")</f>
        <v>101</v>
      </c>
      <c r="X484" s="10" t="str">
        <f t="array" ref="X484">IF(AND(A484&lt;&gt;"",OR(ISNUMBER(S484),ISNUMBER(T484))),SUM(S484,T484),"")</f>
        <v/>
      </c>
      <c r="Y484" s="13">
        <v>1</v>
      </c>
      <c r="Z484" s="13">
        <f>IF(A484&lt;&gt;"",SUM(U484:Y484),"")</f>
        <v>296</v>
      </c>
      <c r="AA484" s="27">
        <f>IF(A484&lt;&gt;"",(Z484+Normalize_To_Add)/(Point_Total_So_Far)*100,"")</f>
        <v>97.049180327868854</v>
      </c>
      <c r="AB484" s="10">
        <f>IF(A484&lt;&gt;"",RANK(AA484,All_Student_XC),"")</f>
        <v>237</v>
      </c>
      <c r="AC484" s="32" t="str">
        <f>IF(A484&lt;&gt;"",CHOOSE(10-MIN(9,TRUNC((AA484+0.5)/10)),"A","B","C","D","F","F","F","F","F","F"),"")</f>
        <v>A</v>
      </c>
      <c r="AD484" s="31" t="str">
        <f>IF(A484&lt;&gt;"",IF(OR(AA484+0.5&gt;=93,AA484+0.5&lt;60),"",IF(MOD(AA484+0.5,10)&gt;=7,"+",IF(MOD(AA484+0.5,10)&lt;3,"-",""))),"")</f>
        <v/>
      </c>
      <c r="AE484" s="32">
        <f>IF(A484&lt;&gt;"",SUM(W484:X484,$W$8:$X$8)/SUM($W$2:$X$2)*100,"")</f>
        <v>101</v>
      </c>
      <c r="AF484" s="32" t="str">
        <f>IF(A484&lt;&gt;"",CHOOSE(10-MIN(9,TRUNC((AE484+0.5)/10)),"A","B","C","D","F","F","F","F","F","F"),"")</f>
        <v>A</v>
      </c>
      <c r="AG484" s="32" t="str">
        <f>IF(A484&lt;&gt;"",IF(OR(AE484+0.5&gt;=93,AE484+0.5&lt;60),"",IF(MOD(AE484+0.5,10)&gt;=7,"+",IF(MOD(AE484+0.5,10)&lt;3,"-",""))),"")</f>
        <v/>
      </c>
      <c r="AH484" s="36">
        <f>IF(A484&lt;&gt;"",MIN(MAX(AA484,AE484),AA484+$AH$8,AE484+$AH$8),"")</f>
        <v>101</v>
      </c>
      <c r="AI484" s="32" t="str">
        <f>IF(A484&lt;&gt;"",CHOOSE(10-MIN(9,TRUNC((AH484+0.5)/10)),"A","B","C","D","F","F","F","F","F","F"),"")</f>
        <v>A</v>
      </c>
      <c r="AJ484" s="32" t="str">
        <f>IF(A484&lt;&gt;"",IF(OR(AH484+0.5&gt;=93,AH484+0.5&lt;60),"",IF(MOD(AH484+0.5,10)&gt;=7,"+",IF(MOD(AH484+0.5,10)&lt;3,"-",""))),"")</f>
        <v/>
      </c>
      <c r="AK484" s="71" t="b">
        <f>IF(A484&lt;&gt;"",OR(AI484&lt;&gt;AC484,AJ484&lt;&gt;AD484),"")</f>
        <v>0</v>
      </c>
      <c r="AL484" s="86">
        <f>IF(AND(A484&lt;&gt;"",U484&lt;&gt;""),SUM(U484,$AL$8)/$AL$2*100,"")</f>
        <v>97.333333333333343</v>
      </c>
      <c r="AM484" s="71">
        <f>IF(AND(A484&lt;&gt;"",V484&lt;&gt;""),SUM(V484,$AM$8)/$AM$2*100,"")</f>
        <v>93.07692307692308</v>
      </c>
      <c r="AN484" s="71">
        <f>IF(AND(A484&lt;&gt;"",ISNUMBER(P484),P484&gt;=0),SUM(P484,$AN$8)/$AN$2*100,"")</f>
        <v>101</v>
      </c>
      <c r="AO484" s="71" t="str">
        <f>IF(AND(A484&lt;&gt;"",ISNUMBER(Q484),Q484&gt;=0),SUM(Q484,$AO$8)/$AO$2*100,"")</f>
        <v/>
      </c>
      <c r="AP484" s="24" t="str">
        <f>IF(AND(A484&lt;&gt;"",R484&lt;&gt;""),SUM(R484,$AP$8)/$AP$2*100,"")</f>
        <v/>
      </c>
      <c r="AQ484" s="24">
        <f>IF(AND(A484&lt;&gt;"",ISNUMBER(W484),W484&gt;=0),SUM(W484,$AQ$8)/$AQ$2*100,"")</f>
        <v>101</v>
      </c>
      <c r="AR484" s="24" t="str">
        <f>IF(AND(A484&lt;&gt;"",T484&gt;0,ISNUMBER(T484)),SUM(T484,$AR$8)/$AR$2*100,"")</f>
        <v/>
      </c>
      <c r="AS484" s="24" t="str">
        <f>IF(AND(A484&lt;&gt;"",X484&lt;&gt;""),SUM(X484,$AS$8)/$AS$2*100,"")</f>
        <v/>
      </c>
      <c r="AT484" s="89">
        <f>IF(AND(A484&lt;&gt;"",OR(ISNUMBER(W484),ISNUMBER(X484))),SUM(W484:X484,$AT$8)/$AT$2*100,"")</f>
        <v>101</v>
      </c>
      <c r="AU484" s="24">
        <f>AA484</f>
        <v>97.049180327868854</v>
      </c>
      <c r="AV484" s="71"/>
      <c r="AW484" s="27">
        <f>IF(A484&lt;&gt;"",AE484-AA484,"")</f>
        <v>3.9508196721311464</v>
      </c>
      <c r="AY484" s="27" t="b">
        <f>S484&gt;R484</f>
        <v>0</v>
      </c>
      <c r="BA484" s="27" t="e">
        <f>AND(AA484&gt;$BA$3,(W484+$W$8)/$W$2&lt;$BB$3,(X484+$X$8)/$X$2&lt;$BB$3)</f>
        <v>#VALUE!</v>
      </c>
      <c r="BB484" s="27" t="e">
        <f>AND(AA484&lt;$BA$3,AND(W484/$W$2&gt;$BB$3,X484/$X$2&gt;$BB$3))</f>
        <v>#VALUE!</v>
      </c>
      <c r="BC484" s="27" t="e">
        <f>AND(AA484&lt;$BA$3,OR(W484/$W$2&gt;$BB$3,X484/$X$2&gt;$BB$3))</f>
        <v>#VALUE!</v>
      </c>
      <c r="BE484" s="32" t="s">
        <v>84</v>
      </c>
    </row>
    <row r="485" spans="1:57" s="27" customFormat="1" ht="12.75" customHeight="1" x14ac:dyDescent="0.2">
      <c r="A485" s="10">
        <v>933307</v>
      </c>
      <c r="B485" s="2">
        <v>17</v>
      </c>
      <c r="C485" s="10">
        <v>20</v>
      </c>
      <c r="D485" s="10">
        <v>22</v>
      </c>
      <c r="E485" s="10"/>
      <c r="F485" s="10"/>
      <c r="G485" s="10"/>
      <c r="H485" s="10"/>
      <c r="I485" s="10"/>
      <c r="J485" s="2">
        <v>29</v>
      </c>
      <c r="K485" s="10">
        <v>52</v>
      </c>
      <c r="L485" s="10">
        <v>46</v>
      </c>
      <c r="M485" s="10"/>
      <c r="N485" s="93"/>
      <c r="O485" s="13"/>
      <c r="P485" s="10">
        <v>101</v>
      </c>
      <c r="Q485" s="10"/>
      <c r="R485" s="2"/>
      <c r="S485" s="10"/>
      <c r="T485" s="13"/>
      <c r="U485" s="7">
        <f t="array" ref="U485">IF(AND(A485&lt;&gt;"",OR(ISNUMBER(B485:I485))),SUM(B485:I485),"")</f>
        <v>59</v>
      </c>
      <c r="V485" s="10">
        <f t="array" ref="V485">IF(AND(A485&lt;&gt;"",OR(ISNUMBER(J485:O485))),SUM(J485:O485),"")</f>
        <v>127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288</v>
      </c>
      <c r="AA485" s="27">
        <f>IF(A485&lt;&gt;"",(Z485+Normalize_To_Add)/(Point_Total_So_Far)*100,"")</f>
        <v>94.426229508196727</v>
      </c>
      <c r="AB485" s="10">
        <f>IF(A485&lt;&gt;"",RANK(AA485,All_Student_XC),"")</f>
        <v>279</v>
      </c>
      <c r="AC485" s="32" t="str">
        <f>IF(A485&lt;&gt;"",CHOOSE(10-MIN(9,TRUNC((AA485+0.5)/10)),"A","B","C","D","F","F","F","F","F","F"),"")</f>
        <v>A</v>
      </c>
      <c r="AD485" s="31" t="str">
        <f>IF(A485&lt;&gt;"",IF(OR(AA485+0.5&gt;=93,AA485+0.5&lt;60),"",IF(MOD(AA485+0.5,10)&gt;=7,"+",IF(MOD(AA485+0.5,10)&lt;3,"-",""))),"")</f>
        <v/>
      </c>
      <c r="AE485" s="32">
        <f>IF(A485&lt;&gt;"",SUM(W485:X485,$W$8:$X$8)/SUM($W$2:$X$2)*100,"")</f>
        <v>101</v>
      </c>
      <c r="AF485" s="32" t="str">
        <f>IF(A485&lt;&gt;"",CHOOSE(10-MIN(9,TRUNC((AE485+0.5)/10)),"A","B","C","D","F","F","F","F","F","F"),"")</f>
        <v>A</v>
      </c>
      <c r="AG485" s="32" t="str">
        <f>IF(A485&lt;&gt;"",IF(OR(AE485+0.5&gt;=93,AE485+0.5&lt;60),"",IF(MOD(AE485+0.5,10)&gt;=7,"+",IF(MOD(AE485+0.5,10)&lt;3,"-",""))),"")</f>
        <v/>
      </c>
      <c r="AH485" s="36">
        <f>IF(A485&lt;&gt;"",MIN(MAX(AA485,AE485),AA485+$AH$8,AE485+$AH$8),"")</f>
        <v>101</v>
      </c>
      <c r="AI485" s="32" t="str">
        <f>IF(A485&lt;&gt;"",CHOOSE(10-MIN(9,TRUNC((AH485+0.5)/10)),"A","B","C","D","F","F","F","F","F","F"),"")</f>
        <v>A</v>
      </c>
      <c r="AJ485" s="32" t="str">
        <f>IF(A485&lt;&gt;"",IF(OR(AH485+0.5&gt;=93,AH485+0.5&lt;60),"",IF(MOD(AH485+0.5,10)&gt;=7,"+",IF(MOD(AH485+0.5,10)&lt;3,"-",""))),"")</f>
        <v/>
      </c>
      <c r="AK485" s="71" t="b">
        <f>IF(A485&lt;&gt;"",OR(AI485&lt;&gt;AC485,AJ485&lt;&gt;AD485),"")</f>
        <v>0</v>
      </c>
      <c r="AL485" s="86">
        <f>IF(AND(A485&lt;&gt;"",U485&lt;&gt;""),SUM(U485,$AL$8)/$AL$2*100,"")</f>
        <v>78.666666666666657</v>
      </c>
      <c r="AM485" s="71">
        <f>IF(AND(A485&lt;&gt;"",V485&lt;&gt;""),SUM(V485,$AM$8)/$AM$2*100,"")</f>
        <v>97.692307692307693</v>
      </c>
      <c r="AN485" s="71">
        <f>IF(AND(A485&lt;&gt;"",ISNUMBER(P485),P485&gt;=0),SUM(P485,$AN$8)/$AN$2*100,"")</f>
        <v>101</v>
      </c>
      <c r="AO485" s="71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>
        <f>IF(AND(A485&lt;&gt;"",ISNUMBER(W485),W485&gt;=0),SUM(W485,$AQ$8)/$AQ$2*100,"")</f>
        <v>101</v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9">
        <f>IF(AND(A485&lt;&gt;"",OR(ISNUMBER(W485),ISNUMBER(X485))),SUM(W485:X485,$AT$8)/$AT$2*100,"")</f>
        <v>101</v>
      </c>
      <c r="AU485" s="24">
        <f>AA485</f>
        <v>94.426229508196727</v>
      </c>
      <c r="AV485" s="71"/>
      <c r="AW485" s="27">
        <f>IF(A485&lt;&gt;"",AE485-AA485,"")</f>
        <v>6.5737704918032733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  <c r="BE485" s="32" t="s">
        <v>85</v>
      </c>
    </row>
    <row r="486" spans="1:57" s="27" customFormat="1" ht="12.75" customHeight="1" x14ac:dyDescent="0.2">
      <c r="A486" s="10">
        <v>934603</v>
      </c>
      <c r="B486" s="2">
        <v>17</v>
      </c>
      <c r="C486" s="10">
        <v>22</v>
      </c>
      <c r="D486" s="10">
        <v>24</v>
      </c>
      <c r="E486" s="10"/>
      <c r="F486" s="10"/>
      <c r="G486" s="3"/>
      <c r="H486" s="10"/>
      <c r="I486" s="10"/>
      <c r="J486" s="2">
        <v>31</v>
      </c>
      <c r="K486" s="10">
        <v>48</v>
      </c>
      <c r="L486" s="10">
        <v>50</v>
      </c>
      <c r="M486" s="10"/>
      <c r="N486" s="10"/>
      <c r="O486" s="12"/>
      <c r="P486" s="7">
        <v>101</v>
      </c>
      <c r="Q486" s="7"/>
      <c r="R486" s="2"/>
      <c r="S486" s="10"/>
      <c r="T486" s="13"/>
      <c r="U486" s="35">
        <f t="array" ref="U486">IF(AND(A486&lt;&gt;"",OR(ISNUMBER(B486:I486))),SUM(B486:I486),"")</f>
        <v>63</v>
      </c>
      <c r="V486" s="10">
        <f t="array" ref="V486">IF(AND(A486&lt;&gt;"",OR(ISNUMBER(J486:O486))),SUM(J486:O486),"")</f>
        <v>129</v>
      </c>
      <c r="W486" s="10">
        <f t="array" ref="W486">IF(AND(A486&lt;&gt;"",OR(ISNUMBER(P486),ISNUMBER(Q486))),SUM(MAX(P486:Q486),Q486),"")</f>
        <v>101</v>
      </c>
      <c r="X486" s="10" t="str">
        <f t="array" ref="X486">IF(AND(A486&lt;&gt;"",OR(ISNUMBER(S486),ISNUMBER(T486))),SUM(S486,T486),"")</f>
        <v/>
      </c>
      <c r="Y486" s="13">
        <v>1</v>
      </c>
      <c r="Z486" s="13">
        <f>IF(A486&lt;&gt;"",SUM(U486:Y486),"")</f>
        <v>294</v>
      </c>
      <c r="AA486" s="27">
        <f>IF(A486&lt;&gt;"",(Z486+Normalize_To_Add)/(Point_Total_So_Far)*100,"")</f>
        <v>96.393442622950815</v>
      </c>
      <c r="AB486" s="10">
        <f>IF(A486&lt;&gt;"",RANK(AA486,All_Student_XC),"")</f>
        <v>251</v>
      </c>
      <c r="AC486" s="32" t="str">
        <f>IF(A486&lt;&gt;"",CHOOSE(10-MIN(9,TRUNC((AA486+0.5)/10)),"A","B","C","D","F","F","F","F","F","F"),"")</f>
        <v>A</v>
      </c>
      <c r="AD486" s="32" t="str">
        <f>IF(A486&lt;&gt;"",IF(OR(AA486+0.5&gt;=93,AA486+0.5&lt;60),"",IF(MOD(AA486+0.5,10)&gt;=7,"+",IF(MOD(AA486+0.5,10)&lt;3,"-",""))),"")</f>
        <v/>
      </c>
      <c r="AE486" s="32">
        <f>IF(A486&lt;&gt;"",SUM(W486:X486,$W$8:$X$8)/SUM($W$2:$X$2)*100,"")</f>
        <v>101</v>
      </c>
      <c r="AF486" s="32" t="str">
        <f>IF(A486&lt;&gt;"",CHOOSE(10-MIN(9,TRUNC((AE486+0.5)/10)),"A","B","C","D","F","F","F","F","F","F"),"")</f>
        <v>A</v>
      </c>
      <c r="AG486" s="32" t="str">
        <f>IF(A486&lt;&gt;"",IF(OR(AE486+0.5&gt;=93,AE486+0.5&lt;60),"",IF(MOD(AE486+0.5,10)&gt;=7,"+",IF(MOD(AE486+0.5,10)&lt;3,"-",""))),"")</f>
        <v/>
      </c>
      <c r="AH486" s="36">
        <f>IF(A486&lt;&gt;"",MIN(MAX(AA486,AE486),AA486+$AH$8,AE486+$AH$8),"")</f>
        <v>101</v>
      </c>
      <c r="AI486" s="32" t="str">
        <f>IF(A486&lt;&gt;"",CHOOSE(10-MIN(9,TRUNC((AH486+0.5)/10)),"A","B","C","D","F","F","F","F","F","F"),"")</f>
        <v>A</v>
      </c>
      <c r="AJ486" s="32" t="str">
        <f>IF(A486&lt;&gt;"",IF(OR(AH486+0.5&gt;=93,AH486+0.5&lt;60),"",IF(MOD(AH486+0.5,10)&gt;=7,"+",IF(MOD(AH486+0.5,10)&lt;3,"-",""))),"")</f>
        <v/>
      </c>
      <c r="AK486" s="32" t="b">
        <f>IF(A486&lt;&gt;"",OR(AI486&lt;&gt;AC486,AJ486&lt;&gt;AD486),"")</f>
        <v>0</v>
      </c>
      <c r="AL486" s="84">
        <f>IF(AND(A486&lt;&gt;"",U486&lt;&gt;""),SUM(U486,$AL$8)/$AL$2*100,"")</f>
        <v>84</v>
      </c>
      <c r="AM486" s="24">
        <f>IF(AND(A486&lt;&gt;"",V486&lt;&gt;""),SUM(V486,$AM$8)/$AM$2*100,"")</f>
        <v>99.230769230769226</v>
      </c>
      <c r="AN486" s="24">
        <f>IF(AND(A486&lt;&gt;"",ISNUMBER(P486),P486&gt;=0),SUM(P486,$AN$8)/$AN$2*100,"")</f>
        <v>101</v>
      </c>
      <c r="AO486" s="24" t="str">
        <f>IF(AND(A486&lt;&gt;"",ISNUMBER(Q486),Q486&gt;=0),SUM(Q486,$AO$8)/$AO$2*100,"")</f>
        <v/>
      </c>
      <c r="AP486" s="24" t="str">
        <f>IF(AND(A486&lt;&gt;"",R486&lt;&gt;""),SUM(R486,$AP$8)/$AP$2*100,"")</f>
        <v/>
      </c>
      <c r="AQ486" s="24">
        <f>IF(AND(A486&lt;&gt;"",ISNUMBER(W486),W486&gt;=0),SUM(W486,$AQ$8)/$AQ$2*100,"")</f>
        <v>101</v>
      </c>
      <c r="AR486" s="24" t="str">
        <f>IF(AND(A486&lt;&gt;"",T486&gt;0,ISNUMBER(T486)),SUM(T486,$AR$8)/$AR$2*100,"")</f>
        <v/>
      </c>
      <c r="AS486" s="24" t="str">
        <f>IF(AND(A486&lt;&gt;"",X486&lt;&gt;""),SUM(X486,$AS$8)/$AS$2*100,"")</f>
        <v/>
      </c>
      <c r="AT486" s="89">
        <f>IF(AND(A486&lt;&gt;"",OR(ISNUMBER(W486),ISNUMBER(X486))),SUM(W486:X486,$AT$8)/$AT$2*100,"")</f>
        <v>101</v>
      </c>
      <c r="AU486" s="24">
        <f>AA486</f>
        <v>96.393442622950815</v>
      </c>
      <c r="AV486" s="24"/>
      <c r="AW486" s="27">
        <f>IF(A486&lt;&gt;"",AE486-AA486,"")</f>
        <v>4.6065573770491852</v>
      </c>
      <c r="AY486" s="27" t="b">
        <f>S486&gt;R486</f>
        <v>0</v>
      </c>
      <c r="BA486" s="27" t="e">
        <f>AND(AA486&gt;$BA$3,(W486+$W$8)/$W$2&lt;$BB$3,(X486+$X$8)/$X$2&lt;$BB$3)</f>
        <v>#VALUE!</v>
      </c>
      <c r="BB486" s="27" t="e">
        <f>AND(AA486&lt;$BA$3,AND(W486/$W$2&gt;$BB$3,X486/$X$2&gt;$BB$3))</f>
        <v>#VALUE!</v>
      </c>
      <c r="BC486" s="27" t="e">
        <f>AND(AA486&lt;$BA$3,OR(W486/$W$2&gt;$BB$3,X486/$X$2&gt;$BB$3))</f>
        <v>#VALUE!</v>
      </c>
      <c r="BE486" s="32">
        <v>32</v>
      </c>
    </row>
    <row r="487" spans="1:57" s="99" customFormat="1" ht="12.75" customHeight="1" x14ac:dyDescent="0.2">
      <c r="A487" s="78">
        <v>935156</v>
      </c>
      <c r="B487" s="97">
        <v>21</v>
      </c>
      <c r="C487" s="78">
        <v>23</v>
      </c>
      <c r="D487" s="78">
        <v>25</v>
      </c>
      <c r="E487" s="78"/>
      <c r="F487" s="78"/>
      <c r="G487" s="78"/>
      <c r="H487" s="78"/>
      <c r="I487" s="78"/>
      <c r="J487" s="97">
        <v>29</v>
      </c>
      <c r="K487" s="78">
        <v>50</v>
      </c>
      <c r="L487" s="78">
        <v>49</v>
      </c>
      <c r="M487" s="78"/>
      <c r="N487" s="78"/>
      <c r="O487" s="108"/>
      <c r="P487" s="79">
        <v>101</v>
      </c>
      <c r="Q487" s="79"/>
      <c r="R487" s="97"/>
      <c r="S487" s="78"/>
      <c r="T487" s="98"/>
      <c r="U487" s="117">
        <f t="array" ref="U487">IF(AND(A487&lt;&gt;"",OR(ISNUMBER(B487:I487))),SUM(B487:I487),"")</f>
        <v>69</v>
      </c>
      <c r="V487" s="78">
        <f t="array" ref="V487">IF(AND(A487&lt;&gt;"",OR(ISNUMBER(J487:O487))),SUM(J487:O487),"")</f>
        <v>128</v>
      </c>
      <c r="W487" s="78">
        <f t="array" ref="W487">IF(AND(A487&lt;&gt;"",OR(ISNUMBER(P487),ISNUMBER(Q487))),SUM(MAX(P487:Q487),Q487),"")</f>
        <v>101</v>
      </c>
      <c r="X487" s="78" t="str">
        <f t="array" ref="X487">IF(AND(A487&lt;&gt;"",OR(ISNUMBER(S487),ISNUMBER(T487))),SUM(S487,T487),"")</f>
        <v/>
      </c>
      <c r="Y487" s="98">
        <v>1</v>
      </c>
      <c r="Z487" s="98">
        <f>IF(A487&lt;&gt;"",SUM(U487:Y487),"")</f>
        <v>299</v>
      </c>
      <c r="AA487" s="99">
        <f>IF(A487&lt;&gt;"",(Z487+Normalize_To_Add)/(Point_Total_So_Far)*100,"")</f>
        <v>98.032786885245898</v>
      </c>
      <c r="AB487" s="78">
        <f>IF(A487&lt;&gt;"",RANK(AA487,All_Student_XC),"")</f>
        <v>195</v>
      </c>
      <c r="AC487" s="100" t="str">
        <f>IF(A487&lt;&gt;"",CHOOSE(10-MIN(9,TRUNC((AA487+0.5)/10)),"A","B","C","D","F","F","F","F","F","F"),"")</f>
        <v>A</v>
      </c>
      <c r="AD487" s="100" t="str">
        <f>IF(A487&lt;&gt;"",IF(OR(AA487+0.5&gt;=93,AA487+0.5&lt;60),"",IF(MOD(AA487+0.5,10)&gt;=7,"+",IF(MOD(AA487+0.5,10)&lt;3,"-",""))),"")</f>
        <v/>
      </c>
      <c r="AE487" s="100">
        <f>IF(A487&lt;&gt;"",SUM(W487:X487,$W$8:$X$8)/SUM($W$2:$X$2)*100,"")</f>
        <v>101</v>
      </c>
      <c r="AF487" s="100" t="str">
        <f>IF(A487&lt;&gt;"",CHOOSE(10-MIN(9,TRUNC((AE487+0.5)/10)),"A","B","C","D","F","F","F","F","F","F"),"")</f>
        <v>A</v>
      </c>
      <c r="AG487" s="100" t="str">
        <f>IF(A487&lt;&gt;"",IF(OR(AE487+0.5&gt;=93,AE487+0.5&lt;60),"",IF(MOD(AE487+0.5,10)&gt;=7,"+",IF(MOD(AE487+0.5,10)&lt;3,"-",""))),"")</f>
        <v/>
      </c>
      <c r="AH487" s="101">
        <f>IF(A487&lt;&gt;"",MIN(MAX(AA487,AE487),AA487+$AH$8,AE487+$AH$8),"")</f>
        <v>101</v>
      </c>
      <c r="AI487" s="100" t="str">
        <f>IF(A487&lt;&gt;"",CHOOSE(10-MIN(9,TRUNC((AH487+0.5)/10)),"A","B","C","D","F","F","F","F","F","F"),"")</f>
        <v>A</v>
      </c>
      <c r="AJ487" s="100" t="str">
        <f>IF(A487&lt;&gt;"",IF(OR(AH487+0.5&gt;=93,AH487+0.5&lt;60),"",IF(MOD(AH487+0.5,10)&gt;=7,"+",IF(MOD(AH487+0.5,10)&lt;3,"-",""))),"")</f>
        <v/>
      </c>
      <c r="AK487" s="100" t="b">
        <f>IF(A487&lt;&gt;"",OR(AI487&lt;&gt;AC487,AJ487&lt;&gt;AD487),"")</f>
        <v>0</v>
      </c>
      <c r="AL487" s="110">
        <f>IF(AND(A487&lt;&gt;"",U487&lt;&gt;""),SUM(U487,$AL$8)/$AL$2*100,"")</f>
        <v>92</v>
      </c>
      <c r="AM487" s="94">
        <f>IF(AND(A487&lt;&gt;"",V487&lt;&gt;""),SUM(V487,$AM$8)/$AM$2*100,"")</f>
        <v>98.461538461538467</v>
      </c>
      <c r="AN487" s="94">
        <f>IF(AND(A487&lt;&gt;"",ISNUMBER(P487),P487&gt;=0),SUM(P487,$AN$8)/$AN$2*100,"")</f>
        <v>101</v>
      </c>
      <c r="AO487" s="94" t="str">
        <f>IF(AND(A487&lt;&gt;"",ISNUMBER(Q487),Q487&gt;=0),SUM(Q487,$AO$8)/$AO$2*100,"")</f>
        <v/>
      </c>
      <c r="AP487" s="94" t="str">
        <f>IF(AND(A487&lt;&gt;"",R487&lt;&gt;""),SUM(R487,$AP$8)/$AP$2*100,"")</f>
        <v/>
      </c>
      <c r="AQ487" s="94">
        <f>IF(AND(A487&lt;&gt;"",ISNUMBER(W487),W487&gt;=0),SUM(W487,$AQ$8)/$AQ$2*100,"")</f>
        <v>101</v>
      </c>
      <c r="AR487" s="94" t="str">
        <f>IF(AND(A487&lt;&gt;"",T487&gt;0,ISNUMBER(T487)),SUM(T487,$AR$8)/$AR$2*100,"")</f>
        <v/>
      </c>
      <c r="AS487" s="94" t="str">
        <f>IF(AND(A487&lt;&gt;"",X487&lt;&gt;""),SUM(X487,$AS$8)/$AS$2*100,"")</f>
        <v/>
      </c>
      <c r="AT487" s="102">
        <f>IF(AND(A487&lt;&gt;"",OR(ISNUMBER(W487),ISNUMBER(X487))),SUM(W487:X487,$AT$8)/$AT$2*100,"")</f>
        <v>101</v>
      </c>
      <c r="AU487" s="94">
        <f>AA487</f>
        <v>98.032786885245898</v>
      </c>
      <c r="AV487" s="94"/>
      <c r="AW487" s="99">
        <f>IF(A487&lt;&gt;"",AE487-AA487,"")</f>
        <v>2.9672131147541023</v>
      </c>
      <c r="AY487" s="99" t="b">
        <f>S487&gt;R487</f>
        <v>0</v>
      </c>
      <c r="BA487" s="99" t="e">
        <f>AND(AA487&gt;$BA$3,(W487+$W$8)/$W$2&lt;$BB$3,(X487+$X$8)/$X$2&lt;$BB$3)</f>
        <v>#VALUE!</v>
      </c>
      <c r="BB487" s="99" t="e">
        <f>AND(AA487&lt;$BA$3,AND(W487/$W$2&gt;$BB$3,X487/$X$2&gt;$BB$3))</f>
        <v>#VALUE!</v>
      </c>
      <c r="BC487" s="99" t="e">
        <f>AND(AA487&lt;$BA$3,OR(W487/$W$2&gt;$BB$3,X487/$X$2&gt;$BB$3))</f>
        <v>#VALUE!</v>
      </c>
      <c r="BE487" s="100" t="s">
        <v>84</v>
      </c>
    </row>
    <row r="488" spans="1:57" s="27" customFormat="1" ht="12.75" customHeight="1" x14ac:dyDescent="0.2">
      <c r="A488" s="10">
        <v>935347</v>
      </c>
      <c r="B488" s="2">
        <v>23</v>
      </c>
      <c r="C488" s="10">
        <v>25</v>
      </c>
      <c r="D488" s="10">
        <v>25</v>
      </c>
      <c r="E488" s="10"/>
      <c r="F488" s="10"/>
      <c r="G488" s="10"/>
      <c r="H488" s="10"/>
      <c r="I488" s="10"/>
      <c r="J488" s="2">
        <v>27</v>
      </c>
      <c r="K488" s="10">
        <v>50</v>
      </c>
      <c r="L488" s="10">
        <v>50</v>
      </c>
      <c r="M488" s="10"/>
      <c r="N488" s="93"/>
      <c r="O488" s="13"/>
      <c r="P488" s="10">
        <v>100</v>
      </c>
      <c r="Q488" s="10"/>
      <c r="R488" s="2"/>
      <c r="S488" s="10"/>
      <c r="T488" s="13"/>
      <c r="U488" s="7">
        <f t="array" ref="U488">IF(AND(A488&lt;&gt;"",OR(ISNUMBER(B488:I488))),SUM(B488:I488),"")</f>
        <v>73</v>
      </c>
      <c r="V488" s="10">
        <f t="array" ref="V488">IF(AND(A488&lt;&gt;"",OR(ISNUMBER(J488:O488))),SUM(J488:O488),"")</f>
        <v>127</v>
      </c>
      <c r="W488" s="10">
        <f t="array" ref="W488">IF(AND(A488&lt;&gt;"",OR(ISNUMBER(P488),ISNUMBER(Q488))),SUM(MAX(P488:Q488),Q488),"")</f>
        <v>100</v>
      </c>
      <c r="X488" s="10" t="str">
        <f t="array" ref="X488">IF(AND(A488&lt;&gt;"",OR(ISNUMBER(S488),ISNUMBER(T488))),SUM(S488,T488),"")</f>
        <v/>
      </c>
      <c r="Y488" s="13">
        <v>1</v>
      </c>
      <c r="Z488" s="13">
        <f>IF(A488&lt;&gt;"",SUM(U488:Y488),"")</f>
        <v>301</v>
      </c>
      <c r="AA488" s="27">
        <f>IF(A488&lt;&gt;"",(Z488+Normalize_To_Add)/(Point_Total_So_Far)*100,"")</f>
        <v>98.688524590163937</v>
      </c>
      <c r="AB488" s="10">
        <f>IF(A488&lt;&gt;"",RANK(AA488,All_Student_XC),"")</f>
        <v>176</v>
      </c>
      <c r="AC488" s="32" t="str">
        <f>IF(A488&lt;&gt;"",CHOOSE(10-MIN(9,TRUNC((AA488+0.5)/10)),"A","B","C","D","F","F","F","F","F","F"),"")</f>
        <v>A</v>
      </c>
      <c r="AD488" s="31" t="str">
        <f>IF(A488&lt;&gt;"",IF(OR(AA488+0.5&gt;=93,AA488+0.5&lt;60),"",IF(MOD(AA488+0.5,10)&gt;=7,"+",IF(MOD(AA488+0.5,10)&lt;3,"-",""))),"")</f>
        <v/>
      </c>
      <c r="AE488" s="32">
        <f>IF(A488&lt;&gt;"",SUM(W488:X488,$W$8:$X$8)/SUM($W$2:$X$2)*100,"")</f>
        <v>100</v>
      </c>
      <c r="AF488" s="32" t="str">
        <f>IF(A488&lt;&gt;"",CHOOSE(10-MIN(9,TRUNC((AE488+0.5)/10)),"A","B","C","D","F","F","F","F","F","F"),"")</f>
        <v>A</v>
      </c>
      <c r="AG488" s="32" t="str">
        <f>IF(A488&lt;&gt;"",IF(OR(AE488+0.5&gt;=93,AE488+0.5&lt;60),"",IF(MOD(AE488+0.5,10)&gt;=7,"+",IF(MOD(AE488+0.5,10)&lt;3,"-",""))),"")</f>
        <v/>
      </c>
      <c r="AH488" s="36">
        <f>IF(A488&lt;&gt;"",MIN(MAX(AA488,AE488),AA488+$AH$8,AE488+$AH$8),"")</f>
        <v>100</v>
      </c>
      <c r="AI488" s="32" t="str">
        <f>IF(A488&lt;&gt;"",CHOOSE(10-MIN(9,TRUNC((AH488+0.5)/10)),"A","B","C","D","F","F","F","F","F","F"),"")</f>
        <v>A</v>
      </c>
      <c r="AJ488" s="32" t="str">
        <f>IF(A488&lt;&gt;"",IF(OR(AH488+0.5&gt;=93,AH488+0.5&lt;60),"",IF(MOD(AH488+0.5,10)&gt;=7,"+",IF(MOD(AH488+0.5,10)&lt;3,"-",""))),"")</f>
        <v/>
      </c>
      <c r="AK488" s="71" t="b">
        <f>IF(A488&lt;&gt;"",OR(AI488&lt;&gt;AC488,AJ488&lt;&gt;AD488),"")</f>
        <v>0</v>
      </c>
      <c r="AL488" s="86">
        <f>IF(AND(A488&lt;&gt;"",U488&lt;&gt;""),SUM(U488,$AL$8)/$AL$2*100,"")</f>
        <v>97.333333333333343</v>
      </c>
      <c r="AM488" s="71">
        <f>IF(AND(A488&lt;&gt;"",V488&lt;&gt;""),SUM(V488,$AM$8)/$AM$2*100,"")</f>
        <v>97.692307692307693</v>
      </c>
      <c r="AN488" s="71">
        <f>IF(AND(A488&lt;&gt;"",ISNUMBER(P488),P488&gt;=0),SUM(P488,$AN$8)/$AN$2*100,"")</f>
        <v>100</v>
      </c>
      <c r="AO488" s="71" t="str">
        <f>IF(AND(A488&lt;&gt;"",ISNUMBER(Q488),Q488&gt;=0),SUM(Q488,$AO$8)/$AO$2*100,"")</f>
        <v/>
      </c>
      <c r="AP488" s="24" t="str">
        <f>IF(AND(A488&lt;&gt;"",R488&lt;&gt;""),SUM(R488,$AP$8)/$AP$2*100,"")</f>
        <v/>
      </c>
      <c r="AQ488" s="24">
        <f>IF(AND(A488&lt;&gt;"",ISNUMBER(W488),W488&gt;=0),SUM(W488,$AQ$8)/$AQ$2*100,"")</f>
        <v>100</v>
      </c>
      <c r="AR488" s="24" t="str">
        <f>IF(AND(A488&lt;&gt;"",T488&gt;0,ISNUMBER(T488)),SUM(T488,$AR$8)/$AR$2*100,"")</f>
        <v/>
      </c>
      <c r="AS488" s="24" t="str">
        <f>IF(AND(A488&lt;&gt;"",X488&lt;&gt;""),SUM(X488,$AS$8)/$AS$2*100,"")</f>
        <v/>
      </c>
      <c r="AT488" s="89">
        <f>IF(AND(A488&lt;&gt;"",OR(ISNUMBER(W488),ISNUMBER(X488))),SUM(W488:X488,$AT$8)/$AT$2*100,"")</f>
        <v>100</v>
      </c>
      <c r="AU488" s="24">
        <f>AA488</f>
        <v>98.688524590163937</v>
      </c>
      <c r="AV488" s="71"/>
      <c r="AW488" s="27">
        <f>IF(A488&lt;&gt;"",AE488-AA488,"")</f>
        <v>1.3114754098360635</v>
      </c>
      <c r="AY488" s="27" t="b">
        <f>S488&gt;R488</f>
        <v>0</v>
      </c>
      <c r="BA488" s="27" t="e">
        <f>AND(AA488&gt;$BA$3,(W488+$W$8)/$W$2&lt;$BB$3,(X488+$X$8)/$X$2&lt;$BB$3)</f>
        <v>#VALUE!</v>
      </c>
      <c r="BB488" s="27" t="e">
        <f>AND(AA488&lt;$BA$3,AND(W488/$W$2&gt;$BB$3,X488/$X$2&gt;$BB$3))</f>
        <v>#VALUE!</v>
      </c>
      <c r="BC488" s="27" t="e">
        <f>AND(AA488&lt;$BA$3,OR(W488/$W$2&gt;$BB$3,X488/$X$2&gt;$BB$3))</f>
        <v>#VALUE!</v>
      </c>
      <c r="BE488" s="32" t="s">
        <v>84</v>
      </c>
    </row>
    <row r="489" spans="1:57" s="27" customFormat="1" ht="12.75" customHeight="1" x14ac:dyDescent="0.2">
      <c r="A489" s="10">
        <v>939589</v>
      </c>
      <c r="B489" s="2">
        <v>23</v>
      </c>
      <c r="C489" s="10">
        <v>20</v>
      </c>
      <c r="D489" s="10">
        <v>25</v>
      </c>
      <c r="E489" s="10"/>
      <c r="F489" s="10"/>
      <c r="G489" s="10"/>
      <c r="H489" s="10"/>
      <c r="I489" s="10"/>
      <c r="J489" s="2">
        <v>29</v>
      </c>
      <c r="K489" s="10">
        <v>50</v>
      </c>
      <c r="L489" s="10">
        <v>50</v>
      </c>
      <c r="M489" s="10"/>
      <c r="N489" s="10"/>
      <c r="O489" s="12"/>
      <c r="P489" s="41">
        <v>100</v>
      </c>
      <c r="Q489" s="41"/>
      <c r="R489" s="2"/>
      <c r="S489" s="10"/>
      <c r="T489" s="13"/>
      <c r="U489" s="7">
        <f t="array" ref="U489">IF(AND(A489&lt;&gt;"",OR(ISNUMBER(B489:I489))),SUM(B489:I489),"")</f>
        <v>68</v>
      </c>
      <c r="V489" s="10">
        <f t="array" ref="V489">IF(AND(A489&lt;&gt;"",OR(ISNUMBER(J489:O489))),SUM(J489:O489),"")</f>
        <v>129</v>
      </c>
      <c r="W489" s="10">
        <f t="array" ref="W489">IF(AND(A489&lt;&gt;"",OR(ISNUMBER(P489),ISNUMBER(Q489))),SUM(MAX(P489:Q489),Q489),"")</f>
        <v>100</v>
      </c>
      <c r="X489" s="10" t="str">
        <f t="array" ref="X489">IF(AND(A489&lt;&gt;"",OR(ISNUMBER(S489),ISNUMBER(T489))),SUM(S489,T489),"")</f>
        <v/>
      </c>
      <c r="Y489" s="13">
        <v>1</v>
      </c>
      <c r="Z489" s="13">
        <f>IF(A489&lt;&gt;"",SUM(U489:Y489),"")</f>
        <v>298</v>
      </c>
      <c r="AA489" s="27">
        <f>IF(A489&lt;&gt;"",(Z489+Normalize_To_Add)/(Point_Total_So_Far)*100,"")</f>
        <v>97.704918032786878</v>
      </c>
      <c r="AB489" s="10">
        <f>IF(A489&lt;&gt;"",RANK(AA489,All_Student_XC),"")</f>
        <v>210</v>
      </c>
      <c r="AC489" s="32" t="str">
        <f>IF(A489&lt;&gt;"",CHOOSE(10-MIN(9,TRUNC((AA489+0.5)/10)),"A","B","C","D","F","F","F","F","F","F"),"")</f>
        <v>A</v>
      </c>
      <c r="AD489" s="32" t="str">
        <f>IF(A489&lt;&gt;"",IF(OR(AA489+0.5&gt;=93,AA489+0.5&lt;60),"",IF(MOD(AA489+0.5,10)&gt;=7,"+",IF(MOD(AA489+0.5,10)&lt;3,"-",""))),"")</f>
        <v/>
      </c>
      <c r="AE489" s="32">
        <f>IF(A489&lt;&gt;"",SUM(W489:X489,$W$8:$X$8)/SUM($W$2:$X$2)*100,"")</f>
        <v>100</v>
      </c>
      <c r="AF489" s="32" t="str">
        <f>IF(A489&lt;&gt;"",CHOOSE(10-MIN(9,TRUNC((AE489+0.5)/10)),"A","B","C","D","F","F","F","F","F","F"),"")</f>
        <v>A</v>
      </c>
      <c r="AG489" s="32" t="str">
        <f>IF(A489&lt;&gt;"",IF(OR(AE489+0.5&gt;=93,AE489+0.5&lt;60),"",IF(MOD(AE489+0.5,10)&gt;=7,"+",IF(MOD(AE489+0.5,10)&lt;3,"-",""))),"")</f>
        <v/>
      </c>
      <c r="AH489" s="36">
        <f>IF(A489&lt;&gt;"",MIN(MAX(AA489,AE489),AA489+$AH$8,AE489+$AH$8),"")</f>
        <v>100</v>
      </c>
      <c r="AI489" s="32" t="str">
        <f>IF(A489&lt;&gt;"",CHOOSE(10-MIN(9,TRUNC((AH489+0.5)/10)),"A","B","C","D","F","F","F","F","F","F"),"")</f>
        <v>A</v>
      </c>
      <c r="AJ489" s="32" t="str">
        <f>IF(A489&lt;&gt;"",IF(OR(AH489+0.5&gt;=93,AH489+0.5&lt;60),"",IF(MOD(AH489+0.5,10)&gt;=7,"+",IF(MOD(AH489+0.5,10)&lt;3,"-",""))),"")</f>
        <v/>
      </c>
      <c r="AK489" s="32" t="b">
        <f>IF(A489&lt;&gt;"",OR(AI489&lt;&gt;AC489,AJ489&lt;&gt;AD489),"")</f>
        <v>0</v>
      </c>
      <c r="AL489" s="84">
        <f>IF(AND(A489&lt;&gt;"",U489&lt;&gt;""),SUM(U489,$AL$8)/$AL$2*100,"")</f>
        <v>90.666666666666657</v>
      </c>
      <c r="AM489" s="24">
        <f>IF(AND(A489&lt;&gt;"",V489&lt;&gt;""),SUM(V489,$AM$8)/$AM$2*100,"")</f>
        <v>99.230769230769226</v>
      </c>
      <c r="AN489" s="24">
        <f>IF(AND(A489&lt;&gt;"",ISNUMBER(P489),P489&gt;=0),SUM(P489,$AN$8)/$AN$2*100,"")</f>
        <v>100</v>
      </c>
      <c r="AO489" s="24" t="str">
        <f>IF(AND(A489&lt;&gt;"",ISNUMBER(Q489),Q489&gt;=0),SUM(Q489,$AO$8)/$AO$2*100,"")</f>
        <v/>
      </c>
      <c r="AP489" s="24" t="str">
        <f>IF(AND(A489&lt;&gt;"",R489&lt;&gt;""),SUM(R489,$AP$8)/$AP$2*100,"")</f>
        <v/>
      </c>
      <c r="AQ489" s="24">
        <f>IF(AND(A489&lt;&gt;"",ISNUMBER(W489),W489&gt;=0),SUM(W489,$AQ$8)/$AQ$2*100,"")</f>
        <v>100</v>
      </c>
      <c r="AR489" s="24" t="str">
        <f>IF(AND(A489&lt;&gt;"",T489&gt;0,ISNUMBER(T489)),SUM(T489,$AR$8)/$AR$2*100,"")</f>
        <v/>
      </c>
      <c r="AS489" s="24" t="str">
        <f>IF(AND(A489&lt;&gt;"",X489&lt;&gt;""),SUM(X489,$AS$8)/$AS$2*100,"")</f>
        <v/>
      </c>
      <c r="AT489" s="89">
        <f>IF(AND(A489&lt;&gt;"",OR(ISNUMBER(W489),ISNUMBER(X489))),SUM(W489:X489,$AT$8)/$AT$2*100,"")</f>
        <v>100</v>
      </c>
      <c r="AU489" s="24">
        <f>AA489</f>
        <v>97.704918032786878</v>
      </c>
      <c r="AV489" s="24"/>
      <c r="AW489" s="27">
        <f>IF(A489&lt;&gt;"",AE489-AA489,"")</f>
        <v>2.2950819672131217</v>
      </c>
      <c r="AY489" s="27" t="b">
        <f>S489&gt;R489</f>
        <v>0</v>
      </c>
      <c r="BA489" s="27" t="e">
        <f>AND(AA489&gt;$BA$3,(W489+$W$8)/$W$2&lt;$BB$3,(X489+$X$8)/$X$2&lt;$BB$3)</f>
        <v>#VALUE!</v>
      </c>
      <c r="BB489" s="27" t="e">
        <f>AND(AA489&lt;$BA$3,AND(W489/$W$2&gt;$BB$3,X489/$X$2&gt;$BB$3))</f>
        <v>#VALUE!</v>
      </c>
      <c r="BC489" s="27" t="e">
        <f>AND(AA489&lt;$BA$3,OR(W489/$W$2&gt;$BB$3,X489/$X$2&gt;$BB$3))</f>
        <v>#VALUE!</v>
      </c>
      <c r="BE489" s="32">
        <v>32</v>
      </c>
    </row>
    <row r="490" spans="1:57" s="27" customFormat="1" ht="12.75" customHeight="1" x14ac:dyDescent="0.2">
      <c r="A490" s="10">
        <v>940109</v>
      </c>
      <c r="B490" s="2"/>
      <c r="C490" s="10">
        <v>24</v>
      </c>
      <c r="D490" s="10">
        <v>22</v>
      </c>
      <c r="E490" s="10"/>
      <c r="F490" s="10"/>
      <c r="G490" s="10"/>
      <c r="H490" s="10"/>
      <c r="I490" s="10"/>
      <c r="J490" s="2">
        <v>20</v>
      </c>
      <c r="K490" s="10">
        <v>38</v>
      </c>
      <c r="L490" s="10">
        <v>50</v>
      </c>
      <c r="M490" s="10"/>
      <c r="N490" s="93"/>
      <c r="O490" s="13"/>
      <c r="P490" s="41">
        <v>101</v>
      </c>
      <c r="Q490" s="10"/>
      <c r="R490" s="2"/>
      <c r="S490" s="10"/>
      <c r="T490" s="13"/>
      <c r="U490" s="7">
        <f t="array" ref="U490">IF(AND(A490&lt;&gt;"",OR(ISNUMBER(B490:I490))),SUM(B490:I490),"")</f>
        <v>46</v>
      </c>
      <c r="V490" s="10">
        <f t="array" ref="V490">IF(AND(A490&lt;&gt;"",OR(ISNUMBER(J490:O490))),SUM(J490:O490),"")</f>
        <v>108</v>
      </c>
      <c r="W490" s="10">
        <f t="array" ref="W490">IF(AND(A490&lt;&gt;"",OR(ISNUMBER(P490),ISNUMBER(Q490))),SUM(MAX(P490:Q490),Q490),"")</f>
        <v>101</v>
      </c>
      <c r="X490" s="10" t="str">
        <f t="array" ref="X490">IF(AND(A490&lt;&gt;"",OR(ISNUMBER(S490),ISNUMBER(T490))),SUM(S490,T490),"")</f>
        <v/>
      </c>
      <c r="Y490" s="13"/>
      <c r="Z490" s="13">
        <f>IF(A490&lt;&gt;"",SUM(U490:Y490),"")</f>
        <v>255</v>
      </c>
      <c r="AA490" s="27">
        <f>IF(A490&lt;&gt;"",(Z490+Normalize_To_Add)/(Point_Total_So_Far)*100,"")</f>
        <v>83.606557377049185</v>
      </c>
      <c r="AB490" s="10">
        <f>IF(A490&lt;&gt;"",RANK(AA490,All_Student_XC),"")</f>
        <v>384</v>
      </c>
      <c r="AC490" s="32" t="str">
        <f>IF(A490&lt;&gt;"",CHOOSE(10-MIN(9,TRUNC((AA490+0.5)/10)),"A","B","C","D","F","F","F","F","F","F"),"")</f>
        <v>B</v>
      </c>
      <c r="AD490" s="31" t="str">
        <f>IF(A490&lt;&gt;"",IF(OR(AA490+0.5&gt;=93,AA490+0.5&lt;60),"",IF(MOD(AA490+0.5,10)&gt;=7,"+",IF(MOD(AA490+0.5,10)&lt;3,"-",""))),"")</f>
        <v/>
      </c>
      <c r="AE490" s="32">
        <f>IF(A490&lt;&gt;"",SUM(W490:X490,$W$8:$X$8)/SUM($W$2:$X$2)*100,"")</f>
        <v>101</v>
      </c>
      <c r="AF490" s="32" t="str">
        <f>IF(A490&lt;&gt;"",CHOOSE(10-MIN(9,TRUNC((AE490+0.5)/10)),"A","B","C","D","F","F","F","F","F","F"),"")</f>
        <v>A</v>
      </c>
      <c r="AG490" s="32" t="str">
        <f>IF(A490&lt;&gt;"",IF(OR(AE490+0.5&gt;=93,AE490+0.5&lt;60),"",IF(MOD(AE490+0.5,10)&gt;=7,"+",IF(MOD(AE490+0.5,10)&lt;3,"-",""))),"")</f>
        <v/>
      </c>
      <c r="AH490" s="36">
        <f>IF(A490&lt;&gt;"",MIN(MAX(AA490,AE490),AA490+$AH$8,AE490+$AH$8),"")</f>
        <v>101</v>
      </c>
      <c r="AI490" s="32" t="str">
        <f>IF(A490&lt;&gt;"",CHOOSE(10-MIN(9,TRUNC((AH490+0.5)/10)),"A","B","C","D","F","F","F","F","F","F"),"")</f>
        <v>A</v>
      </c>
      <c r="AJ490" s="32" t="str">
        <f>IF(A490&lt;&gt;"",IF(OR(AH490+0.5&gt;=93,AH490+0.5&lt;60),"",IF(MOD(AH490+0.5,10)&gt;=7,"+",IF(MOD(AH490+0.5,10)&lt;3,"-",""))),"")</f>
        <v/>
      </c>
      <c r="AK490" s="71" t="b">
        <f>IF(A490&lt;&gt;"",OR(AI490&lt;&gt;AC490,AJ490&lt;&gt;AD490),"")</f>
        <v>1</v>
      </c>
      <c r="AL490" s="86">
        <f>IF(AND(A490&lt;&gt;"",U490&lt;&gt;""),SUM(U490,$AL$8)/$AL$2*100,"")</f>
        <v>61.333333333333329</v>
      </c>
      <c r="AM490" s="71">
        <f>IF(AND(A490&lt;&gt;"",V490&lt;&gt;""),SUM(V490,$AM$8)/$AM$2*100,"")</f>
        <v>83.07692307692308</v>
      </c>
      <c r="AN490" s="71">
        <f>IF(AND(A490&lt;&gt;"",ISNUMBER(P490),P490&gt;=0),SUM(P490,$AN$8)/$AN$2*100,"")</f>
        <v>101</v>
      </c>
      <c r="AO490" s="71" t="str">
        <f>IF(AND(A490&lt;&gt;"",ISNUMBER(Q490),Q490&gt;=0),SUM(Q490,$AO$8)/$AO$2*100,"")</f>
        <v/>
      </c>
      <c r="AP490" s="24" t="str">
        <f>IF(AND(A490&lt;&gt;"",R490&lt;&gt;""),SUM(R490,$AP$8)/$AP$2*100,"")</f>
        <v/>
      </c>
      <c r="AQ490" s="24">
        <f>IF(AND(A490&lt;&gt;"",ISNUMBER(W490),W490&gt;=0),SUM(W490,$AQ$8)/$AQ$2*100,"")</f>
        <v>101</v>
      </c>
      <c r="AR490" s="24" t="str">
        <f>IF(AND(A490&lt;&gt;"",T490&gt;0,ISNUMBER(T490)),SUM(T490,$AR$8)/$AR$2*100,"")</f>
        <v/>
      </c>
      <c r="AS490" s="24" t="str">
        <f>IF(AND(A490&lt;&gt;"",X490&lt;&gt;""),SUM(X490,$AS$8)/$AS$2*100,"")</f>
        <v/>
      </c>
      <c r="AT490" s="89">
        <f>IF(AND(A490&lt;&gt;"",OR(ISNUMBER(W490),ISNUMBER(X490))),SUM(W490:X490,$AT$8)/$AT$2*100,"")</f>
        <v>101</v>
      </c>
      <c r="AU490" s="24">
        <f>AA490</f>
        <v>83.606557377049185</v>
      </c>
      <c r="AV490" s="71"/>
      <c r="AW490" s="27">
        <f>IF(A490&lt;&gt;"",AE490-AA490,"")</f>
        <v>17.393442622950815</v>
      </c>
      <c r="AY490" s="27" t="b">
        <f>S490&gt;R490</f>
        <v>0</v>
      </c>
      <c r="BA490" s="27" t="e">
        <f>AND(AA490&gt;$BA$3,(W490+$W$8)/$W$2&lt;$BB$3,(X490+$X$8)/$X$2&lt;$BB$3)</f>
        <v>#VALUE!</v>
      </c>
      <c r="BB490" s="27" t="e">
        <f>AND(AA490&lt;$BA$3,AND(W490/$W$2&gt;$BB$3,X490/$X$2&gt;$BB$3))</f>
        <v>#VALUE!</v>
      </c>
      <c r="BC490" s="27" t="e">
        <f>AND(AA490&lt;$BA$3,OR(W490/$W$2&gt;$BB$3,X490/$X$2&gt;$BB$3))</f>
        <v>#VALUE!</v>
      </c>
      <c r="BE490" s="32"/>
    </row>
    <row r="491" spans="1:57" s="27" customFormat="1" ht="12.75" customHeight="1" x14ac:dyDescent="0.2">
      <c r="A491" s="10">
        <v>940597</v>
      </c>
      <c r="B491" s="2">
        <v>23</v>
      </c>
      <c r="C491" s="10">
        <v>23</v>
      </c>
      <c r="D491" s="10">
        <v>25</v>
      </c>
      <c r="E491" s="10"/>
      <c r="F491" s="10"/>
      <c r="G491" s="10"/>
      <c r="H491" s="10"/>
      <c r="I491" s="10"/>
      <c r="J491" s="2">
        <v>30</v>
      </c>
      <c r="K491" s="10">
        <v>51</v>
      </c>
      <c r="L491" s="10">
        <v>52</v>
      </c>
      <c r="M491" s="10"/>
      <c r="N491" s="93"/>
      <c r="O491" s="13"/>
      <c r="P491" s="10">
        <v>101</v>
      </c>
      <c r="Q491" s="10"/>
      <c r="R491" s="2"/>
      <c r="S491" s="10"/>
      <c r="T491" s="13"/>
      <c r="U491" s="7">
        <f t="array" ref="U491">IF(AND(A491&lt;&gt;"",OR(ISNUMBER(B491:I491))),SUM(B491:I491),"")</f>
        <v>71</v>
      </c>
      <c r="V491" s="10">
        <f t="array" ref="V491">IF(AND(A491&lt;&gt;"",OR(ISNUMBER(J491:O491))),SUM(J491:O491),"")</f>
        <v>133</v>
      </c>
      <c r="W491" s="10">
        <f t="array" ref="W491">IF(AND(A491&lt;&gt;"",OR(ISNUMBER(P491),ISNUMBER(Q491))),SUM(MAX(P491:Q491),Q491),"")</f>
        <v>101</v>
      </c>
      <c r="X491" s="10" t="str">
        <f t="array" ref="X491">IF(AND(A491&lt;&gt;"",OR(ISNUMBER(S491),ISNUMBER(T491))),SUM(S491,T491),"")</f>
        <v/>
      </c>
      <c r="Y491" s="13">
        <v>1</v>
      </c>
      <c r="Z491" s="13">
        <f>IF(A491&lt;&gt;"",SUM(U491:Y491),"")</f>
        <v>306</v>
      </c>
      <c r="AA491" s="27">
        <f>IF(A491&lt;&gt;"",(Z491+Normalize_To_Add)/(Point_Total_So_Far)*100,"")</f>
        <v>100.32786885245901</v>
      </c>
      <c r="AB491" s="10">
        <f>IF(A491&lt;&gt;"",RANK(AA491,All_Student_XC),"")</f>
        <v>99</v>
      </c>
      <c r="AC491" s="32" t="str">
        <f>IF(A491&lt;&gt;"",CHOOSE(10-MIN(9,TRUNC((AA491+0.5)/10)),"A","B","C","D","F","F","F","F","F","F"),"")</f>
        <v>A</v>
      </c>
      <c r="AD491" s="31" t="str">
        <f>IF(A491&lt;&gt;"",IF(OR(AA491+0.5&gt;=93,AA491+0.5&lt;60),"",IF(MOD(AA491+0.5,10)&gt;=7,"+",IF(MOD(AA491+0.5,10)&lt;3,"-",""))),"")</f>
        <v/>
      </c>
      <c r="AE491" s="32">
        <f>IF(A491&lt;&gt;"",SUM(W491:X491,$W$8:$X$8)/SUM($W$2:$X$2)*100,"")</f>
        <v>101</v>
      </c>
      <c r="AF491" s="32" t="str">
        <f>IF(A491&lt;&gt;"",CHOOSE(10-MIN(9,TRUNC((AE491+0.5)/10)),"A","B","C","D","F","F","F","F","F","F"),"")</f>
        <v>A</v>
      </c>
      <c r="AG491" s="32" t="str">
        <f>IF(A491&lt;&gt;"",IF(OR(AE491+0.5&gt;=93,AE491+0.5&lt;60),"",IF(MOD(AE491+0.5,10)&gt;=7,"+",IF(MOD(AE491+0.5,10)&lt;3,"-",""))),"")</f>
        <v/>
      </c>
      <c r="AH491" s="36">
        <f>IF(A491&lt;&gt;"",MIN(MAX(AA491,AE491),AA491+$AH$8,AE491+$AH$8),"")</f>
        <v>101</v>
      </c>
      <c r="AI491" s="32" t="str">
        <f>IF(A491&lt;&gt;"",CHOOSE(10-MIN(9,TRUNC((AH491+0.5)/10)),"A","B","C","D","F","F","F","F","F","F"),"")</f>
        <v>A</v>
      </c>
      <c r="AJ491" s="32" t="str">
        <f>IF(A491&lt;&gt;"",IF(OR(AH491+0.5&gt;=93,AH491+0.5&lt;60),"",IF(MOD(AH491+0.5,10)&gt;=7,"+",IF(MOD(AH491+0.5,10)&lt;3,"-",""))),"")</f>
        <v/>
      </c>
      <c r="AK491" s="71" t="b">
        <f>IF(A491&lt;&gt;"",OR(AI491&lt;&gt;AC491,AJ491&lt;&gt;AD491),"")</f>
        <v>0</v>
      </c>
      <c r="AL491" s="86">
        <f>IF(AND(A491&lt;&gt;"",U491&lt;&gt;""),SUM(U491,$AL$8)/$AL$2*100,"")</f>
        <v>94.666666666666671</v>
      </c>
      <c r="AM491" s="71">
        <f>IF(AND(A491&lt;&gt;"",V491&lt;&gt;""),SUM(V491,$AM$8)/$AM$2*100,"")</f>
        <v>102.30769230769229</v>
      </c>
      <c r="AN491" s="71">
        <f>IF(AND(A491&lt;&gt;"",ISNUMBER(P491),P491&gt;=0),SUM(P491,$AN$8)/$AN$2*100,"")</f>
        <v>101</v>
      </c>
      <c r="AO491" s="71" t="str">
        <f>IF(AND(A491&lt;&gt;"",ISNUMBER(Q491),Q491&gt;=0),SUM(Q491,$AO$8)/$AO$2*100,"")</f>
        <v/>
      </c>
      <c r="AP491" s="24" t="str">
        <f>IF(AND(A491&lt;&gt;"",R491&lt;&gt;""),SUM(R491,$AP$8)/$AP$2*100,"")</f>
        <v/>
      </c>
      <c r="AQ491" s="24">
        <f>IF(AND(A491&lt;&gt;"",ISNUMBER(W491),W491&gt;=0),SUM(W491,$AQ$8)/$AQ$2*100,"")</f>
        <v>101</v>
      </c>
      <c r="AR491" s="24" t="str">
        <f>IF(AND(A491&lt;&gt;"",T491&gt;0,ISNUMBER(T491)),SUM(T491,$AR$8)/$AR$2*100,"")</f>
        <v/>
      </c>
      <c r="AS491" s="24" t="str">
        <f>IF(AND(A491&lt;&gt;"",X491&lt;&gt;""),SUM(X491,$AS$8)/$AS$2*100,"")</f>
        <v/>
      </c>
      <c r="AT491" s="89">
        <f>IF(AND(A491&lt;&gt;"",OR(ISNUMBER(W491),ISNUMBER(X491))),SUM(W491:X491,$AT$8)/$AT$2*100,"")</f>
        <v>101</v>
      </c>
      <c r="AU491" s="24">
        <f>AA491</f>
        <v>100.32786885245901</v>
      </c>
      <c r="AV491" s="71"/>
      <c r="AW491" s="27">
        <f>IF(A491&lt;&gt;"",AE491-AA491,"")</f>
        <v>0.67213114754099479</v>
      </c>
      <c r="AY491" s="27" t="b">
        <f>S491&gt;R491</f>
        <v>0</v>
      </c>
      <c r="BA491" s="27" t="e">
        <f>AND(AA491&gt;$BA$3,(W491+$W$8)/$W$2&lt;$BB$3,(X491+$X$8)/$X$2&lt;$BB$3)</f>
        <v>#VALUE!</v>
      </c>
      <c r="BB491" s="27" t="e">
        <f>AND(AA491&lt;$BA$3,AND(W491/$W$2&gt;$BB$3,X491/$X$2&gt;$BB$3))</f>
        <v>#VALUE!</v>
      </c>
      <c r="BC491" s="27" t="e">
        <f>AND(AA491&lt;$BA$3,OR(W491/$W$2&gt;$BB$3,X491/$X$2&gt;$BB$3))</f>
        <v>#VALUE!</v>
      </c>
      <c r="BE491" s="32" t="s">
        <v>84</v>
      </c>
    </row>
    <row r="492" spans="1:57" s="27" customFormat="1" ht="12.75" customHeight="1" x14ac:dyDescent="0.2">
      <c r="A492" s="10">
        <v>940805</v>
      </c>
      <c r="B492" s="2">
        <v>17</v>
      </c>
      <c r="C492" s="10">
        <v>21</v>
      </c>
      <c r="D492" s="10">
        <v>22</v>
      </c>
      <c r="E492" s="10"/>
      <c r="F492" s="10"/>
      <c r="G492" s="10"/>
      <c r="H492" s="10"/>
      <c r="I492" s="10"/>
      <c r="J492" s="2">
        <v>29</v>
      </c>
      <c r="K492" s="10">
        <v>52</v>
      </c>
      <c r="L492" s="10">
        <v>46</v>
      </c>
      <c r="M492" s="10"/>
      <c r="N492" s="93"/>
      <c r="O492" s="13"/>
      <c r="P492" s="10">
        <v>100</v>
      </c>
      <c r="Q492" s="10"/>
      <c r="R492" s="2"/>
      <c r="S492" s="10"/>
      <c r="T492" s="13"/>
      <c r="U492" s="7">
        <f t="array" ref="U492">IF(AND(A492&lt;&gt;"",OR(ISNUMBER(B492:I492))),SUM(B492:I492),"")</f>
        <v>60</v>
      </c>
      <c r="V492" s="10">
        <f t="array" ref="V492">IF(AND(A492&lt;&gt;"",OR(ISNUMBER(J492:O492))),SUM(J492:O492),"")</f>
        <v>127</v>
      </c>
      <c r="W492" s="10">
        <f t="array" ref="W492">IF(AND(A492&lt;&gt;"",OR(ISNUMBER(P492),ISNUMBER(Q492))),SUM(MAX(P492:Q492),Q492),"")</f>
        <v>100</v>
      </c>
      <c r="X492" s="10" t="str">
        <f t="array" ref="X492">IF(AND(A492&lt;&gt;"",OR(ISNUMBER(S492),ISNUMBER(T492))),SUM(S492,T492),"")</f>
        <v/>
      </c>
      <c r="Y492" s="13">
        <v>1</v>
      </c>
      <c r="Z492" s="13">
        <f>IF(A492&lt;&gt;"",SUM(U492:Y492),"")</f>
        <v>288</v>
      </c>
      <c r="AA492" s="27">
        <f>IF(A492&lt;&gt;"",(Z492+Normalize_To_Add)/(Point_Total_So_Far)*100,"")</f>
        <v>94.426229508196727</v>
      </c>
      <c r="AB492" s="10">
        <f>IF(A492&lt;&gt;"",RANK(AA492,All_Student_XC),"")</f>
        <v>279</v>
      </c>
      <c r="AC492" s="32" t="str">
        <f>IF(A492&lt;&gt;"",CHOOSE(10-MIN(9,TRUNC((AA492+0.5)/10)),"A","B","C","D","F","F","F","F","F","F"),"")</f>
        <v>A</v>
      </c>
      <c r="AD492" s="31" t="str">
        <f>IF(A492&lt;&gt;"",IF(OR(AA492+0.5&gt;=93,AA492+0.5&lt;60),"",IF(MOD(AA492+0.5,10)&gt;=7,"+",IF(MOD(AA492+0.5,10)&lt;3,"-",""))),"")</f>
        <v/>
      </c>
      <c r="AE492" s="32">
        <f>IF(A492&lt;&gt;"",SUM(W492:X492,$W$8:$X$8)/SUM($W$2:$X$2)*100,"")</f>
        <v>100</v>
      </c>
      <c r="AF492" s="32" t="str">
        <f>IF(A492&lt;&gt;"",CHOOSE(10-MIN(9,TRUNC((AE492+0.5)/10)),"A","B","C","D","F","F","F","F","F","F"),"")</f>
        <v>A</v>
      </c>
      <c r="AG492" s="32" t="str">
        <f>IF(A492&lt;&gt;"",IF(OR(AE492+0.5&gt;=93,AE492+0.5&lt;60),"",IF(MOD(AE492+0.5,10)&gt;=7,"+",IF(MOD(AE492+0.5,10)&lt;3,"-",""))),"")</f>
        <v/>
      </c>
      <c r="AH492" s="36">
        <f>IF(A492&lt;&gt;"",MIN(MAX(AA492,AE492),AA492+$AH$8,AE492+$AH$8),"")</f>
        <v>100</v>
      </c>
      <c r="AI492" s="32" t="str">
        <f>IF(A492&lt;&gt;"",CHOOSE(10-MIN(9,TRUNC((AH492+0.5)/10)),"A","B","C","D","F","F","F","F","F","F"),"")</f>
        <v>A</v>
      </c>
      <c r="AJ492" s="32" t="str">
        <f>IF(A492&lt;&gt;"",IF(OR(AH492+0.5&gt;=93,AH492+0.5&lt;60),"",IF(MOD(AH492+0.5,10)&gt;=7,"+",IF(MOD(AH492+0.5,10)&lt;3,"-",""))),"")</f>
        <v/>
      </c>
      <c r="AK492" s="71" t="b">
        <f>IF(A492&lt;&gt;"",OR(AI492&lt;&gt;AC492,AJ492&lt;&gt;AD492),"")</f>
        <v>0</v>
      </c>
      <c r="AL492" s="86">
        <f>IF(AND(A492&lt;&gt;"",U492&lt;&gt;""),SUM(U492,$AL$8)/$AL$2*100,"")</f>
        <v>80</v>
      </c>
      <c r="AM492" s="71">
        <f>IF(AND(A492&lt;&gt;"",V492&lt;&gt;""),SUM(V492,$AM$8)/$AM$2*100,"")</f>
        <v>97.692307692307693</v>
      </c>
      <c r="AN492" s="71">
        <f>IF(AND(A492&lt;&gt;"",ISNUMBER(P492),P492&gt;=0),SUM(P492,$AN$8)/$AN$2*100,"")</f>
        <v>100</v>
      </c>
      <c r="AO492" s="71" t="str">
        <f>IF(AND(A492&lt;&gt;"",ISNUMBER(Q492),Q492&gt;=0),SUM(Q492,$AO$8)/$AO$2*100,"")</f>
        <v/>
      </c>
      <c r="AP492" s="24" t="str">
        <f>IF(AND(A492&lt;&gt;"",R492&lt;&gt;""),SUM(R492,$AP$8)/$AP$2*100,"")</f>
        <v/>
      </c>
      <c r="AQ492" s="24">
        <f>IF(AND(A492&lt;&gt;"",ISNUMBER(W492),W492&gt;=0),SUM(W492,$AQ$8)/$AQ$2*100,"")</f>
        <v>100</v>
      </c>
      <c r="AR492" s="24" t="str">
        <f>IF(AND(A492&lt;&gt;"",T492&gt;0,ISNUMBER(T492)),SUM(T492,$AR$8)/$AR$2*100,"")</f>
        <v/>
      </c>
      <c r="AS492" s="24" t="str">
        <f>IF(AND(A492&lt;&gt;"",X492&lt;&gt;""),SUM(X492,$AS$8)/$AS$2*100,"")</f>
        <v/>
      </c>
      <c r="AT492" s="89">
        <f>IF(AND(A492&lt;&gt;"",OR(ISNUMBER(W492),ISNUMBER(X492))),SUM(W492:X492,$AT$8)/$AT$2*100,"")</f>
        <v>100</v>
      </c>
      <c r="AU492" s="24">
        <f>AA492</f>
        <v>94.426229508196727</v>
      </c>
      <c r="AV492" s="71"/>
      <c r="AW492" s="27">
        <f>IF(A492&lt;&gt;"",AE492-AA492,"")</f>
        <v>5.5737704918032733</v>
      </c>
      <c r="AY492" s="27" t="b">
        <f>S492&gt;R492</f>
        <v>0</v>
      </c>
      <c r="BA492" s="27" t="e">
        <f>AND(AA492&gt;$BA$3,(W492+$W$8)/$W$2&lt;$BB$3,(X492+$X$8)/$X$2&lt;$BB$3)</f>
        <v>#VALUE!</v>
      </c>
      <c r="BB492" s="27" t="e">
        <f>AND(AA492&lt;$BA$3,AND(W492/$W$2&gt;$BB$3,X492/$X$2&gt;$BB$3))</f>
        <v>#VALUE!</v>
      </c>
      <c r="BC492" s="27" t="e">
        <f>AND(AA492&lt;$BA$3,OR(W492/$W$2&gt;$BB$3,X492/$X$2&gt;$BB$3))</f>
        <v>#VALUE!</v>
      </c>
      <c r="BE492" s="32" t="s">
        <v>85</v>
      </c>
    </row>
    <row r="493" spans="1:57" s="27" customFormat="1" ht="12.75" customHeight="1" x14ac:dyDescent="0.2">
      <c r="A493" s="10">
        <v>944317</v>
      </c>
      <c r="B493" s="2">
        <v>13</v>
      </c>
      <c r="C493" s="10">
        <v>22</v>
      </c>
      <c r="D493" s="10">
        <v>25</v>
      </c>
      <c r="E493" s="10"/>
      <c r="F493" s="10"/>
      <c r="G493" s="3"/>
      <c r="H493" s="10"/>
      <c r="I493" s="10"/>
      <c r="J493" s="2">
        <v>26</v>
      </c>
      <c r="K493" s="10">
        <v>35</v>
      </c>
      <c r="L493" s="10">
        <v>48</v>
      </c>
      <c r="M493" s="56"/>
      <c r="N493" s="10"/>
      <c r="O493" s="12"/>
      <c r="P493" s="10">
        <v>101</v>
      </c>
      <c r="Q493" s="41"/>
      <c r="R493" s="2"/>
      <c r="S493" s="10"/>
      <c r="T493" s="13"/>
      <c r="U493" s="35">
        <f t="array" ref="U493">IF(AND(A493&lt;&gt;"",OR(ISNUMBER(B493:I493))),SUM(B493:I493),"")</f>
        <v>60</v>
      </c>
      <c r="V493" s="10">
        <f t="array" ref="V493">IF(AND(A493&lt;&gt;"",OR(ISNUMBER(J493:O493))),SUM(J493:O493),"")</f>
        <v>109</v>
      </c>
      <c r="W493" s="10">
        <f t="array" ref="W493">IF(AND(A493&lt;&gt;"",OR(ISNUMBER(P493),ISNUMBER(Q493))),SUM(MAX(P493:Q493),Q493),"")</f>
        <v>101</v>
      </c>
      <c r="X493" s="10" t="str">
        <f t="array" ref="X493">IF(AND(A493&lt;&gt;"",OR(ISNUMBER(S493),ISNUMBER(T493))),SUM(S493,T493),"")</f>
        <v/>
      </c>
      <c r="Y493" s="13">
        <v>1</v>
      </c>
      <c r="Z493" s="13">
        <f>IF(A493&lt;&gt;"",SUM(U493:Y493),"")</f>
        <v>271</v>
      </c>
      <c r="AA493" s="27">
        <f>IF(A493&lt;&gt;"",(Z493+Normalize_To_Add)/(Point_Total_So_Far)*100,"")</f>
        <v>88.852459016393453</v>
      </c>
      <c r="AB493" s="10">
        <f>IF(A493&lt;&gt;"",RANK(AA493,All_Student_XC),"")</f>
        <v>349</v>
      </c>
      <c r="AC493" s="32" t="str">
        <f>IF(A493&lt;&gt;"",CHOOSE(10-MIN(9,TRUNC((AA493+0.5)/10)),"A","B","C","D","F","F","F","F","F","F"),"")</f>
        <v>B</v>
      </c>
      <c r="AD493" s="32" t="str">
        <f>IF(A493&lt;&gt;"",IF(OR(AA493+0.5&gt;=93,AA493+0.5&lt;60),"",IF(MOD(AA493+0.5,10)&gt;=7,"+",IF(MOD(AA493+0.5,10)&lt;3,"-",""))),"")</f>
        <v>+</v>
      </c>
      <c r="AE493" s="32">
        <f>IF(A493&lt;&gt;"",SUM(W493:X493,$W$8:$X$8)/SUM($W$2:$X$2)*100,"")</f>
        <v>101</v>
      </c>
      <c r="AF493" s="32" t="str">
        <f>IF(A493&lt;&gt;"",CHOOSE(10-MIN(9,TRUNC((AE493+0.5)/10)),"A","B","C","D","F","F","F","F","F","F"),"")</f>
        <v>A</v>
      </c>
      <c r="AG493" s="32" t="str">
        <f>IF(A493&lt;&gt;"",IF(OR(AE493+0.5&gt;=93,AE493+0.5&lt;60),"",IF(MOD(AE493+0.5,10)&gt;=7,"+",IF(MOD(AE493+0.5,10)&lt;3,"-",""))),"")</f>
        <v/>
      </c>
      <c r="AH493" s="36">
        <f>IF(A493&lt;&gt;"",MIN(MAX(AA493,AE493),AA493+$AH$8,AE493+$AH$8),"")</f>
        <v>101</v>
      </c>
      <c r="AI493" s="32" t="str">
        <f>IF(A493&lt;&gt;"",CHOOSE(10-MIN(9,TRUNC((AH493+0.5)/10)),"A","B","C","D","F","F","F","F","F","F"),"")</f>
        <v>A</v>
      </c>
      <c r="AJ493" s="32" t="str">
        <f>IF(A493&lt;&gt;"",IF(OR(AH493+0.5&gt;=93,AH493+0.5&lt;60),"",IF(MOD(AH493+0.5,10)&gt;=7,"+",IF(MOD(AH493+0.5,10)&lt;3,"-",""))),"")</f>
        <v/>
      </c>
      <c r="AK493" s="32" t="b">
        <f>IF(A493&lt;&gt;"",OR(AI493&lt;&gt;AC493,AJ493&lt;&gt;AD493),"")</f>
        <v>1</v>
      </c>
      <c r="AL493" s="84">
        <f>IF(AND(A493&lt;&gt;"",U493&lt;&gt;""),SUM(U493,$AL$8)/$AL$2*100,"")</f>
        <v>80</v>
      </c>
      <c r="AM493" s="24">
        <f>IF(AND(A493&lt;&gt;"",V493&lt;&gt;""),SUM(V493,$AM$8)/$AM$2*100,"")</f>
        <v>83.846153846153854</v>
      </c>
      <c r="AN493" s="24">
        <f>IF(AND(A493&lt;&gt;"",ISNUMBER(P493),P493&gt;=0),SUM(P493,$AN$8)/$AN$2*100,"")</f>
        <v>101</v>
      </c>
      <c r="AO493" s="24" t="str">
        <f>IF(AND(A493&lt;&gt;"",ISNUMBER(Q493),Q493&gt;=0),SUM(Q493,$AO$8)/$AO$2*100,"")</f>
        <v/>
      </c>
      <c r="AP493" s="24" t="str">
        <f>IF(AND(A493&lt;&gt;"",R493&lt;&gt;""),SUM(R493,$AP$8)/$AP$2*100,"")</f>
        <v/>
      </c>
      <c r="AQ493" s="24">
        <f>IF(AND(A493&lt;&gt;"",ISNUMBER(W493),W493&gt;=0),SUM(W493,$AQ$8)/$AQ$2*100,"")</f>
        <v>101</v>
      </c>
      <c r="AR493" s="24" t="str">
        <f>IF(AND(A493&lt;&gt;"",T493&gt;0,ISNUMBER(T493)),SUM(T493,$AR$8)/$AR$2*100,"")</f>
        <v/>
      </c>
      <c r="AS493" s="24" t="str">
        <f>IF(AND(A493&lt;&gt;"",X493&lt;&gt;""),SUM(X493,$AS$8)/$AS$2*100,"")</f>
        <v/>
      </c>
      <c r="AT493" s="89">
        <f>IF(AND(A493&lt;&gt;"",OR(ISNUMBER(W493),ISNUMBER(X493))),SUM(W493:X493,$AT$8)/$AT$2*100,"")</f>
        <v>101</v>
      </c>
      <c r="AU493" s="24">
        <f>AA493</f>
        <v>88.852459016393453</v>
      </c>
      <c r="AV493" s="24"/>
      <c r="AW493" s="27">
        <f>IF(A493&lt;&gt;"",AE493-AA493,"")</f>
        <v>12.147540983606547</v>
      </c>
      <c r="AY493" s="27" t="b">
        <f>S493&gt;R493</f>
        <v>0</v>
      </c>
      <c r="BA493" s="27" t="e">
        <f>AND(AA493&gt;$BA$3,(W493+$W$8)/$W$2&lt;$BB$3,(X493+$X$8)/$X$2&lt;$BB$3)</f>
        <v>#VALUE!</v>
      </c>
      <c r="BB493" s="27" t="e">
        <f>AND(AA493&lt;$BA$3,AND(W493/$W$2&gt;$BB$3,X493/$X$2&gt;$BB$3))</f>
        <v>#VALUE!</v>
      </c>
      <c r="BC493" s="27" t="e">
        <f>AND(AA493&lt;$BA$3,OR(W493/$W$2&gt;$BB$3,X493/$X$2&gt;$BB$3))</f>
        <v>#VALUE!</v>
      </c>
      <c r="BE493" s="32" t="s">
        <v>85</v>
      </c>
    </row>
    <row r="494" spans="1:57" s="27" customFormat="1" ht="12.75" customHeight="1" x14ac:dyDescent="0.2">
      <c r="A494" s="10">
        <v>948474</v>
      </c>
      <c r="B494" s="2">
        <v>16</v>
      </c>
      <c r="C494" s="10">
        <v>13</v>
      </c>
      <c r="D494" s="10" t="s">
        <v>67</v>
      </c>
      <c r="E494" s="10"/>
      <c r="F494" s="10"/>
      <c r="G494" s="10"/>
      <c r="H494" s="10"/>
      <c r="I494" s="10"/>
      <c r="J494" s="2">
        <v>25</v>
      </c>
      <c r="K494" s="10">
        <v>41</v>
      </c>
      <c r="L494" s="10" t="s">
        <v>67</v>
      </c>
      <c r="M494" s="10"/>
      <c r="N494" s="93"/>
      <c r="O494" s="13"/>
      <c r="P494" s="10" t="s">
        <v>67</v>
      </c>
      <c r="Q494" s="10"/>
      <c r="R494" s="2"/>
      <c r="S494" s="10"/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96</v>
      </c>
      <c r="AA494" s="27">
        <f>IF(A494&lt;&gt;"",(Z494+Normalize_To_Add)/(Point_Total_So_Far)*100,"")</f>
        <v>31.475409836065577</v>
      </c>
      <c r="AB494" s="10">
        <f>IF(A494&lt;&gt;"",RANK(AA494,All_Student_XC),"")</f>
        <v>504</v>
      </c>
      <c r="AC494" s="32" t="str">
        <f>IF(A494&lt;&gt;"",CHOOSE(10-MIN(9,TRUNC((AA494+0.5)/10)),"A","B","C","D","F","F","F","F","F","F"),"")</f>
        <v>F</v>
      </c>
      <c r="AD494" s="31" t="str">
        <f>IF(A494&lt;&gt;"",IF(OR(AA494+0.5&gt;=93,AA494+0.5&lt;60),"",IF(MOD(AA494+0.5,10)&gt;=7,"+",IF(MOD(AA494+0.5,10)&lt;3,"-",""))),"")</f>
        <v/>
      </c>
      <c r="AE494" s="32">
        <f>IF(A494&lt;&gt;"",SUM(W494:X494,$W$8:$X$8)/SUM($W$2:$X$2)*100,"")</f>
        <v>0</v>
      </c>
      <c r="AF494" s="32" t="str">
        <f>IF(A494&lt;&gt;"",CHOOSE(10-MIN(9,TRUNC((AE494+0.5)/10)),"A","B","C","D","F","F","F","F","F","F"),"")</f>
        <v>F</v>
      </c>
      <c r="AG494" s="32" t="str">
        <f>IF(A494&lt;&gt;"",IF(OR(AE494+0.5&gt;=93,AE494+0.5&lt;60),"",IF(MOD(AE494+0.5,10)&gt;=7,"+",IF(MOD(AE494+0.5,10)&lt;3,"-",""))),"")</f>
        <v/>
      </c>
      <c r="AH494" s="36">
        <f>IF(A494&lt;&gt;"",MIN(MAX(AA494,AE494),AA494+$AH$8,AE494+$AH$8),"")</f>
        <v>31.475409836065577</v>
      </c>
      <c r="AI494" s="32" t="str">
        <f>IF(A494&lt;&gt;"",CHOOSE(10-MIN(9,TRUNC((AH494+0.5)/10)),"A","B","C","D","F","F","F","F","F","F"),"")</f>
        <v>F</v>
      </c>
      <c r="AJ494" s="32" t="str">
        <f>IF(A494&lt;&gt;"",IF(OR(AH494+0.5&gt;=93,AH494+0.5&lt;60),"",IF(MOD(AH494+0.5,10)&gt;=7,"+",IF(MOD(AH494+0.5,10)&lt;3,"-",""))),"")</f>
        <v/>
      </c>
      <c r="AK494" s="71" t="b">
        <f>IF(A494&lt;&gt;"",OR(AI494&lt;&gt;AC494,AJ494&lt;&gt;AD494),"")</f>
        <v>0</v>
      </c>
      <c r="AL494" s="86">
        <f>IF(AND(A494&lt;&gt;"",U494&lt;&gt;""),SUM(U494,$AL$8)/$AL$2*100,"")</f>
        <v>38.666666666666664</v>
      </c>
      <c r="AM494" s="71">
        <f>IF(AND(A494&lt;&gt;"",V494&lt;&gt;""),SUM(V494,$AM$8)/$AM$2*100,"")</f>
        <v>50.769230769230766</v>
      </c>
      <c r="AN494" s="71" t="str">
        <f>IF(AND(A494&lt;&gt;"",ISNUMBER(P494),P494&gt;=0),SUM(P494,$AN$8)/$AN$2*100,"")</f>
        <v/>
      </c>
      <c r="AO494" s="71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9" t="str">
        <f>IF(AND(A494&lt;&gt;"",OR(ISNUMBER(W494),ISNUMBER(X494))),SUM(W494:X494,$AT$8)/$AT$2*100,"")</f>
        <v/>
      </c>
      <c r="AU494" s="24">
        <f>AA494</f>
        <v>31.475409836065577</v>
      </c>
      <c r="AV494" s="71"/>
      <c r="AW494" s="27">
        <f>IF(A494&lt;&gt;"",AE494-AA494,"")</f>
        <v>-31.475409836065577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  <c r="BE494" s="32">
        <v>32</v>
      </c>
    </row>
    <row r="495" spans="1:57" s="27" customFormat="1" ht="12.75" customHeight="1" x14ac:dyDescent="0.2">
      <c r="A495" s="10">
        <v>948869</v>
      </c>
      <c r="B495" s="2">
        <v>25</v>
      </c>
      <c r="C495" s="10">
        <v>14</v>
      </c>
      <c r="D495" s="10">
        <v>17</v>
      </c>
      <c r="E495" s="10"/>
      <c r="F495" s="10"/>
      <c r="G495" s="10"/>
      <c r="H495" s="10"/>
      <c r="I495" s="10"/>
      <c r="J495" s="2">
        <v>30</v>
      </c>
      <c r="K495" s="10">
        <v>52</v>
      </c>
      <c r="L495" s="10" t="s">
        <v>67</v>
      </c>
      <c r="M495" s="10"/>
      <c r="N495" s="93"/>
      <c r="O495" s="13"/>
      <c r="P495" s="10">
        <v>101</v>
      </c>
      <c r="Q495" s="10"/>
      <c r="R495" s="2"/>
      <c r="S495" s="10"/>
      <c r="T495" s="13"/>
      <c r="U495" s="7">
        <f t="array" ref="U495">IF(AND(A495&lt;&gt;"",OR(ISNUMBER(B495:I495))),SUM(B495:I495),"")</f>
        <v>56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 t="str">
        <f t="array" ref="X495">IF(AND(A495&lt;&gt;"",OR(ISNUMBER(S495),ISNUMBER(T495))),SUM(S495,T495),"")</f>
        <v/>
      </c>
      <c r="Y495" s="13">
        <v>1</v>
      </c>
      <c r="Z495" s="13">
        <f>IF(A495&lt;&gt;"",SUM(U495:Y495),"")</f>
        <v>240</v>
      </c>
      <c r="AA495" s="27">
        <f>IF(A495&lt;&gt;"",(Z495+Normalize_To_Add)/(Point_Total_So_Far)*100,"")</f>
        <v>78.688524590163937</v>
      </c>
      <c r="AB495" s="10">
        <f>IF(A495&lt;&gt;"",RANK(AA495,All_Student_XC),"")</f>
        <v>418</v>
      </c>
      <c r="AC495" s="32" t="str">
        <f>IF(A495&lt;&gt;"",CHOOSE(10-MIN(9,TRUNC((AA495+0.5)/10)),"A","B","C","D","F","F","F","F","F","F"),"")</f>
        <v>C</v>
      </c>
      <c r="AD495" s="31" t="str">
        <f>IF(A495&lt;&gt;"",IF(OR(AA495+0.5&gt;=93,AA495+0.5&lt;60),"",IF(MOD(AA495+0.5,10)&gt;=7,"+",IF(MOD(AA495+0.5,10)&lt;3,"-",""))),"")</f>
        <v>+</v>
      </c>
      <c r="AE495" s="32">
        <f>IF(A495&lt;&gt;"",SUM(W495:X495,$W$8:$X$8)/SUM($W$2:$X$2)*100,"")</f>
        <v>101</v>
      </c>
      <c r="AF495" s="32" t="str">
        <f>IF(A495&lt;&gt;"",CHOOSE(10-MIN(9,TRUNC((AE495+0.5)/10)),"A","B","C","D","F","F","F","F","F","F"),"")</f>
        <v>A</v>
      </c>
      <c r="AG495" s="32" t="str">
        <f>IF(A495&lt;&gt;"",IF(OR(AE495+0.5&gt;=93,AE495+0.5&lt;60),"",IF(MOD(AE495+0.5,10)&gt;=7,"+",IF(MOD(AE495+0.5,10)&lt;3,"-",""))),"")</f>
        <v/>
      </c>
      <c r="AH495" s="36">
        <f>IF(A495&lt;&gt;"",MIN(MAX(AA495,AE495),AA495+$AH$8,AE495+$AH$8),"")</f>
        <v>101</v>
      </c>
      <c r="AI495" s="32" t="str">
        <f>IF(A495&lt;&gt;"",CHOOSE(10-MIN(9,TRUNC((AH495+0.5)/10)),"A","B","C","D","F","F","F","F","F","F"),"")</f>
        <v>A</v>
      </c>
      <c r="AJ495" s="32" t="str">
        <f>IF(A495&lt;&gt;"",IF(OR(AH495+0.5&gt;=93,AH495+0.5&lt;60),"",IF(MOD(AH495+0.5,10)&gt;=7,"+",IF(MOD(AH495+0.5,10)&lt;3,"-",""))),"")</f>
        <v/>
      </c>
      <c r="AK495" s="71" t="b">
        <f>IF(A495&lt;&gt;"",OR(AI495&lt;&gt;AC495,AJ495&lt;&gt;AD495),"")</f>
        <v>1</v>
      </c>
      <c r="AL495" s="86">
        <f>IF(AND(A495&lt;&gt;"",U495&lt;&gt;""),SUM(U495,$AL$8)/$AL$2*100,"")</f>
        <v>74.666666666666671</v>
      </c>
      <c r="AM495" s="71">
        <f>IF(AND(A495&lt;&gt;"",V495&lt;&gt;""),SUM(V495,$AM$8)/$AM$2*100,"")</f>
        <v>63.076923076923073</v>
      </c>
      <c r="AN495" s="71">
        <f>IF(AND(A495&lt;&gt;"",ISNUMBER(P495),P495&gt;=0),SUM(P495,$AN$8)/$AN$2*100,"")</f>
        <v>101</v>
      </c>
      <c r="AO495" s="71" t="str">
        <f>IF(AND(A495&lt;&gt;"",ISNUMBER(Q495),Q495&gt;=0),SUM(Q495,$AO$8)/$AO$2*100,"")</f>
        <v/>
      </c>
      <c r="AP495" s="24" t="str">
        <f>IF(AND(A495&lt;&gt;"",R495&lt;&gt;""),SUM(R495,$AP$8)/$AP$2*100,"")</f>
        <v/>
      </c>
      <c r="AQ495" s="24">
        <f>IF(AND(A495&lt;&gt;"",ISNUMBER(W495),W495&gt;=0),SUM(W495,$AQ$8)/$AQ$2*100,"")</f>
        <v>101</v>
      </c>
      <c r="AR495" s="24" t="str">
        <f>IF(AND(A495&lt;&gt;"",T495&gt;0,ISNUMBER(T495)),SUM(T495,$AR$8)/$AR$2*100,"")</f>
        <v/>
      </c>
      <c r="AS495" s="24" t="str">
        <f>IF(AND(A495&lt;&gt;"",X495&lt;&gt;""),SUM(X495,$AS$8)/$AS$2*100,"")</f>
        <v/>
      </c>
      <c r="AT495" s="89">
        <f>IF(AND(A495&lt;&gt;"",OR(ISNUMBER(W495),ISNUMBER(X495))),SUM(W495:X495,$AT$8)/$AT$2*100,"")</f>
        <v>101</v>
      </c>
      <c r="AU495" s="24">
        <f>AA495</f>
        <v>78.688524590163937</v>
      </c>
      <c r="AV495" s="71"/>
      <c r="AW495" s="27">
        <f>IF(A495&lt;&gt;"",AE495-AA495,"")</f>
        <v>22.311475409836063</v>
      </c>
      <c r="AY495" s="27" t="b">
        <f>S495&gt;R495</f>
        <v>0</v>
      </c>
      <c r="BA495" s="27" t="e">
        <f>AND(AA495&gt;$BA$3,(W495+$W$8)/$W$2&lt;$BB$3,(X495+$X$8)/$X$2&lt;$BB$3)</f>
        <v>#VALUE!</v>
      </c>
      <c r="BB495" s="27" t="e">
        <f>AND(AA495&lt;$BA$3,AND(W495/$W$2&gt;$BB$3,X495/$X$2&gt;$BB$3))</f>
        <v>#VALUE!</v>
      </c>
      <c r="BC495" s="27" t="e">
        <f>AND(AA495&lt;$BA$3,OR(W495/$W$2&gt;$BB$3,X495/$X$2&gt;$BB$3))</f>
        <v>#VALUE!</v>
      </c>
      <c r="BE495" s="32" t="s">
        <v>84</v>
      </c>
    </row>
    <row r="496" spans="1:57" s="27" customFormat="1" ht="12.75" customHeight="1" x14ac:dyDescent="0.2">
      <c r="A496" s="10">
        <v>953935</v>
      </c>
      <c r="B496" s="2">
        <v>23</v>
      </c>
      <c r="C496" s="10">
        <v>21</v>
      </c>
      <c r="D496" s="10">
        <v>25</v>
      </c>
      <c r="E496" s="10"/>
      <c r="F496" s="10"/>
      <c r="G496" s="10"/>
      <c r="H496" s="10"/>
      <c r="I496" s="10"/>
      <c r="J496" s="2">
        <v>28</v>
      </c>
      <c r="K496" s="10">
        <v>27</v>
      </c>
      <c r="L496" s="10">
        <v>52</v>
      </c>
      <c r="M496" s="10"/>
      <c r="N496" s="93"/>
      <c r="O496" s="13"/>
      <c r="P496" s="10">
        <v>101</v>
      </c>
      <c r="Q496" s="10"/>
      <c r="R496" s="2"/>
      <c r="S496" s="10"/>
      <c r="T496" s="13"/>
      <c r="U496" s="7">
        <f t="array" ref="U496">IF(AND(A496&lt;&gt;"",OR(ISNUMBER(B496:I496))),SUM(B496:I496),"")</f>
        <v>69</v>
      </c>
      <c r="V496" s="10">
        <f t="array" ref="V496">IF(AND(A496&lt;&gt;"",OR(ISNUMBER(J496:O496))),SUM(J496:O496),"")</f>
        <v>107</v>
      </c>
      <c r="W496" s="10">
        <f t="array" ref="W496">IF(AND(A496&lt;&gt;"",OR(ISNUMBER(P496),ISNUMBER(Q496))),SUM(MAX(P496:Q496),Q496),"")</f>
        <v>101</v>
      </c>
      <c r="X496" s="10" t="str">
        <f t="array" ref="X496">IF(AND(A496&lt;&gt;"",OR(ISNUMBER(S496),ISNUMBER(T496))),SUM(S496,T496),"")</f>
        <v/>
      </c>
      <c r="Y496" s="13">
        <v>1</v>
      </c>
      <c r="Z496" s="13">
        <f>IF(A496&lt;&gt;"",SUM(U496:Y496),"")</f>
        <v>278</v>
      </c>
      <c r="AA496" s="27">
        <f>IF(A496&lt;&gt;"",(Z496+Normalize_To_Add)/(Point_Total_So_Far)*100,"")</f>
        <v>91.147540983606561</v>
      </c>
      <c r="AB496" s="10">
        <f>IF(A496&lt;&gt;"",RANK(AA496,All_Student_XC),"")</f>
        <v>320</v>
      </c>
      <c r="AC496" s="32" t="str">
        <f>IF(A496&lt;&gt;"",CHOOSE(10-MIN(9,TRUNC((AA496+0.5)/10)),"A","B","C","D","F","F","F","F","F","F"),"")</f>
        <v>A</v>
      </c>
      <c r="AD496" s="31" t="str">
        <f>IF(A496&lt;&gt;"",IF(OR(AA496+0.5&gt;=93,AA496+0.5&lt;60),"",IF(MOD(AA496+0.5,10)&gt;=7,"+",IF(MOD(AA496+0.5,10)&lt;3,"-",""))),"")</f>
        <v>-</v>
      </c>
      <c r="AE496" s="32">
        <f>IF(A496&lt;&gt;"",SUM(W496:X496,$W$8:$X$8)/SUM($W$2:$X$2)*100,"")</f>
        <v>101</v>
      </c>
      <c r="AF496" s="32" t="str">
        <f>IF(A496&lt;&gt;"",CHOOSE(10-MIN(9,TRUNC((AE496+0.5)/10)),"A","B","C","D","F","F","F","F","F","F"),"")</f>
        <v>A</v>
      </c>
      <c r="AG496" s="32" t="str">
        <f>IF(A496&lt;&gt;"",IF(OR(AE496+0.5&gt;=93,AE496+0.5&lt;60),"",IF(MOD(AE496+0.5,10)&gt;=7,"+",IF(MOD(AE496+0.5,10)&lt;3,"-",""))),"")</f>
        <v/>
      </c>
      <c r="AH496" s="36">
        <f>IF(A496&lt;&gt;"",MIN(MAX(AA496,AE496),AA496+$AH$8,AE496+$AH$8),"")</f>
        <v>101</v>
      </c>
      <c r="AI496" s="32" t="str">
        <f>IF(A496&lt;&gt;"",CHOOSE(10-MIN(9,TRUNC((AH496+0.5)/10)),"A","B","C","D","F","F","F","F","F","F"),"")</f>
        <v>A</v>
      </c>
      <c r="AJ496" s="32" t="str">
        <f>IF(A496&lt;&gt;"",IF(OR(AH496+0.5&gt;=93,AH496+0.5&lt;60),"",IF(MOD(AH496+0.5,10)&gt;=7,"+",IF(MOD(AH496+0.5,10)&lt;3,"-",""))),"")</f>
        <v/>
      </c>
      <c r="AK496" s="71" t="b">
        <f>IF(A496&lt;&gt;"",OR(AI496&lt;&gt;AC496,AJ496&lt;&gt;AD496),"")</f>
        <v>1</v>
      </c>
      <c r="AL496" s="86">
        <f>IF(AND(A496&lt;&gt;"",U496&lt;&gt;""),SUM(U496,$AL$8)/$AL$2*100,"")</f>
        <v>92</v>
      </c>
      <c r="AM496" s="71">
        <f>IF(AND(A496&lt;&gt;"",V496&lt;&gt;""),SUM(V496,$AM$8)/$AM$2*100,"")</f>
        <v>82.307692307692307</v>
      </c>
      <c r="AN496" s="71">
        <f>IF(AND(A496&lt;&gt;"",ISNUMBER(P496),P496&gt;=0),SUM(P496,$AN$8)/$AN$2*100,"")</f>
        <v>101</v>
      </c>
      <c r="AO496" s="71" t="str">
        <f>IF(AND(A496&lt;&gt;"",ISNUMBER(Q496),Q496&gt;=0),SUM(Q496,$AO$8)/$AO$2*100,"")</f>
        <v/>
      </c>
      <c r="AP496" s="24" t="str">
        <f>IF(AND(A496&lt;&gt;"",R496&lt;&gt;""),SUM(R496,$AP$8)/$AP$2*100,"")</f>
        <v/>
      </c>
      <c r="AQ496" s="24">
        <f>IF(AND(A496&lt;&gt;"",ISNUMBER(W496),W496&gt;=0),SUM(W496,$AQ$8)/$AQ$2*100,"")</f>
        <v>101</v>
      </c>
      <c r="AR496" s="24" t="str">
        <f>IF(AND(A496&lt;&gt;"",T496&gt;0,ISNUMBER(T496)),SUM(T496,$AR$8)/$AR$2*100,"")</f>
        <v/>
      </c>
      <c r="AS496" s="24" t="str">
        <f>IF(AND(A496&lt;&gt;"",X496&lt;&gt;""),SUM(X496,$AS$8)/$AS$2*100,"")</f>
        <v/>
      </c>
      <c r="AT496" s="89">
        <f>IF(AND(A496&lt;&gt;"",OR(ISNUMBER(W496),ISNUMBER(X496))),SUM(W496:X496,$AT$8)/$AT$2*100,"")</f>
        <v>101</v>
      </c>
      <c r="AU496" s="24">
        <f>AA496</f>
        <v>91.147540983606561</v>
      </c>
      <c r="AV496" s="71"/>
      <c r="AW496" s="27">
        <f>IF(A496&lt;&gt;"",AE496-AA496,"")</f>
        <v>9.8524590163934391</v>
      </c>
      <c r="AY496" s="27" t="b">
        <f>S496&gt;R496</f>
        <v>0</v>
      </c>
      <c r="BA496" s="27" t="e">
        <f>AND(AA496&gt;$BA$3,(W496+$W$8)/$W$2&lt;$BB$3,(X496+$X$8)/$X$2&lt;$BB$3)</f>
        <v>#VALUE!</v>
      </c>
      <c r="BB496" s="27" t="e">
        <f>AND(AA496&lt;$BA$3,AND(W496/$W$2&gt;$BB$3,X496/$X$2&gt;$BB$3))</f>
        <v>#VALUE!</v>
      </c>
      <c r="BC496" s="27" t="e">
        <f>AND(AA496&lt;$BA$3,OR(W496/$W$2&gt;$BB$3,X496/$X$2&gt;$BB$3))</f>
        <v>#VALUE!</v>
      </c>
      <c r="BE496" s="32" t="s">
        <v>84</v>
      </c>
    </row>
    <row r="497" spans="1:57" s="27" customFormat="1" ht="12.75" customHeight="1" x14ac:dyDescent="0.2">
      <c r="A497" s="10">
        <v>957704</v>
      </c>
      <c r="B497" s="2">
        <v>23</v>
      </c>
      <c r="C497" s="10">
        <v>23</v>
      </c>
      <c r="D497" s="10">
        <v>25</v>
      </c>
      <c r="E497" s="10"/>
      <c r="F497" s="10"/>
      <c r="G497" s="10"/>
      <c r="H497" s="10"/>
      <c r="I497" s="10"/>
      <c r="J497" s="2">
        <v>26</v>
      </c>
      <c r="K497" s="10">
        <v>51</v>
      </c>
      <c r="L497" s="10">
        <v>52</v>
      </c>
      <c r="M497" s="10"/>
      <c r="N497" s="93"/>
      <c r="O497" s="13"/>
      <c r="P497" s="10">
        <v>101</v>
      </c>
      <c r="Q497" s="10"/>
      <c r="R497" s="2"/>
      <c r="S497" s="10"/>
      <c r="T497" s="13"/>
      <c r="U497" s="7">
        <f t="array" ref="U497">IF(AND(A497&lt;&gt;"",OR(ISNUMBER(B497:I497))),SUM(B497:I497),"")</f>
        <v>71</v>
      </c>
      <c r="V497" s="10">
        <f t="array" ref="V497">IF(AND(A497&lt;&gt;"",OR(ISNUMBER(J497:O497))),SUM(J497:O497),"")</f>
        <v>129</v>
      </c>
      <c r="W497" s="10">
        <f t="array" ref="W497">IF(AND(A497&lt;&gt;"",OR(ISNUMBER(P497),ISNUMBER(Q497))),SUM(MAX(P497:Q497),Q497),"")</f>
        <v>101</v>
      </c>
      <c r="X497" s="10" t="str">
        <f t="array" ref="X497">IF(AND(A497&lt;&gt;"",OR(ISNUMBER(S497),ISNUMBER(T497))),SUM(S497,T497),"")</f>
        <v/>
      </c>
      <c r="Y497" s="13">
        <v>1</v>
      </c>
      <c r="Z497" s="13">
        <f>IF(A497&lt;&gt;"",SUM(U497:Y497),"")</f>
        <v>302</v>
      </c>
      <c r="AA497" s="27">
        <f>IF(A497&lt;&gt;"",(Z497+Normalize_To_Add)/(Point_Total_So_Far)*100,"")</f>
        <v>99.016393442622956</v>
      </c>
      <c r="AB497" s="10">
        <f>IF(A497&lt;&gt;"",RANK(AA497,All_Student_XC),"")</f>
        <v>164</v>
      </c>
      <c r="AC497" s="32" t="str">
        <f>IF(A497&lt;&gt;"",CHOOSE(10-MIN(9,TRUNC((AA497+0.5)/10)),"A","B","C","D","F","F","F","F","F","F"),"")</f>
        <v>A</v>
      </c>
      <c r="AD497" s="31" t="str">
        <f>IF(A497&lt;&gt;"",IF(OR(AA497+0.5&gt;=93,AA497+0.5&lt;60),"",IF(MOD(AA497+0.5,10)&gt;=7,"+",IF(MOD(AA497+0.5,10)&lt;3,"-",""))),"")</f>
        <v/>
      </c>
      <c r="AE497" s="32">
        <f>IF(A497&lt;&gt;"",SUM(W497:X497,$W$8:$X$8)/SUM($W$2:$X$2)*100,"")</f>
        <v>101</v>
      </c>
      <c r="AF497" s="32" t="str">
        <f>IF(A497&lt;&gt;"",CHOOSE(10-MIN(9,TRUNC((AE497+0.5)/10)),"A","B","C","D","F","F","F","F","F","F"),"")</f>
        <v>A</v>
      </c>
      <c r="AG497" s="32" t="str">
        <f>IF(A497&lt;&gt;"",IF(OR(AE497+0.5&gt;=93,AE497+0.5&lt;60),"",IF(MOD(AE497+0.5,10)&gt;=7,"+",IF(MOD(AE497+0.5,10)&lt;3,"-",""))),"")</f>
        <v/>
      </c>
      <c r="AH497" s="36">
        <f>IF(A497&lt;&gt;"",MIN(MAX(AA497,AE497),AA497+$AH$8,AE497+$AH$8),"")</f>
        <v>101</v>
      </c>
      <c r="AI497" s="32" t="str">
        <f>IF(A497&lt;&gt;"",CHOOSE(10-MIN(9,TRUNC((AH497+0.5)/10)),"A","B","C","D","F","F","F","F","F","F"),"")</f>
        <v>A</v>
      </c>
      <c r="AJ497" s="32" t="str">
        <f>IF(A497&lt;&gt;"",IF(OR(AH497+0.5&gt;=93,AH497+0.5&lt;60),"",IF(MOD(AH497+0.5,10)&gt;=7,"+",IF(MOD(AH497+0.5,10)&lt;3,"-",""))),"")</f>
        <v/>
      </c>
      <c r="AK497" s="71" t="b">
        <f>IF(A497&lt;&gt;"",OR(AI497&lt;&gt;AC497,AJ497&lt;&gt;AD497),"")</f>
        <v>0</v>
      </c>
      <c r="AL497" s="86">
        <f>IF(AND(A497&lt;&gt;"",U497&lt;&gt;""),SUM(U497,$AL$8)/$AL$2*100,"")</f>
        <v>94.666666666666671</v>
      </c>
      <c r="AM497" s="71">
        <f>IF(AND(A497&lt;&gt;"",V497&lt;&gt;""),SUM(V497,$AM$8)/$AM$2*100,"")</f>
        <v>99.230769230769226</v>
      </c>
      <c r="AN497" s="71">
        <f>IF(AND(A497&lt;&gt;"",ISNUMBER(P497),P497&gt;=0),SUM(P497,$AN$8)/$AN$2*100,"")</f>
        <v>101</v>
      </c>
      <c r="AO497" s="71" t="str">
        <f>IF(AND(A497&lt;&gt;"",ISNUMBER(Q497),Q497&gt;=0),SUM(Q497,$AO$8)/$AO$2*100,"")</f>
        <v/>
      </c>
      <c r="AP497" s="24" t="str">
        <f>IF(AND(A497&lt;&gt;"",R497&lt;&gt;""),SUM(R497,$AP$8)/$AP$2*100,"")</f>
        <v/>
      </c>
      <c r="AQ497" s="24">
        <f>IF(AND(A497&lt;&gt;"",ISNUMBER(W497),W497&gt;=0),SUM(W497,$AQ$8)/$AQ$2*100,"")</f>
        <v>101</v>
      </c>
      <c r="AR497" s="24" t="str">
        <f>IF(AND(A497&lt;&gt;"",T497&gt;0,ISNUMBER(T497)),SUM(T497,$AR$8)/$AR$2*100,"")</f>
        <v/>
      </c>
      <c r="AS497" s="24" t="str">
        <f>IF(AND(A497&lt;&gt;"",X497&lt;&gt;""),SUM(X497,$AS$8)/$AS$2*100,"")</f>
        <v/>
      </c>
      <c r="AT497" s="89">
        <f>IF(AND(A497&lt;&gt;"",OR(ISNUMBER(W497),ISNUMBER(X497))),SUM(W497:X497,$AT$8)/$AT$2*100,"")</f>
        <v>101</v>
      </c>
      <c r="AU497" s="24">
        <f>AA497</f>
        <v>99.016393442622956</v>
      </c>
      <c r="AV497" s="71"/>
      <c r="AW497" s="27">
        <f>IF(A497&lt;&gt;"",AE497-AA497,"")</f>
        <v>1.9836065573770441</v>
      </c>
      <c r="AY497" s="27" t="b">
        <f>S497&gt;R497</f>
        <v>0</v>
      </c>
      <c r="BA497" s="27" t="e">
        <f>AND(AA497&gt;$BA$3,(W497+$W$8)/$W$2&lt;$BB$3,(X497+$X$8)/$X$2&lt;$BB$3)</f>
        <v>#VALUE!</v>
      </c>
      <c r="BB497" s="27" t="e">
        <f>AND(AA497&lt;$BA$3,AND(W497/$W$2&gt;$BB$3,X497/$X$2&gt;$BB$3))</f>
        <v>#VALUE!</v>
      </c>
      <c r="BC497" s="27" t="e">
        <f>AND(AA497&lt;$BA$3,OR(W497/$W$2&gt;$BB$3,X497/$X$2&gt;$BB$3))</f>
        <v>#VALUE!</v>
      </c>
      <c r="BE497" s="32">
        <v>32</v>
      </c>
    </row>
    <row r="498" spans="1:57" s="27" customFormat="1" ht="12.75" customHeight="1" x14ac:dyDescent="0.2">
      <c r="A498" s="10">
        <v>961315</v>
      </c>
      <c r="B498" s="2">
        <v>11</v>
      </c>
      <c r="C498" s="10">
        <v>13</v>
      </c>
      <c r="D498" s="10">
        <v>16</v>
      </c>
      <c r="E498" s="10"/>
      <c r="F498" s="10"/>
      <c r="G498" s="3"/>
      <c r="H498" s="10"/>
      <c r="I498" s="10"/>
      <c r="J498" s="2">
        <v>26</v>
      </c>
      <c r="K498" s="10">
        <v>39</v>
      </c>
      <c r="L498" s="10">
        <v>49</v>
      </c>
      <c r="M498" s="10"/>
      <c r="N498" s="93"/>
      <c r="O498" s="13"/>
      <c r="P498" s="10">
        <v>80</v>
      </c>
      <c r="Q498" s="10"/>
      <c r="R498" s="2"/>
      <c r="S498" s="10"/>
      <c r="T498" s="13"/>
      <c r="U498" s="7">
        <f t="array" ref="U498">IF(AND(A498&lt;&gt;"",OR(ISNUMBER(B498:I498))),SUM(B498:I498),"")</f>
        <v>40</v>
      </c>
      <c r="V498" s="10">
        <f t="array" ref="V498">IF(AND(A498&lt;&gt;"",OR(ISNUMBER(J498:O498))),SUM(J498:O498),"")</f>
        <v>114</v>
      </c>
      <c r="W498" s="10">
        <f t="array" ref="W498">IF(AND(A498&lt;&gt;"",OR(ISNUMBER(P498),ISNUMBER(Q498))),SUM(MAX(P498:Q498),Q498),"")</f>
        <v>80</v>
      </c>
      <c r="X498" s="10" t="str">
        <f t="array" ref="X498">IF(AND(A498&lt;&gt;"",OR(ISNUMBER(S498),ISNUMBER(T498))),SUM(S498,T498),"")</f>
        <v/>
      </c>
      <c r="Y498" s="13">
        <v>1</v>
      </c>
      <c r="Z498" s="13">
        <f>IF(A498&lt;&gt;"",SUM(U498:Y498),"")</f>
        <v>235</v>
      </c>
      <c r="AA498" s="27">
        <f>IF(A498&lt;&gt;"",(Z498+Normalize_To_Add)/(Point_Total_So_Far)*100,"")</f>
        <v>77.049180327868854</v>
      </c>
      <c r="AB498" s="10">
        <f>IF(A498&lt;&gt;"",RANK(AA498,All_Student_XC),"")</f>
        <v>429</v>
      </c>
      <c r="AC498" s="32" t="str">
        <f>IF(A498&lt;&gt;"",CHOOSE(10-MIN(9,TRUNC((AA498+0.5)/10)),"A","B","C","D","F","F","F","F","F","F"),"")</f>
        <v>C</v>
      </c>
      <c r="AD498" s="31" t="str">
        <f>IF(A498&lt;&gt;"",IF(OR(AA498+0.5&gt;=93,AA498+0.5&lt;60),"",IF(MOD(AA498+0.5,10)&gt;=7,"+",IF(MOD(AA498+0.5,10)&lt;3,"-",""))),"")</f>
        <v>+</v>
      </c>
      <c r="AE498" s="32">
        <f>IF(A498&lt;&gt;"",SUM(W498:X498,$W$8:$X$8)/SUM($W$2:$X$2)*100,"")</f>
        <v>80</v>
      </c>
      <c r="AF498" s="32" t="str">
        <f>IF(A498&lt;&gt;"",CHOOSE(10-MIN(9,TRUNC((AE498+0.5)/10)),"A","B","C","D","F","F","F","F","F","F"),"")</f>
        <v>B</v>
      </c>
      <c r="AG498" s="32" t="str">
        <f>IF(A498&lt;&gt;"",IF(OR(AE498+0.5&gt;=93,AE498+0.5&lt;60),"",IF(MOD(AE498+0.5,10)&gt;=7,"+",IF(MOD(AE498+0.5,10)&lt;3,"-",""))),"")</f>
        <v>-</v>
      </c>
      <c r="AH498" s="36">
        <f>IF(A498&lt;&gt;"",MIN(MAX(AA498,AE498),AA498+$AH$8,AE498+$AH$8),"")</f>
        <v>80</v>
      </c>
      <c r="AI498" s="32" t="str">
        <f>IF(A498&lt;&gt;"",CHOOSE(10-MIN(9,TRUNC((AH498+0.5)/10)),"A","B","C","D","F","F","F","F","F","F"),"")</f>
        <v>B</v>
      </c>
      <c r="AJ498" s="32" t="str">
        <f>IF(A498&lt;&gt;"",IF(OR(AH498+0.5&gt;=93,AH498+0.5&lt;60),"",IF(MOD(AH498+0.5,10)&gt;=7,"+",IF(MOD(AH498+0.5,10)&lt;3,"-",""))),"")</f>
        <v>-</v>
      </c>
      <c r="AK498" s="71" t="b">
        <f>IF(A498&lt;&gt;"",OR(AI498&lt;&gt;AC498,AJ498&lt;&gt;AD498),"")</f>
        <v>1</v>
      </c>
      <c r="AL498" s="86">
        <f>IF(AND(A498&lt;&gt;"",U498&lt;&gt;""),SUM(U498,$AL$8)/$AL$2*100,"")</f>
        <v>53.333333333333336</v>
      </c>
      <c r="AM498" s="71">
        <f>IF(AND(A498&lt;&gt;"",V498&lt;&gt;""),SUM(V498,$AM$8)/$AM$2*100,"")</f>
        <v>87.692307692307693</v>
      </c>
      <c r="AN498" s="71">
        <f>IF(AND(A498&lt;&gt;"",ISNUMBER(P498),P498&gt;=0),SUM(P498,$AN$8)/$AN$2*100,"")</f>
        <v>80</v>
      </c>
      <c r="AO498" s="71" t="str">
        <f>IF(AND(A498&lt;&gt;"",ISNUMBER(Q498),Q498&gt;=0),SUM(Q498,$AO$8)/$AO$2*100,"")</f>
        <v/>
      </c>
      <c r="AP498" s="24" t="str">
        <f>IF(AND(A498&lt;&gt;"",R498&lt;&gt;""),SUM(R498,$AP$8)/$AP$2*100,"")</f>
        <v/>
      </c>
      <c r="AQ498" s="24">
        <f>IF(AND(A498&lt;&gt;"",ISNUMBER(W498),W498&gt;=0),SUM(W498,$AQ$8)/$AQ$2*100,"")</f>
        <v>80</v>
      </c>
      <c r="AR498" s="24" t="str">
        <f>IF(AND(A498&lt;&gt;"",T498&gt;0,ISNUMBER(T498)),SUM(T498,$AR$8)/$AR$2*100,"")</f>
        <v/>
      </c>
      <c r="AS498" s="24" t="str">
        <f>IF(AND(A498&lt;&gt;"",X498&lt;&gt;""),SUM(X498,$AS$8)/$AS$2*100,"")</f>
        <v/>
      </c>
      <c r="AT498" s="89">
        <f>IF(AND(A498&lt;&gt;"",OR(ISNUMBER(W498),ISNUMBER(X498))),SUM(W498:X498,$AT$8)/$AT$2*100,"")</f>
        <v>80</v>
      </c>
      <c r="AU498" s="24">
        <f>AA498</f>
        <v>77.049180327868854</v>
      </c>
      <c r="AV498" s="71"/>
      <c r="AW498" s="27">
        <f>IF(A498&lt;&gt;"",AE498-AA498,"")</f>
        <v>2.9508196721311464</v>
      </c>
      <c r="AY498" s="27" t="b">
        <f>S498&gt;R498</f>
        <v>0</v>
      </c>
      <c r="BA498" s="27" t="e">
        <f>AND(AA498&gt;$BA$3,(W498+$W$8)/$W$2&lt;$BB$3,(X498+$X$8)/$X$2&lt;$BB$3)</f>
        <v>#VALUE!</v>
      </c>
      <c r="BB498" s="27" t="e">
        <f>AND(AA498&lt;$BA$3,AND(W498/$W$2&gt;$BB$3,X498/$X$2&gt;$BB$3))</f>
        <v>#VALUE!</v>
      </c>
      <c r="BC498" s="27" t="e">
        <f>AND(AA498&lt;$BA$3,OR(W498/$W$2&gt;$BB$3,X498/$X$2&gt;$BB$3))</f>
        <v>#VALUE!</v>
      </c>
      <c r="BE498" s="32">
        <v>32</v>
      </c>
    </row>
    <row r="499" spans="1:57" s="27" customFormat="1" ht="12.75" customHeight="1" x14ac:dyDescent="0.2">
      <c r="A499" s="10">
        <v>961973</v>
      </c>
      <c r="B499" s="2">
        <v>11</v>
      </c>
      <c r="C499" s="10">
        <v>19</v>
      </c>
      <c r="D499" s="10">
        <v>25</v>
      </c>
      <c r="E499" s="10"/>
      <c r="F499" s="10"/>
      <c r="G499" s="3"/>
      <c r="H499" s="10"/>
      <c r="I499" s="10"/>
      <c r="J499" s="2">
        <v>28</v>
      </c>
      <c r="K499" s="10">
        <v>40</v>
      </c>
      <c r="L499" s="10">
        <v>47</v>
      </c>
      <c r="M499" s="10"/>
      <c r="N499" s="10"/>
      <c r="O499" s="12"/>
      <c r="P499" s="7">
        <v>101</v>
      </c>
      <c r="Q499" s="7"/>
      <c r="R499" s="2"/>
      <c r="S499" s="10"/>
      <c r="T499" s="13"/>
      <c r="U499" s="35">
        <f t="array" ref="U499">IF(AND(A499&lt;&gt;"",OR(ISNUMBER(B499:I499))),SUM(B499:I499),"")</f>
        <v>55</v>
      </c>
      <c r="V499" s="10">
        <f t="array" ref="V499">IF(AND(A499&lt;&gt;"",OR(ISNUMBER(J499:O499))),SUM(J499:O499),"")</f>
        <v>115</v>
      </c>
      <c r="W499" s="10">
        <f t="array" ref="W499">IF(AND(A499&lt;&gt;"",OR(ISNUMBER(P499),ISNUMBER(Q499))),SUM(MAX(P499:Q499),Q499),"")</f>
        <v>101</v>
      </c>
      <c r="X499" s="10" t="str">
        <f t="array" ref="X499">IF(AND(A499&lt;&gt;"",OR(ISNUMBER(S499),ISNUMBER(T499))),SUM(S499,T499),"")</f>
        <v/>
      </c>
      <c r="Y499" s="13">
        <v>1</v>
      </c>
      <c r="Z499" s="13">
        <f>IF(A499&lt;&gt;"",SUM(U499:Y499),"")</f>
        <v>272</v>
      </c>
      <c r="AA499" s="27">
        <f>IF(A499&lt;&gt;"",(Z499+Normalize_To_Add)/(Point_Total_So_Far)*100,"")</f>
        <v>89.180327868852459</v>
      </c>
      <c r="AB499" s="10">
        <f>IF(A499&lt;&gt;"",RANK(AA499,All_Student_XC),"")</f>
        <v>344</v>
      </c>
      <c r="AC499" s="32" t="str">
        <f>IF(A499&lt;&gt;"",CHOOSE(10-MIN(9,TRUNC((AA499+0.5)/10)),"A","B","C","D","F","F","F","F","F","F"),"")</f>
        <v>B</v>
      </c>
      <c r="AD499" s="32" t="str">
        <f>IF(A499&lt;&gt;"",IF(OR(AA499+0.5&gt;=93,AA499+0.5&lt;60),"",IF(MOD(AA499+0.5,10)&gt;=7,"+",IF(MOD(AA499+0.5,10)&lt;3,"-",""))),"")</f>
        <v>+</v>
      </c>
      <c r="AE499" s="32">
        <f>IF(A499&lt;&gt;"",SUM(W499:X499,$W$8:$X$8)/SUM($W$2:$X$2)*100,"")</f>
        <v>101</v>
      </c>
      <c r="AF499" s="32" t="str">
        <f>IF(A499&lt;&gt;"",CHOOSE(10-MIN(9,TRUNC((AE499+0.5)/10)),"A","B","C","D","F","F","F","F","F","F"),"")</f>
        <v>A</v>
      </c>
      <c r="AG499" s="32" t="str">
        <f>IF(A499&lt;&gt;"",IF(OR(AE499+0.5&gt;=93,AE499+0.5&lt;60),"",IF(MOD(AE499+0.5,10)&gt;=7,"+",IF(MOD(AE499+0.5,10)&lt;3,"-",""))),"")</f>
        <v/>
      </c>
      <c r="AH499" s="36">
        <f>IF(A499&lt;&gt;"",MIN(MAX(AA499,AE499),AA499+$AH$8,AE499+$AH$8),"")</f>
        <v>101</v>
      </c>
      <c r="AI499" s="32" t="str">
        <f>IF(A499&lt;&gt;"",CHOOSE(10-MIN(9,TRUNC((AH499+0.5)/10)),"A","B","C","D","F","F","F","F","F","F"),"")</f>
        <v>A</v>
      </c>
      <c r="AJ499" s="32" t="str">
        <f>IF(A499&lt;&gt;"",IF(OR(AH499+0.5&gt;=93,AH499+0.5&lt;60),"",IF(MOD(AH499+0.5,10)&gt;=7,"+",IF(MOD(AH499+0.5,10)&lt;3,"-",""))),"")</f>
        <v/>
      </c>
      <c r="AK499" s="32" t="b">
        <f>IF(A499&lt;&gt;"",OR(AI499&lt;&gt;AC499,AJ499&lt;&gt;AD499),"")</f>
        <v>1</v>
      </c>
      <c r="AL499" s="84">
        <f>IF(AND(A499&lt;&gt;"",U499&lt;&gt;""),SUM(U499,$AL$8)/$AL$2*100,"")</f>
        <v>73.333333333333329</v>
      </c>
      <c r="AM499" s="24">
        <f>IF(AND(A499&lt;&gt;"",V499&lt;&gt;""),SUM(V499,$AM$8)/$AM$2*100,"")</f>
        <v>88.461538461538453</v>
      </c>
      <c r="AN499" s="24">
        <f>IF(AND(A499&lt;&gt;"",ISNUMBER(P499),P499&gt;=0),SUM(P499,$AN$8)/$AN$2*100,"")</f>
        <v>101</v>
      </c>
      <c r="AO499" s="24" t="str">
        <f>IF(AND(A499&lt;&gt;"",ISNUMBER(Q499),Q499&gt;=0),SUM(Q499,$AO$8)/$AO$2*100,"")</f>
        <v/>
      </c>
      <c r="AP499" s="24" t="str">
        <f>IF(AND(A499&lt;&gt;"",R499&lt;&gt;""),SUM(R499,$AP$8)/$AP$2*100,"")</f>
        <v/>
      </c>
      <c r="AQ499" s="24">
        <f>IF(AND(A499&lt;&gt;"",ISNUMBER(W499),W499&gt;=0),SUM(W499,$AQ$8)/$AQ$2*100,"")</f>
        <v>101</v>
      </c>
      <c r="AR499" s="24" t="str">
        <f>IF(AND(A499&lt;&gt;"",T499&gt;0,ISNUMBER(T499)),SUM(T499,$AR$8)/$AR$2*100,"")</f>
        <v/>
      </c>
      <c r="AS499" s="24" t="str">
        <f>IF(AND(A499&lt;&gt;"",X499&lt;&gt;""),SUM(X499,$AS$8)/$AS$2*100,"")</f>
        <v/>
      </c>
      <c r="AT499" s="89">
        <f>IF(AND(A499&lt;&gt;"",OR(ISNUMBER(W499),ISNUMBER(X499))),SUM(W499:X499,$AT$8)/$AT$2*100,"")</f>
        <v>101</v>
      </c>
      <c r="AU499" s="24">
        <f>AA499</f>
        <v>89.180327868852459</v>
      </c>
      <c r="AV499" s="24"/>
      <c r="AW499" s="27">
        <f>IF(A499&lt;&gt;"",AE499-AA499,"")</f>
        <v>11.819672131147541</v>
      </c>
      <c r="AY499" s="27" t="b">
        <f>S499&gt;R499</f>
        <v>0</v>
      </c>
      <c r="BA499" s="27" t="e">
        <f>AND(AA499&gt;$BA$3,(W499+$W$8)/$W$2&lt;$BB$3,(X499+$X$8)/$X$2&lt;$BB$3)</f>
        <v>#VALUE!</v>
      </c>
      <c r="BB499" s="27" t="e">
        <f>AND(AA499&lt;$BA$3,AND(W499/$W$2&gt;$BB$3,X499/$X$2&gt;$BB$3))</f>
        <v>#VALUE!</v>
      </c>
      <c r="BC499" s="27" t="e">
        <f>AND(AA499&lt;$BA$3,OR(W499/$W$2&gt;$BB$3,X499/$X$2&gt;$BB$3))</f>
        <v>#VALUE!</v>
      </c>
      <c r="BE499" s="32" t="s">
        <v>85</v>
      </c>
    </row>
    <row r="500" spans="1:57" s="27" customFormat="1" ht="12.75" customHeight="1" x14ac:dyDescent="0.2">
      <c r="A500" s="10">
        <v>963482</v>
      </c>
      <c r="B500" s="2">
        <v>20</v>
      </c>
      <c r="C500" s="10">
        <v>22</v>
      </c>
      <c r="D500" s="10">
        <v>25</v>
      </c>
      <c r="E500" s="10"/>
      <c r="F500" s="10"/>
      <c r="G500" s="10"/>
      <c r="H500" s="10"/>
      <c r="I500" s="10"/>
      <c r="J500" s="2">
        <v>32</v>
      </c>
      <c r="K500" s="10">
        <v>37</v>
      </c>
      <c r="L500" s="10">
        <v>43</v>
      </c>
      <c r="M500" s="10"/>
      <c r="N500" s="93"/>
      <c r="O500" s="13"/>
      <c r="P500" s="10">
        <v>101</v>
      </c>
      <c r="Q500" s="10"/>
      <c r="R500" s="2"/>
      <c r="S500" s="10"/>
      <c r="T500" s="13"/>
      <c r="U500" s="7">
        <f t="array" ref="U500">IF(AND(A500&lt;&gt;"",OR(ISNUMBER(B500:I500))),SUM(B500:I500),"")</f>
        <v>67</v>
      </c>
      <c r="V500" s="10">
        <f t="array" ref="V500">IF(AND(A500&lt;&gt;"",OR(ISNUMBER(J500:O500))),SUM(J500:O500),"")</f>
        <v>112</v>
      </c>
      <c r="W500" s="10">
        <f t="array" ref="W500">IF(AND(A500&lt;&gt;"",OR(ISNUMBER(P500),ISNUMBER(Q500))),SUM(MAX(P500:Q500),Q500),"")</f>
        <v>101</v>
      </c>
      <c r="X500" s="10" t="str">
        <f t="array" ref="X500">IF(AND(A500&lt;&gt;"",OR(ISNUMBER(S500),ISNUMBER(T500))),SUM(S500,T500),"")</f>
        <v/>
      </c>
      <c r="Y500" s="13">
        <v>1</v>
      </c>
      <c r="Z500" s="13">
        <f>IF(A500&lt;&gt;"",SUM(U500:Y500),"")</f>
        <v>281</v>
      </c>
      <c r="AA500" s="27">
        <f>IF(A500&lt;&gt;"",(Z500+Normalize_To_Add)/(Point_Total_So_Far)*100,"")</f>
        <v>92.131147540983605</v>
      </c>
      <c r="AB500" s="10">
        <f>IF(A500&lt;&gt;"",RANK(AA500,All_Student_XC),"")</f>
        <v>307</v>
      </c>
      <c r="AC500" s="32" t="str">
        <f>IF(A500&lt;&gt;"",CHOOSE(10-MIN(9,TRUNC((AA500+0.5)/10)),"A","B","C","D","F","F","F","F","F","F"),"")</f>
        <v>A</v>
      </c>
      <c r="AD500" s="31" t="str">
        <f>IF(A500&lt;&gt;"",IF(OR(AA500+0.5&gt;=93,AA500+0.5&lt;60),"",IF(MOD(AA500+0.5,10)&gt;=7,"+",IF(MOD(AA500+0.5,10)&lt;3,"-",""))),"")</f>
        <v>-</v>
      </c>
      <c r="AE500" s="32">
        <f>IF(A500&lt;&gt;"",SUM(W500:X500,$W$8:$X$8)/SUM($W$2:$X$2)*100,"")</f>
        <v>101</v>
      </c>
      <c r="AF500" s="32" t="str">
        <f>IF(A500&lt;&gt;"",CHOOSE(10-MIN(9,TRUNC((AE500+0.5)/10)),"A","B","C","D","F","F","F","F","F","F"),"")</f>
        <v>A</v>
      </c>
      <c r="AG500" s="32" t="str">
        <f>IF(A500&lt;&gt;"",IF(OR(AE500+0.5&gt;=93,AE500+0.5&lt;60),"",IF(MOD(AE500+0.5,10)&gt;=7,"+",IF(MOD(AE500+0.5,10)&lt;3,"-",""))),"")</f>
        <v/>
      </c>
      <c r="AH500" s="36">
        <f>IF(A500&lt;&gt;"",MIN(MAX(AA500,AE500),AA500+$AH$8,AE500+$AH$8),"")</f>
        <v>101</v>
      </c>
      <c r="AI500" s="32" t="str">
        <f>IF(A500&lt;&gt;"",CHOOSE(10-MIN(9,TRUNC((AH500+0.5)/10)),"A","B","C","D","F","F","F","F","F","F"),"")</f>
        <v>A</v>
      </c>
      <c r="AJ500" s="32" t="str">
        <f>IF(A500&lt;&gt;"",IF(OR(AH500+0.5&gt;=93,AH500+0.5&lt;60),"",IF(MOD(AH500+0.5,10)&gt;=7,"+",IF(MOD(AH500+0.5,10)&lt;3,"-",""))),"")</f>
        <v/>
      </c>
      <c r="AK500" s="71" t="b">
        <f>IF(A500&lt;&gt;"",OR(AI500&lt;&gt;AC500,AJ500&lt;&gt;AD500),"")</f>
        <v>1</v>
      </c>
      <c r="AL500" s="86">
        <f>IF(AND(A500&lt;&gt;"",U500&lt;&gt;""),SUM(U500,$AL$8)/$AL$2*100,"")</f>
        <v>89.333333333333329</v>
      </c>
      <c r="AM500" s="71">
        <f>IF(AND(A500&lt;&gt;"",V500&lt;&gt;""),SUM(V500,$AM$8)/$AM$2*100,"")</f>
        <v>86.15384615384616</v>
      </c>
      <c r="AN500" s="71">
        <f>IF(AND(A500&lt;&gt;"",ISNUMBER(P500),P500&gt;=0),SUM(P500,$AN$8)/$AN$2*100,"")</f>
        <v>101</v>
      </c>
      <c r="AO500" s="71" t="str">
        <f>IF(AND(A500&lt;&gt;"",ISNUMBER(Q500),Q500&gt;=0),SUM(Q500,$AO$8)/$AO$2*100,"")</f>
        <v/>
      </c>
      <c r="AP500" s="24" t="str">
        <f>IF(AND(A500&lt;&gt;"",R500&lt;&gt;""),SUM(R500,$AP$8)/$AP$2*100,"")</f>
        <v/>
      </c>
      <c r="AQ500" s="24">
        <f>IF(AND(A500&lt;&gt;"",ISNUMBER(W500),W500&gt;=0),SUM(W500,$AQ$8)/$AQ$2*100,"")</f>
        <v>101</v>
      </c>
      <c r="AR500" s="24" t="str">
        <f>IF(AND(A500&lt;&gt;"",T500&gt;0,ISNUMBER(T500)),SUM(T500,$AR$8)/$AR$2*100,"")</f>
        <v/>
      </c>
      <c r="AS500" s="24" t="str">
        <f>IF(AND(A500&lt;&gt;"",X500&lt;&gt;""),SUM(X500,$AS$8)/$AS$2*100,"")</f>
        <v/>
      </c>
      <c r="AT500" s="89">
        <f>IF(AND(A500&lt;&gt;"",OR(ISNUMBER(W500),ISNUMBER(X500))),SUM(W500:X500,$AT$8)/$AT$2*100,"")</f>
        <v>101</v>
      </c>
      <c r="AU500" s="24">
        <f>AA500</f>
        <v>92.131147540983605</v>
      </c>
      <c r="AV500" s="71"/>
      <c r="AW500" s="27">
        <f>IF(A500&lt;&gt;"",AE500-AA500,"")</f>
        <v>8.8688524590163951</v>
      </c>
      <c r="AY500" s="27" t="b">
        <f>S500&gt;R500</f>
        <v>0</v>
      </c>
      <c r="BA500" s="27" t="e">
        <f>AND(AA500&gt;$BA$3,(W500+$W$8)/$W$2&lt;$BB$3,(X500+$X$8)/$X$2&lt;$BB$3)</f>
        <v>#VALUE!</v>
      </c>
      <c r="BB500" s="27" t="e">
        <f>AND(AA500&lt;$BA$3,AND(W500/$W$2&gt;$BB$3,X500/$X$2&gt;$BB$3))</f>
        <v>#VALUE!</v>
      </c>
      <c r="BC500" s="27" t="e">
        <f>AND(AA500&lt;$BA$3,OR(W500/$W$2&gt;$BB$3,X500/$X$2&gt;$BB$3))</f>
        <v>#VALUE!</v>
      </c>
      <c r="BE500" s="32" t="s">
        <v>85</v>
      </c>
    </row>
    <row r="501" spans="1:57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 t="s">
        <v>67</v>
      </c>
      <c r="E501" s="10"/>
      <c r="F501" s="10"/>
      <c r="G501" s="3"/>
      <c r="H501" s="10"/>
      <c r="I501" s="10"/>
      <c r="J501" s="2">
        <v>10</v>
      </c>
      <c r="K501" s="10">
        <v>5</v>
      </c>
      <c r="L501" s="10" t="s">
        <v>67</v>
      </c>
      <c r="M501" s="10"/>
      <c r="N501" s="93"/>
      <c r="O501" s="12"/>
      <c r="P501" s="10">
        <v>50</v>
      </c>
      <c r="Q501" s="41"/>
      <c r="R501" s="2"/>
      <c r="S501" s="10"/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66</v>
      </c>
      <c r="AA501" s="27">
        <f>IF(A501&lt;&gt;"",(Z501+Normalize_To_Add)/(Point_Total_So_Far)*100,"")</f>
        <v>21.639344262295083</v>
      </c>
      <c r="AB501" s="10">
        <f>IF(A501&lt;&gt;"",RANK(AA501,All_Student_XC),"")</f>
        <v>509</v>
      </c>
      <c r="AC501" s="32" t="str">
        <f>IF(A501&lt;&gt;"",CHOOSE(10-MIN(9,TRUNC((AA501+0.5)/10)),"A","B","C","D","F","F","F","F","F","F"),"")</f>
        <v>F</v>
      </c>
      <c r="AD501" s="32" t="str">
        <f>IF(A501&lt;&gt;"",IF(OR(AA501+0.5&gt;=93,AA501+0.5&lt;60),"",IF(MOD(AA501+0.5,10)&gt;=7,"+",IF(MOD(AA501+0.5,10)&lt;3,"-",""))),"")</f>
        <v/>
      </c>
      <c r="AE501" s="32">
        <f>IF(A501&lt;&gt;"",SUM(W501:X501,$W$8:$X$8)/SUM($W$2:$X$2)*100,"")</f>
        <v>50</v>
      </c>
      <c r="AF501" s="32" t="str">
        <f>IF(A501&lt;&gt;"",CHOOSE(10-MIN(9,TRUNC((AE501+0.5)/10)),"A","B","C","D","F","F","F","F","F","F"),"")</f>
        <v>F</v>
      </c>
      <c r="AG501" s="32" t="str">
        <f>IF(A501&lt;&gt;"",IF(OR(AE501+0.5&gt;=93,AE501+0.5&lt;60),"",IF(MOD(AE501+0.5,10)&gt;=7,"+",IF(MOD(AE501+0.5,10)&lt;3,"-",""))),"")</f>
        <v/>
      </c>
      <c r="AH501" s="36">
        <f>IF(A501&lt;&gt;"",MIN(MAX(AA501,AE501),AA501+$AH$8,AE501+$AH$8),"")</f>
        <v>50</v>
      </c>
      <c r="AI501" s="32" t="str">
        <f>IF(A501&lt;&gt;"",CHOOSE(10-MIN(9,TRUNC((AH501+0.5)/10)),"A","B","C","D","F","F","F","F","F","F"),"")</f>
        <v>F</v>
      </c>
      <c r="AJ501" s="32" t="str">
        <f>IF(A501&lt;&gt;"",IF(OR(AH501+0.5&gt;=93,AH501+0.5&lt;60),"",IF(MOD(AH501+0.5,10)&gt;=7,"+",IF(MOD(AH501+0.5,10)&lt;3,"-",""))),"")</f>
        <v/>
      </c>
      <c r="AK501" s="32" t="b">
        <f>IF(A501&lt;&gt;"",OR(AI501&lt;&gt;AC501,AJ501&lt;&gt;AD501),"")</f>
        <v>0</v>
      </c>
      <c r="AL501" s="84" t="str">
        <f>IF(AND(A501&lt;&gt;"",U501&lt;&gt;""),SUM(U501,$AL$8)/$AL$2*100,"")</f>
        <v/>
      </c>
      <c r="AM501" s="24">
        <f>IF(AND(A501&lt;&gt;"",V501&lt;&gt;""),SUM(V501,$AM$8)/$AM$2*100,"")</f>
        <v>11.538461538461538</v>
      </c>
      <c r="AN501" s="24">
        <f>IF(AND(A501&lt;&gt;"",ISNUMBER(P501),P501&gt;=0),SUM(P501,$AN$8)/$AN$2*100,"")</f>
        <v>50</v>
      </c>
      <c r="AO501" s="24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>
        <f>IF(AND(A501&lt;&gt;"",ISNUMBER(W501),W501&gt;=0),SUM(W501,$AQ$8)/$AQ$2*100,"")</f>
        <v>50</v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9">
        <f>IF(AND(A501&lt;&gt;"",OR(ISNUMBER(W501),ISNUMBER(X501))),SUM(W501:X501,$AT$8)/$AT$2*100,"")</f>
        <v>50</v>
      </c>
      <c r="AU501" s="24">
        <f>AA501</f>
        <v>21.639344262295083</v>
      </c>
      <c r="AV501" s="24"/>
      <c r="AW501" s="27">
        <f>IF(A501&lt;&gt;"",AE501-AA501,"")</f>
        <v>28.360655737704917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  <c r="BE501" s="32">
        <v>32</v>
      </c>
    </row>
    <row r="502" spans="1:57" s="27" customFormat="1" ht="12.75" customHeight="1" x14ac:dyDescent="0.2">
      <c r="A502" s="10">
        <v>970315</v>
      </c>
      <c r="B502" s="2">
        <v>23</v>
      </c>
      <c r="C502" s="10">
        <v>25</v>
      </c>
      <c r="D502" s="10">
        <v>25</v>
      </c>
      <c r="E502" s="10"/>
      <c r="F502" s="10"/>
      <c r="G502" s="10"/>
      <c r="H502" s="10"/>
      <c r="I502" s="10"/>
      <c r="J502" s="2">
        <v>30</v>
      </c>
      <c r="K502" s="10">
        <v>52</v>
      </c>
      <c r="L502" s="10">
        <v>52</v>
      </c>
      <c r="M502" s="10"/>
      <c r="N502" s="93"/>
      <c r="O502" s="12"/>
      <c r="P502" s="10">
        <v>101</v>
      </c>
      <c r="Q502" s="10"/>
      <c r="R502" s="2"/>
      <c r="S502" s="10"/>
      <c r="T502" s="13"/>
      <c r="U502" s="7">
        <f t="array" ref="U502">IF(AND(A502&lt;&gt;"",OR(ISNUMBER(B502:I502))),SUM(B502:I502),"")</f>
        <v>73</v>
      </c>
      <c r="V502" s="10">
        <f t="array" ref="V502">IF(AND(A502&lt;&gt;"",OR(ISNUMBER(J502:O502))),SUM(J502:O502),"")</f>
        <v>134</v>
      </c>
      <c r="W502" s="10">
        <f t="array" ref="W502">IF(AND(A502&lt;&gt;"",OR(ISNUMBER(P502),ISNUMBER(Q502))),SUM(MAX(P502:Q502),Q502),"")</f>
        <v>101</v>
      </c>
      <c r="X502" s="10" t="str">
        <f t="array" ref="X502">IF(AND(A502&lt;&gt;"",OR(ISNUMBER(S502),ISNUMBER(T502))),SUM(S502,T502),"")</f>
        <v/>
      </c>
      <c r="Y502" s="13">
        <v>1</v>
      </c>
      <c r="Z502" s="13">
        <f>IF(A502&lt;&gt;"",SUM(U502:Y502),"")</f>
        <v>309</v>
      </c>
      <c r="AA502" s="27">
        <f>IF(A502&lt;&gt;"",(Z502+Normalize_To_Add)/(Point_Total_So_Far)*100,"")</f>
        <v>101.31147540983608</v>
      </c>
      <c r="AB502" s="10">
        <f>IF(A502&lt;&gt;"",RANK(AA502,All_Student_XC),"")</f>
        <v>35</v>
      </c>
      <c r="AC502" s="32" t="str">
        <f>IF(A502&lt;&gt;"",CHOOSE(10-MIN(9,TRUNC((AA502+0.5)/10)),"A","B","C","D","F","F","F","F","F","F"),"")</f>
        <v>A</v>
      </c>
      <c r="AD502" s="31" t="str">
        <f>IF(A502&lt;&gt;"",IF(OR(AA502+0.5&gt;=93,AA502+0.5&lt;60),"",IF(MOD(AA502+0.5,10)&gt;=7,"+",IF(MOD(AA502+0.5,10)&lt;3,"-",""))),"")</f>
        <v/>
      </c>
      <c r="AE502" s="32">
        <f>IF(A502&lt;&gt;"",SUM(W502:X502,$W$8:$X$8)/SUM($W$2:$X$2)*100,"")</f>
        <v>101</v>
      </c>
      <c r="AF502" s="32" t="str">
        <f>IF(A502&lt;&gt;"",CHOOSE(10-MIN(9,TRUNC((AE502+0.5)/10)),"A","B","C","D","F","F","F","F","F","F"),"")</f>
        <v>A</v>
      </c>
      <c r="AG502" s="32" t="str">
        <f>IF(A502&lt;&gt;"",IF(OR(AE502+0.5&gt;=93,AE502+0.5&lt;60),"",IF(MOD(AE502+0.5,10)&gt;=7,"+",IF(MOD(AE502+0.5,10)&lt;3,"-",""))),"")</f>
        <v/>
      </c>
      <c r="AH502" s="36">
        <f>IF(A502&lt;&gt;"",MIN(MAX(AA502,AE502),AA502+$AH$8,AE502+$AH$8),"")</f>
        <v>101.31147540983608</v>
      </c>
      <c r="AI502" s="32" t="str">
        <f>IF(A502&lt;&gt;"",CHOOSE(10-MIN(9,TRUNC((AH502+0.5)/10)),"A","B","C","D","F","F","F","F","F","F"),"")</f>
        <v>A</v>
      </c>
      <c r="AJ502" s="32" t="str">
        <f>IF(A502&lt;&gt;"",IF(OR(AH502+0.5&gt;=93,AH502+0.5&lt;60),"",IF(MOD(AH502+0.5,10)&gt;=7,"+",IF(MOD(AH502+0.5,10)&lt;3,"-",""))),"")</f>
        <v/>
      </c>
      <c r="AK502" s="71" t="b">
        <f>IF(A502&lt;&gt;"",OR(AI502&lt;&gt;AC502,AJ502&lt;&gt;AD502),"")</f>
        <v>0</v>
      </c>
      <c r="AL502" s="86">
        <f>IF(AND(A502&lt;&gt;"",U502&lt;&gt;""),SUM(U502,$AL$8)/$AL$2*100,"")</f>
        <v>97.333333333333343</v>
      </c>
      <c r="AM502" s="71">
        <f>IF(AND(A502&lt;&gt;"",V502&lt;&gt;""),SUM(V502,$AM$8)/$AM$2*100,"")</f>
        <v>103.07692307692307</v>
      </c>
      <c r="AN502" s="71">
        <f>IF(AND(A502&lt;&gt;"",ISNUMBER(P502),P502&gt;=0),SUM(P502,$AN$8)/$AN$2*100,"")</f>
        <v>101</v>
      </c>
      <c r="AO502" s="71" t="str">
        <f>IF(AND(A502&lt;&gt;"",ISNUMBER(Q502),Q502&gt;=0),SUM(Q502,$AO$8)/$AO$2*100,"")</f>
        <v/>
      </c>
      <c r="AP502" s="24" t="str">
        <f>IF(AND(A502&lt;&gt;"",R502&lt;&gt;""),SUM(R502,$AP$8)/$AP$2*100,"")</f>
        <v/>
      </c>
      <c r="AQ502" s="24">
        <f>IF(AND(A502&lt;&gt;"",ISNUMBER(W502),W502&gt;=0),SUM(W502,$AQ$8)/$AQ$2*100,"")</f>
        <v>101</v>
      </c>
      <c r="AR502" s="24" t="str">
        <f>IF(AND(A502&lt;&gt;"",T502&gt;0,ISNUMBER(T502)),SUM(T502,$AR$8)/$AR$2*100,"")</f>
        <v/>
      </c>
      <c r="AS502" s="24" t="str">
        <f>IF(AND(A502&lt;&gt;"",X502&lt;&gt;""),SUM(X502,$AS$8)/$AS$2*100,"")</f>
        <v/>
      </c>
      <c r="AT502" s="89">
        <f>IF(AND(A502&lt;&gt;"",OR(ISNUMBER(W502),ISNUMBER(X502))),SUM(W502:X502,$AT$8)/$AT$2*100,"")</f>
        <v>101</v>
      </c>
      <c r="AU502" s="24">
        <f>AA502</f>
        <v>101.31147540983608</v>
      </c>
      <c r="AV502" s="71"/>
      <c r="AW502" s="27">
        <f>IF(A502&lt;&gt;"",AE502-AA502,"")</f>
        <v>-0.31147540983607769</v>
      </c>
      <c r="AY502" s="27" t="b">
        <f>S502&gt;R502</f>
        <v>0</v>
      </c>
      <c r="BA502" s="27" t="e">
        <f>AND(AA502&gt;$BA$3,(W502+$W$8)/$W$2&lt;$BB$3,(X502+$X$8)/$X$2&lt;$BB$3)</f>
        <v>#VALUE!</v>
      </c>
      <c r="BB502" s="27" t="e">
        <f>AND(AA502&lt;$BA$3,AND(W502/$W$2&gt;$BB$3,X502/$X$2&gt;$BB$3))</f>
        <v>#VALUE!</v>
      </c>
      <c r="BC502" s="27" t="e">
        <f>AND(AA502&lt;$BA$3,OR(W502/$W$2&gt;$BB$3,X502/$X$2&gt;$BB$3))</f>
        <v>#VALUE!</v>
      </c>
      <c r="BE502" s="32">
        <v>32</v>
      </c>
    </row>
    <row r="503" spans="1:57" s="27" customFormat="1" ht="12.75" customHeight="1" x14ac:dyDescent="0.2">
      <c r="A503" s="10">
        <v>970481</v>
      </c>
      <c r="B503" s="2">
        <v>23</v>
      </c>
      <c r="C503" s="10">
        <v>24</v>
      </c>
      <c r="D503" s="10">
        <v>25</v>
      </c>
      <c r="E503" s="10"/>
      <c r="F503" s="10"/>
      <c r="G503" s="10"/>
      <c r="H503" s="10"/>
      <c r="I503" s="10"/>
      <c r="J503" s="2">
        <v>29</v>
      </c>
      <c r="K503" s="10">
        <v>52</v>
      </c>
      <c r="L503" s="10">
        <v>52</v>
      </c>
      <c r="M503" s="10"/>
      <c r="N503" s="93"/>
      <c r="O503" s="13"/>
      <c r="P503" s="10">
        <v>101</v>
      </c>
      <c r="Q503" s="10"/>
      <c r="R503" s="2"/>
      <c r="S503" s="10"/>
      <c r="T503" s="13"/>
      <c r="U503" s="7">
        <f t="array" ref="U503">IF(AND(A503&lt;&gt;"",OR(ISNUMBER(B503:I503))),SUM(B503:I503),"")</f>
        <v>72</v>
      </c>
      <c r="V503" s="10">
        <f t="array" ref="V503">IF(AND(A503&lt;&gt;"",OR(ISNUMBER(J503:O503))),SUM(J503:O503),"")</f>
        <v>133</v>
      </c>
      <c r="W503" s="10">
        <f t="array" ref="W503">IF(AND(A503&lt;&gt;"",OR(ISNUMBER(P503),ISNUMBER(Q503))),SUM(MAX(P503:Q503),Q503),"")</f>
        <v>101</v>
      </c>
      <c r="X503" s="10" t="str">
        <f t="array" ref="X503">IF(AND(A503&lt;&gt;"",OR(ISNUMBER(S503),ISNUMBER(T503))),SUM(S503,T503),"")</f>
        <v/>
      </c>
      <c r="Y503" s="13">
        <v>1</v>
      </c>
      <c r="Z503" s="13">
        <f>IF(A503&lt;&gt;"",SUM(U503:Y503),"")</f>
        <v>307</v>
      </c>
      <c r="AA503" s="27">
        <f>IF(A503&lt;&gt;"",(Z503+Normalize_To_Add)/(Point_Total_So_Far)*100,"")</f>
        <v>100.65573770491802</v>
      </c>
      <c r="AB503" s="10">
        <f>IF(A503&lt;&gt;"",RANK(AA503,All_Student_XC),"")</f>
        <v>72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>
        <f>IF(A503&lt;&gt;"",SUM(W503:X503,$W$8:$X$8)/SUM($W$2:$X$2)*100,"")</f>
        <v>101</v>
      </c>
      <c r="AF503" s="32" t="str">
        <f>IF(A503&lt;&gt;"",CHOOSE(10-MIN(9,TRUNC((AE503+0.5)/10)),"A","B","C","D","F","F","F","F","F","F"),"")</f>
        <v>A</v>
      </c>
      <c r="AG503" s="32" t="str">
        <f>IF(A503&lt;&gt;"",IF(OR(AE503+0.5&gt;=93,AE503+0.5&lt;60),"",IF(MOD(AE503+0.5,10)&gt;=7,"+",IF(MOD(AE503+0.5,10)&lt;3,"-",""))),"")</f>
        <v/>
      </c>
      <c r="AH503" s="36">
        <f>IF(A503&lt;&gt;"",MIN(MAX(AA503,AE503),AA503+$AH$8,AE503+$AH$8),"")</f>
        <v>101</v>
      </c>
      <c r="AI503" s="32" t="str">
        <f>IF(A503&lt;&gt;"",CHOOSE(10-MIN(9,TRUNC((AH503+0.5)/10)),"A","B","C","D","F","F","F","F","F","F"),"")</f>
        <v>A</v>
      </c>
      <c r="AJ503" s="32" t="str">
        <f>IF(A503&lt;&gt;"",IF(OR(AH503+0.5&gt;=93,AH503+0.5&lt;60),"",IF(MOD(AH503+0.5,10)&gt;=7,"+",IF(MOD(AH503+0.5,10)&lt;3,"-",""))),"")</f>
        <v/>
      </c>
      <c r="AK503" s="71" t="b">
        <f>IF(A503&lt;&gt;"",OR(AI503&lt;&gt;AC503,AJ503&lt;&gt;AD503),"")</f>
        <v>0</v>
      </c>
      <c r="AL503" s="86">
        <f>IF(AND(A503&lt;&gt;"",U503&lt;&gt;""),SUM(U503,$AL$8)/$AL$2*100,"")</f>
        <v>96</v>
      </c>
      <c r="AM503" s="71">
        <f>IF(AND(A503&lt;&gt;"",V503&lt;&gt;""),SUM(V503,$AM$8)/$AM$2*100,"")</f>
        <v>102.30769230769229</v>
      </c>
      <c r="AN503" s="71">
        <f>IF(AND(A503&lt;&gt;"",ISNUMBER(P503),P503&gt;=0),SUM(P503,$AN$8)/$AN$2*100,"")</f>
        <v>101</v>
      </c>
      <c r="AO503" s="71" t="str">
        <f>IF(AND(A503&lt;&gt;"",ISNUMBER(Q503),Q503&gt;=0),SUM(Q503,$AO$8)/$AO$2*100,"")</f>
        <v/>
      </c>
      <c r="AP503" s="24" t="str">
        <f>IF(AND(A503&lt;&gt;"",R503&lt;&gt;""),SUM(R503,$AP$8)/$AP$2*100,"")</f>
        <v/>
      </c>
      <c r="AQ503" s="24">
        <f>IF(AND(A503&lt;&gt;"",ISNUMBER(W503),W503&gt;=0),SUM(W503,$AQ$8)/$AQ$2*100,"")</f>
        <v>101</v>
      </c>
      <c r="AR503" s="24" t="str">
        <f>IF(AND(A503&lt;&gt;"",T503&gt;0,ISNUMBER(T503)),SUM(T503,$AR$8)/$AR$2*100,"")</f>
        <v/>
      </c>
      <c r="AS503" s="24" t="str">
        <f>IF(AND(A503&lt;&gt;"",X503&lt;&gt;""),SUM(X503,$AS$8)/$AS$2*100,"")</f>
        <v/>
      </c>
      <c r="AT503" s="89">
        <f>IF(AND(A503&lt;&gt;"",OR(ISNUMBER(W503),ISNUMBER(X503))),SUM(W503:X503,$AT$8)/$AT$2*100,"")</f>
        <v>101</v>
      </c>
      <c r="AU503" s="24">
        <f>AA503</f>
        <v>100.65573770491802</v>
      </c>
      <c r="AV503" s="71"/>
      <c r="AW503" s="27">
        <f>IF(A503&lt;&gt;"",AE503-AA503,"")</f>
        <v>0.34426229508197537</v>
      </c>
      <c r="AY503" s="27" t="b">
        <f>S503&gt;R503</f>
        <v>0</v>
      </c>
      <c r="BA503" s="27" t="e">
        <f>AND(AA503&gt;$BA$3,(W503+$W$8)/$W$2&lt;$BB$3,(X503+$X$8)/$X$2&lt;$BB$3)</f>
        <v>#VALUE!</v>
      </c>
      <c r="BB503" s="27" t="e">
        <f>AND(AA503&lt;$BA$3,AND(W503/$W$2&gt;$BB$3,X503/$X$2&gt;$BB$3))</f>
        <v>#VALUE!</v>
      </c>
      <c r="BC503" s="27" t="e">
        <f>AND(AA503&lt;$BA$3,OR(W503/$W$2&gt;$BB$3,X503/$X$2&gt;$BB$3))</f>
        <v>#VALUE!</v>
      </c>
      <c r="BE503" s="32" t="s">
        <v>84</v>
      </c>
    </row>
    <row r="504" spans="1:57" s="27" customFormat="1" ht="12.75" customHeight="1" x14ac:dyDescent="0.2">
      <c r="A504" s="10">
        <v>971358</v>
      </c>
      <c r="B504" s="2">
        <v>21</v>
      </c>
      <c r="C504" s="10">
        <v>20</v>
      </c>
      <c r="D504" s="10">
        <v>25</v>
      </c>
      <c r="E504" s="10"/>
      <c r="F504" s="10"/>
      <c r="G504" s="10"/>
      <c r="H504" s="10"/>
      <c r="I504" s="10"/>
      <c r="J504" s="2">
        <v>28</v>
      </c>
      <c r="K504" s="10">
        <v>49</v>
      </c>
      <c r="L504" s="10">
        <v>36</v>
      </c>
      <c r="M504" s="10"/>
      <c r="N504" s="93"/>
      <c r="O504" s="13"/>
      <c r="P504" s="10">
        <v>100</v>
      </c>
      <c r="Q504" s="10"/>
      <c r="R504" s="2"/>
      <c r="S504" s="10"/>
      <c r="T504" s="13"/>
      <c r="U504" s="7">
        <f t="array" ref="U504">IF(AND(A504&lt;&gt;"",OR(ISNUMBER(B504:I504))),SUM(B504:I504),"")</f>
        <v>66</v>
      </c>
      <c r="V504" s="10">
        <f t="array" ref="V504">IF(AND(A504&lt;&gt;"",OR(ISNUMBER(J504:O504))),SUM(J504:O504),"")</f>
        <v>113</v>
      </c>
      <c r="W504" s="10">
        <f t="array" ref="W504">IF(AND(A504&lt;&gt;"",OR(ISNUMBER(P504),ISNUMBER(Q504))),SUM(MAX(P504:Q504),Q504),"")</f>
        <v>100</v>
      </c>
      <c r="X504" s="10" t="str">
        <f t="array" ref="X504">IF(AND(A504&lt;&gt;"",OR(ISNUMBER(S504),ISNUMBER(T504))),SUM(S504,T504),"")</f>
        <v/>
      </c>
      <c r="Y504" s="13">
        <v>1</v>
      </c>
      <c r="Z504" s="13">
        <f>IF(A504&lt;&gt;"",SUM(U504:Y504),"")</f>
        <v>280</v>
      </c>
      <c r="AA504" s="27">
        <f>IF(A504&lt;&gt;"",(Z504+Normalize_To_Add)/(Point_Total_So_Far)*100,"")</f>
        <v>91.803278688524586</v>
      </c>
      <c r="AB504" s="10">
        <f>IF(A504&lt;&gt;"",RANK(AA504,All_Student_XC),"")</f>
        <v>310</v>
      </c>
      <c r="AC504" s="32" t="str">
        <f>IF(A504&lt;&gt;"",CHOOSE(10-MIN(9,TRUNC((AA504+0.5)/10)),"A","B","C","D","F","F","F","F","F","F"),"")</f>
        <v>A</v>
      </c>
      <c r="AD504" s="31" t="str">
        <f>IF(A504&lt;&gt;"",IF(OR(AA504+0.5&gt;=93,AA504+0.5&lt;60),"",IF(MOD(AA504+0.5,10)&gt;=7,"+",IF(MOD(AA504+0.5,10)&lt;3,"-",""))),"")</f>
        <v>-</v>
      </c>
      <c r="AE504" s="32">
        <f>IF(A504&lt;&gt;"",SUM(W504:X504,$W$8:$X$8)/SUM($W$2:$X$2)*100,"")</f>
        <v>100</v>
      </c>
      <c r="AF504" s="32" t="str">
        <f>IF(A504&lt;&gt;"",CHOOSE(10-MIN(9,TRUNC((AE504+0.5)/10)),"A","B","C","D","F","F","F","F","F","F"),"")</f>
        <v>A</v>
      </c>
      <c r="AG504" s="32" t="str">
        <f>IF(A504&lt;&gt;"",IF(OR(AE504+0.5&gt;=93,AE504+0.5&lt;60),"",IF(MOD(AE504+0.5,10)&gt;=7,"+",IF(MOD(AE504+0.5,10)&lt;3,"-",""))),"")</f>
        <v/>
      </c>
      <c r="AH504" s="36">
        <f>IF(A504&lt;&gt;"",MIN(MAX(AA504,AE504),AA504+$AH$8,AE504+$AH$8),"")</f>
        <v>100</v>
      </c>
      <c r="AI504" s="32" t="str">
        <f>IF(A504&lt;&gt;"",CHOOSE(10-MIN(9,TRUNC((AH504+0.5)/10)),"A","B","C","D","F","F","F","F","F","F"),"")</f>
        <v>A</v>
      </c>
      <c r="AJ504" s="32" t="str">
        <f>IF(A504&lt;&gt;"",IF(OR(AH504+0.5&gt;=93,AH504+0.5&lt;60),"",IF(MOD(AH504+0.5,10)&gt;=7,"+",IF(MOD(AH504+0.5,10)&lt;3,"-",""))),"")</f>
        <v/>
      </c>
      <c r="AK504" s="71" t="b">
        <f>IF(A504&lt;&gt;"",OR(AI504&lt;&gt;AC504,AJ504&lt;&gt;AD504),"")</f>
        <v>1</v>
      </c>
      <c r="AL504" s="86">
        <f>IF(AND(A504&lt;&gt;"",U504&lt;&gt;""),SUM(U504,$AL$8)/$AL$2*100,"")</f>
        <v>88</v>
      </c>
      <c r="AM504" s="71">
        <f>IF(AND(A504&lt;&gt;"",V504&lt;&gt;""),SUM(V504,$AM$8)/$AM$2*100,"")</f>
        <v>86.92307692307692</v>
      </c>
      <c r="AN504" s="71">
        <f>IF(AND(A504&lt;&gt;"",ISNUMBER(P504),P504&gt;=0),SUM(P504,$AN$8)/$AN$2*100,"")</f>
        <v>100</v>
      </c>
      <c r="AO504" s="71" t="str">
        <f>IF(AND(A504&lt;&gt;"",ISNUMBER(Q504),Q504&gt;=0),SUM(Q504,$AO$8)/$AO$2*100,"")</f>
        <v/>
      </c>
      <c r="AP504" s="24" t="str">
        <f>IF(AND(A504&lt;&gt;"",R504&lt;&gt;""),SUM(R504,$AP$8)/$AP$2*100,"")</f>
        <v/>
      </c>
      <c r="AQ504" s="24">
        <f>IF(AND(A504&lt;&gt;"",ISNUMBER(W504),W504&gt;=0),SUM(W504,$AQ$8)/$AQ$2*100,"")</f>
        <v>100</v>
      </c>
      <c r="AR504" s="24" t="str">
        <f>IF(AND(A504&lt;&gt;"",T504&gt;0,ISNUMBER(T504)),SUM(T504,$AR$8)/$AR$2*100,"")</f>
        <v/>
      </c>
      <c r="AS504" s="24" t="str">
        <f>IF(AND(A504&lt;&gt;"",X504&lt;&gt;""),SUM(X504,$AS$8)/$AS$2*100,"")</f>
        <v/>
      </c>
      <c r="AT504" s="89">
        <f>IF(AND(A504&lt;&gt;"",OR(ISNUMBER(W504),ISNUMBER(X504))),SUM(W504:X504,$AT$8)/$AT$2*100,"")</f>
        <v>100</v>
      </c>
      <c r="AU504" s="24">
        <f>AA504</f>
        <v>91.803278688524586</v>
      </c>
      <c r="AV504" s="71"/>
      <c r="AW504" s="27">
        <f>IF(A504&lt;&gt;"",AE504-AA504,"")</f>
        <v>8.1967213114754145</v>
      </c>
      <c r="AY504" s="27" t="b">
        <f>S504&gt;R504</f>
        <v>0</v>
      </c>
      <c r="BA504" s="27" t="e">
        <f>AND(AA504&gt;$BA$3,(W504+$W$8)/$W$2&lt;$BB$3,(X504+$X$8)/$X$2&lt;$BB$3)</f>
        <v>#VALUE!</v>
      </c>
      <c r="BB504" s="27" t="e">
        <f>AND(AA504&lt;$BA$3,AND(W504/$W$2&gt;$BB$3,X504/$X$2&gt;$BB$3))</f>
        <v>#VALUE!</v>
      </c>
      <c r="BC504" s="27" t="e">
        <f>AND(AA504&lt;$BA$3,OR(W504/$W$2&gt;$BB$3,X504/$X$2&gt;$BB$3))</f>
        <v>#VALUE!</v>
      </c>
      <c r="BE504" s="32">
        <v>32</v>
      </c>
    </row>
    <row r="505" spans="1:57" s="27" customFormat="1" ht="12.75" customHeight="1" x14ac:dyDescent="0.2">
      <c r="A505" s="10">
        <v>972249</v>
      </c>
      <c r="B505" s="2">
        <v>16</v>
      </c>
      <c r="C505" s="10">
        <v>19</v>
      </c>
      <c r="D505" s="10">
        <v>17</v>
      </c>
      <c r="E505" s="10"/>
      <c r="F505" s="10"/>
      <c r="G505" s="10"/>
      <c r="H505" s="10"/>
      <c r="I505" s="10"/>
      <c r="J505" s="2">
        <v>30</v>
      </c>
      <c r="K505" s="10">
        <v>31</v>
      </c>
      <c r="L505" s="10">
        <v>43</v>
      </c>
      <c r="M505" s="10"/>
      <c r="N505" s="93"/>
      <c r="O505" s="13"/>
      <c r="P505" s="10">
        <v>20</v>
      </c>
      <c r="Q505" s="10"/>
      <c r="R505" s="2"/>
      <c r="S505" s="10"/>
      <c r="T505" s="13"/>
      <c r="U505" s="7">
        <f t="array" ref="U505">IF(AND(A505&lt;&gt;"",OR(ISNUMBER(B505:I505))),SUM(B505:I505),"")</f>
        <v>52</v>
      </c>
      <c r="V505" s="10">
        <f t="array" ref="V505">IF(AND(A505&lt;&gt;"",OR(ISNUMBER(J505:O505))),SUM(J505:O505),"")</f>
        <v>104</v>
      </c>
      <c r="W505" s="10">
        <f t="array" ref="W505">IF(AND(A505&lt;&gt;"",OR(ISNUMBER(P505),ISNUMBER(Q505))),SUM(MAX(P505:Q505),Q505),"")</f>
        <v>20</v>
      </c>
      <c r="X505" s="10" t="str">
        <f t="array" ref="X505">IF(AND(A505&lt;&gt;"",OR(ISNUMBER(S505),ISNUMBER(T505))),SUM(S505,T505),"")</f>
        <v/>
      </c>
      <c r="Y505" s="13">
        <v>1</v>
      </c>
      <c r="Z505" s="13">
        <f>IF(A505&lt;&gt;"",SUM(U505:Y505),"")</f>
        <v>177</v>
      </c>
      <c r="AA505" s="27">
        <f>IF(A505&lt;&gt;"",(Z505+Normalize_To_Add)/(Point_Total_So_Far)*100,"")</f>
        <v>58.032786885245905</v>
      </c>
      <c r="AB505" s="10">
        <f>IF(A505&lt;&gt;"",RANK(AA505,All_Student_XC),"")</f>
        <v>481</v>
      </c>
      <c r="AC505" s="32" t="str">
        <f>IF(A505&lt;&gt;"",CHOOSE(10-MIN(9,TRUNC((AA505+0.5)/10)),"A","B","C","D","F","F","F","F","F","F"),"")</f>
        <v>F</v>
      </c>
      <c r="AD505" s="31" t="str">
        <f>IF(A505&lt;&gt;"",IF(OR(AA505+0.5&gt;=93,AA505+0.5&lt;60),"",IF(MOD(AA505+0.5,10)&gt;=7,"+",IF(MOD(AA505+0.5,10)&lt;3,"-",""))),"")</f>
        <v/>
      </c>
      <c r="AE505" s="32">
        <f>IF(A505&lt;&gt;"",SUM(W505:X505,$W$8:$X$8)/SUM($W$2:$X$2)*100,"")</f>
        <v>20</v>
      </c>
      <c r="AF505" s="32" t="str">
        <f>IF(A505&lt;&gt;"",CHOOSE(10-MIN(9,TRUNC((AE505+0.5)/10)),"A","B","C","D","F","F","F","F","F","F"),"")</f>
        <v>F</v>
      </c>
      <c r="AG505" s="32" t="str">
        <f>IF(A505&lt;&gt;"",IF(OR(AE505+0.5&gt;=93,AE505+0.5&lt;60),"",IF(MOD(AE505+0.5,10)&gt;=7,"+",IF(MOD(AE505+0.5,10)&lt;3,"-",""))),"")</f>
        <v/>
      </c>
      <c r="AH505" s="36">
        <f>IF(A505&lt;&gt;"",MIN(MAX(AA505,AE505),AA505+$AH$8,AE505+$AH$8),"")</f>
        <v>58.032786885245905</v>
      </c>
      <c r="AI505" s="32" t="str">
        <f>IF(A505&lt;&gt;"",CHOOSE(10-MIN(9,TRUNC((AH505+0.5)/10)),"A","B","C","D","F","F","F","F","F","F"),"")</f>
        <v>F</v>
      </c>
      <c r="AJ505" s="32" t="str">
        <f>IF(A505&lt;&gt;"",IF(OR(AH505+0.5&gt;=93,AH505+0.5&lt;60),"",IF(MOD(AH505+0.5,10)&gt;=7,"+",IF(MOD(AH505+0.5,10)&lt;3,"-",""))),"")</f>
        <v/>
      </c>
      <c r="AK505" s="71" t="b">
        <f>IF(A505&lt;&gt;"",OR(AI505&lt;&gt;AC505,AJ505&lt;&gt;AD505),"")</f>
        <v>0</v>
      </c>
      <c r="AL505" s="86">
        <f>IF(AND(A505&lt;&gt;"",U505&lt;&gt;""),SUM(U505,$AL$8)/$AL$2*100,"")</f>
        <v>69.333333333333343</v>
      </c>
      <c r="AM505" s="71">
        <f>IF(AND(A505&lt;&gt;"",V505&lt;&gt;""),SUM(V505,$AM$8)/$AM$2*100,"")</f>
        <v>80</v>
      </c>
      <c r="AN505" s="71">
        <f>IF(AND(A505&lt;&gt;"",ISNUMBER(P505),P505&gt;=0),SUM(P505,$AN$8)/$AN$2*100,"")</f>
        <v>20</v>
      </c>
      <c r="AO505" s="71" t="str">
        <f>IF(AND(A505&lt;&gt;"",ISNUMBER(Q505),Q505&gt;=0),SUM(Q505,$AO$8)/$AO$2*100,"")</f>
        <v/>
      </c>
      <c r="AP505" s="24" t="str">
        <f>IF(AND(A505&lt;&gt;"",R505&lt;&gt;""),SUM(R505,$AP$8)/$AP$2*100,"")</f>
        <v/>
      </c>
      <c r="AQ505" s="24">
        <f>IF(AND(A505&lt;&gt;"",ISNUMBER(W505),W505&gt;=0),SUM(W505,$AQ$8)/$AQ$2*100,"")</f>
        <v>20</v>
      </c>
      <c r="AR505" s="24" t="str">
        <f>IF(AND(A505&lt;&gt;"",T505&gt;0,ISNUMBER(T505)),SUM(T505,$AR$8)/$AR$2*100,"")</f>
        <v/>
      </c>
      <c r="AS505" s="24" t="str">
        <f>IF(AND(A505&lt;&gt;"",X505&lt;&gt;""),SUM(X505,$AS$8)/$AS$2*100,"")</f>
        <v/>
      </c>
      <c r="AT505" s="89">
        <f>IF(AND(A505&lt;&gt;"",OR(ISNUMBER(W505),ISNUMBER(X505))),SUM(W505:X505,$AT$8)/$AT$2*100,"")</f>
        <v>20</v>
      </c>
      <c r="AU505" s="24">
        <f>AA505</f>
        <v>58.032786885245905</v>
      </c>
      <c r="AV505" s="71"/>
      <c r="AW505" s="27">
        <f>IF(A505&lt;&gt;"",AE505-AA505,"")</f>
        <v>-38.032786885245905</v>
      </c>
      <c r="AY505" s="27" t="b">
        <f>S505&gt;R505</f>
        <v>0</v>
      </c>
      <c r="BA505" s="27" t="e">
        <f>AND(AA505&gt;$BA$3,(W505+$W$8)/$W$2&lt;$BB$3,(X505+$X$8)/$X$2&lt;$BB$3)</f>
        <v>#VALUE!</v>
      </c>
      <c r="BB505" s="27" t="e">
        <f>AND(AA505&lt;$BA$3,AND(W505/$W$2&gt;$BB$3,X505/$X$2&gt;$BB$3))</f>
        <v>#VALUE!</v>
      </c>
      <c r="BC505" s="27" t="e">
        <f>AND(AA505&lt;$BA$3,OR(W505/$W$2&gt;$BB$3,X505/$X$2&gt;$BB$3))</f>
        <v>#VALUE!</v>
      </c>
      <c r="BE505" s="32" t="s">
        <v>85</v>
      </c>
    </row>
    <row r="506" spans="1:57" s="27" customFormat="1" ht="12.75" customHeight="1" x14ac:dyDescent="0.2">
      <c r="A506" s="10">
        <v>974513</v>
      </c>
      <c r="B506" s="2">
        <v>24</v>
      </c>
      <c r="C506" s="10">
        <v>25</v>
      </c>
      <c r="D506" s="10">
        <v>25</v>
      </c>
      <c r="E506" s="10"/>
      <c r="F506" s="10"/>
      <c r="G506" s="10"/>
      <c r="H506" s="10"/>
      <c r="I506" s="10"/>
      <c r="J506" s="2">
        <v>29</v>
      </c>
      <c r="K506" s="10">
        <v>51</v>
      </c>
      <c r="L506" s="10">
        <v>51</v>
      </c>
      <c r="M506" s="10"/>
      <c r="N506" s="93"/>
      <c r="O506" s="13"/>
      <c r="P506" s="10">
        <v>101</v>
      </c>
      <c r="Q506" s="10"/>
      <c r="R506" s="2"/>
      <c r="S506" s="10"/>
      <c r="T506" s="13"/>
      <c r="U506" s="7">
        <f t="array" ref="U506">IF(AND(A506&lt;&gt;"",OR(ISNUMBER(B506:I506))),SUM(B506:I506),"")</f>
        <v>74</v>
      </c>
      <c r="V506" s="10">
        <f t="array" ref="V506">IF(AND(A506&lt;&gt;"",OR(ISNUMBER(J506:O506))),SUM(J506:O506),"")</f>
        <v>131</v>
      </c>
      <c r="W506" s="10">
        <f t="array" ref="W506">IF(AND(A506&lt;&gt;"",OR(ISNUMBER(P506),ISNUMBER(Q506))),SUM(MAX(P506:Q506),Q506),"")</f>
        <v>101</v>
      </c>
      <c r="X506" s="10" t="str">
        <f t="array" ref="X506">IF(AND(A506&lt;&gt;"",OR(ISNUMBER(S506),ISNUMBER(T506))),SUM(S506,T506),"")</f>
        <v/>
      </c>
      <c r="Y506" s="13">
        <v>1</v>
      </c>
      <c r="Z506" s="13">
        <f>IF(A506&lt;&gt;"",SUM(U506:Y506),"")</f>
        <v>307</v>
      </c>
      <c r="AA506" s="27">
        <f>IF(A506&lt;&gt;"",(Z506+Normalize_To_Add)/(Point_Total_So_Far)*100,"")</f>
        <v>100.65573770491802</v>
      </c>
      <c r="AB506" s="10">
        <f>IF(A506&lt;&gt;"",RANK(AA506,All_Student_XC),"")</f>
        <v>72</v>
      </c>
      <c r="AC506" s="32" t="str">
        <f>IF(A506&lt;&gt;"",CHOOSE(10-MIN(9,TRUNC((AA506+0.5)/10)),"A","B","C","D","F","F","F","F","F","F"),"")</f>
        <v>A</v>
      </c>
      <c r="AD506" s="31" t="str">
        <f>IF(A506&lt;&gt;"",IF(OR(AA506+0.5&gt;=93,AA506+0.5&lt;60),"",IF(MOD(AA506+0.5,10)&gt;=7,"+",IF(MOD(AA506+0.5,10)&lt;3,"-",""))),"")</f>
        <v/>
      </c>
      <c r="AE506" s="32">
        <f>IF(A506&lt;&gt;"",SUM(W506:X506,$W$8:$X$8)/SUM($W$2:$X$2)*100,"")</f>
        <v>101</v>
      </c>
      <c r="AF506" s="32" t="str">
        <f>IF(A506&lt;&gt;"",CHOOSE(10-MIN(9,TRUNC((AE506+0.5)/10)),"A","B","C","D","F","F","F","F","F","F"),"")</f>
        <v>A</v>
      </c>
      <c r="AG506" s="32" t="str">
        <f>IF(A506&lt;&gt;"",IF(OR(AE506+0.5&gt;=93,AE506+0.5&lt;60),"",IF(MOD(AE506+0.5,10)&gt;=7,"+",IF(MOD(AE506+0.5,10)&lt;3,"-",""))),"")</f>
        <v/>
      </c>
      <c r="AH506" s="36">
        <f>IF(A506&lt;&gt;"",MIN(MAX(AA506,AE506),AA506+$AH$8,AE506+$AH$8),"")</f>
        <v>101</v>
      </c>
      <c r="AI506" s="32" t="str">
        <f>IF(A506&lt;&gt;"",CHOOSE(10-MIN(9,TRUNC((AH506+0.5)/10)),"A","B","C","D","F","F","F","F","F","F"),"")</f>
        <v>A</v>
      </c>
      <c r="AJ506" s="32" t="str">
        <f>IF(A506&lt;&gt;"",IF(OR(AH506+0.5&gt;=93,AH506+0.5&lt;60),"",IF(MOD(AH506+0.5,10)&gt;=7,"+",IF(MOD(AH506+0.5,10)&lt;3,"-",""))),"")</f>
        <v/>
      </c>
      <c r="AK506" s="71" t="b">
        <f>IF(A506&lt;&gt;"",OR(AI506&lt;&gt;AC506,AJ506&lt;&gt;AD506),"")</f>
        <v>0</v>
      </c>
      <c r="AL506" s="86">
        <f>IF(AND(A506&lt;&gt;"",U506&lt;&gt;""),SUM(U506,$AL$8)/$AL$2*100,"")</f>
        <v>98.666666666666671</v>
      </c>
      <c r="AM506" s="71">
        <f>IF(AND(A506&lt;&gt;"",V506&lt;&gt;""),SUM(V506,$AM$8)/$AM$2*100,"")</f>
        <v>100.76923076923077</v>
      </c>
      <c r="AN506" s="71">
        <f>IF(AND(A506&lt;&gt;"",ISNUMBER(P506),P506&gt;=0),SUM(P506,$AN$8)/$AN$2*100,"")</f>
        <v>101</v>
      </c>
      <c r="AO506" s="71" t="str">
        <f>IF(AND(A506&lt;&gt;"",ISNUMBER(Q506),Q506&gt;=0),SUM(Q506,$AO$8)/$AO$2*100,"")</f>
        <v/>
      </c>
      <c r="AP506" s="24" t="str">
        <f>IF(AND(A506&lt;&gt;"",R506&lt;&gt;""),SUM(R506,$AP$8)/$AP$2*100,"")</f>
        <v/>
      </c>
      <c r="AQ506" s="24">
        <f>IF(AND(A506&lt;&gt;"",ISNUMBER(W506),W506&gt;=0),SUM(W506,$AQ$8)/$AQ$2*100,"")</f>
        <v>101</v>
      </c>
      <c r="AR506" s="24" t="str">
        <f>IF(AND(A506&lt;&gt;"",T506&gt;0,ISNUMBER(T506)),SUM(T506,$AR$8)/$AR$2*100,"")</f>
        <v/>
      </c>
      <c r="AS506" s="24" t="str">
        <f>IF(AND(A506&lt;&gt;"",X506&lt;&gt;""),SUM(X506,$AS$8)/$AS$2*100,"")</f>
        <v/>
      </c>
      <c r="AT506" s="89">
        <f>IF(AND(A506&lt;&gt;"",OR(ISNUMBER(W506),ISNUMBER(X506))),SUM(W506:X506,$AT$8)/$AT$2*100,"")</f>
        <v>101</v>
      </c>
      <c r="AU506" s="24">
        <f>AA506</f>
        <v>100.65573770491802</v>
      </c>
      <c r="AV506" s="71"/>
      <c r="AW506" s="27">
        <f>IF(A506&lt;&gt;"",AE506-AA506,"")</f>
        <v>0.34426229508197537</v>
      </c>
      <c r="AY506" s="27" t="b">
        <f>S506&gt;R506</f>
        <v>0</v>
      </c>
      <c r="BA506" s="27" t="e">
        <f>AND(AA506&gt;$BA$3,(W506+$W$8)/$W$2&lt;$BB$3,(X506+$X$8)/$X$2&lt;$BB$3)</f>
        <v>#VALUE!</v>
      </c>
      <c r="BB506" s="27" t="e">
        <f>AND(AA506&lt;$BA$3,AND(W506/$W$2&gt;$BB$3,X506/$X$2&gt;$BB$3))</f>
        <v>#VALUE!</v>
      </c>
      <c r="BC506" s="27" t="e">
        <f>AND(AA506&lt;$BA$3,OR(W506/$W$2&gt;$BB$3,X506/$X$2&gt;$BB$3))</f>
        <v>#VALUE!</v>
      </c>
      <c r="BE506" s="32" t="s">
        <v>84</v>
      </c>
    </row>
    <row r="507" spans="1:57" s="27" customFormat="1" ht="12.75" customHeight="1" x14ac:dyDescent="0.2">
      <c r="A507" s="10">
        <v>974674</v>
      </c>
      <c r="B507" s="55">
        <v>25</v>
      </c>
      <c r="C507" s="10">
        <v>20</v>
      </c>
      <c r="D507" s="10">
        <v>25</v>
      </c>
      <c r="E507" s="10"/>
      <c r="F507" s="10"/>
      <c r="G507" s="3"/>
      <c r="H507" s="10"/>
      <c r="I507" s="10"/>
      <c r="J507" s="2">
        <v>31</v>
      </c>
      <c r="K507" s="10">
        <v>24</v>
      </c>
      <c r="L507" s="10">
        <v>39</v>
      </c>
      <c r="M507" s="10"/>
      <c r="N507" s="10"/>
      <c r="O507" s="12"/>
      <c r="P507" s="41">
        <v>60</v>
      </c>
      <c r="Q507" s="41"/>
      <c r="R507" s="2"/>
      <c r="S507" s="10"/>
      <c r="T507" s="13"/>
      <c r="U507" s="7">
        <f t="array" ref="U507">IF(AND(A507&lt;&gt;"",OR(ISNUMBER(B507:I507))),SUM(B507:I507),"")</f>
        <v>70</v>
      </c>
      <c r="V507" s="10">
        <f t="array" ref="V507">IF(AND(A507&lt;&gt;"",OR(ISNUMBER(J507:O507))),SUM(J507:O507),"")</f>
        <v>94</v>
      </c>
      <c r="W507" s="10">
        <f t="array" ref="W507">IF(AND(A507&lt;&gt;"",OR(ISNUMBER(P507),ISNUMBER(Q507))),SUM(MAX(P507:Q507),Q507),"")</f>
        <v>60</v>
      </c>
      <c r="X507" s="10" t="str">
        <f t="array" ref="X507">IF(AND(A507&lt;&gt;"",OR(ISNUMBER(S507),ISNUMBER(T507))),SUM(S507,T507),"")</f>
        <v/>
      </c>
      <c r="Y507" s="13">
        <v>1</v>
      </c>
      <c r="Z507" s="13">
        <f>IF(A507&lt;&gt;"",SUM(U507:Y507),"")</f>
        <v>225</v>
      </c>
      <c r="AA507" s="27">
        <f>IF(A507&lt;&gt;"",(Z507+Normalize_To_Add)/(Point_Total_So_Far)*100,"")</f>
        <v>73.770491803278688</v>
      </c>
      <c r="AB507" s="10">
        <f>IF(A507&lt;&gt;"",RANK(AA507,All_Student_XC),"")</f>
        <v>441</v>
      </c>
      <c r="AC507" s="32" t="str">
        <f>IF(A507&lt;&gt;"",CHOOSE(10-MIN(9,TRUNC((AA507+0.5)/10)),"A","B","C","D","F","F","F","F","F","F"),"")</f>
        <v>C</v>
      </c>
      <c r="AD507" s="32" t="str">
        <f>IF(A507&lt;&gt;"",IF(OR(AA507+0.5&gt;=93,AA507+0.5&lt;60),"",IF(MOD(AA507+0.5,10)&gt;=7,"+",IF(MOD(AA507+0.5,10)&lt;3,"-",""))),"")</f>
        <v/>
      </c>
      <c r="AE507" s="32">
        <f>IF(A507&lt;&gt;"",SUM(W507:X507,$W$8:$X$8)/SUM($W$2:$X$2)*100,"")</f>
        <v>60</v>
      </c>
      <c r="AF507" s="32" t="str">
        <f>IF(A507&lt;&gt;"",CHOOSE(10-MIN(9,TRUNC((AE507+0.5)/10)),"A","B","C","D","F","F","F","F","F","F"),"")</f>
        <v>D</v>
      </c>
      <c r="AG507" s="32" t="str">
        <f>IF(A507&lt;&gt;"",IF(OR(AE507+0.5&gt;=93,AE507+0.5&lt;60),"",IF(MOD(AE507+0.5,10)&gt;=7,"+",IF(MOD(AE507+0.5,10)&lt;3,"-",""))),"")</f>
        <v>-</v>
      </c>
      <c r="AH507" s="36">
        <f>IF(A507&lt;&gt;"",MIN(MAX(AA507,AE507),AA507+$AH$8,AE507+$AH$8),"")</f>
        <v>73.770491803278688</v>
      </c>
      <c r="AI507" s="32" t="str">
        <f>IF(A507&lt;&gt;"",CHOOSE(10-MIN(9,TRUNC((AH507+0.5)/10)),"A","B","C","D","F","F","F","F","F","F"),"")</f>
        <v>C</v>
      </c>
      <c r="AJ507" s="32" t="str">
        <f>IF(A507&lt;&gt;"",IF(OR(AH507+0.5&gt;=93,AH507+0.5&lt;60),"",IF(MOD(AH507+0.5,10)&gt;=7,"+",IF(MOD(AH507+0.5,10)&lt;3,"-",""))),"")</f>
        <v/>
      </c>
      <c r="AK507" s="32" t="b">
        <f>IF(A507&lt;&gt;"",OR(AI507&lt;&gt;AC507,AJ507&lt;&gt;AD507),"")</f>
        <v>0</v>
      </c>
      <c r="AL507" s="84">
        <f>IF(AND(A507&lt;&gt;"",U507&lt;&gt;""),SUM(U507,$AL$8)/$AL$2*100,"")</f>
        <v>93.333333333333329</v>
      </c>
      <c r="AM507" s="24">
        <f>IF(AND(A507&lt;&gt;"",V507&lt;&gt;""),SUM(V507,$AM$8)/$AM$2*100,"")</f>
        <v>72.307692307692307</v>
      </c>
      <c r="AN507" s="24">
        <f>IF(AND(A507&lt;&gt;"",ISNUMBER(P507),P507&gt;=0),SUM(P507,$AN$8)/$AN$2*100,"")</f>
        <v>60</v>
      </c>
      <c r="AO507" s="24" t="str">
        <f>IF(AND(A507&lt;&gt;"",ISNUMBER(Q507),Q507&gt;=0),SUM(Q507,$AO$8)/$AO$2*100,"")</f>
        <v/>
      </c>
      <c r="AP507" s="24" t="str">
        <f>IF(AND(A507&lt;&gt;"",R507&lt;&gt;""),SUM(R507,$AP$8)/$AP$2*100,"")</f>
        <v/>
      </c>
      <c r="AQ507" s="24">
        <f>IF(AND(A507&lt;&gt;"",ISNUMBER(W507),W507&gt;=0),SUM(W507,$AQ$8)/$AQ$2*100,"")</f>
        <v>60</v>
      </c>
      <c r="AR507" s="24" t="str">
        <f>IF(AND(A507&lt;&gt;"",T507&gt;0,ISNUMBER(T507)),SUM(T507,$AR$8)/$AR$2*100,"")</f>
        <v/>
      </c>
      <c r="AS507" s="24" t="str">
        <f>IF(AND(A507&lt;&gt;"",X507&lt;&gt;""),SUM(X507,$AS$8)/$AS$2*100,"")</f>
        <v/>
      </c>
      <c r="AT507" s="89">
        <f>IF(AND(A507&lt;&gt;"",OR(ISNUMBER(W507),ISNUMBER(X507))),SUM(W507:X507,$AT$8)/$AT$2*100,"")</f>
        <v>60</v>
      </c>
      <c r="AU507" s="24">
        <f>AA507</f>
        <v>73.770491803278688</v>
      </c>
      <c r="AV507" s="24"/>
      <c r="AW507" s="27">
        <f>IF(A507&lt;&gt;"",AE507-AA507,"")</f>
        <v>-13.770491803278688</v>
      </c>
      <c r="AY507" s="27" t="b">
        <f>S507&gt;R507</f>
        <v>0</v>
      </c>
      <c r="BA507" s="27" t="e">
        <f>AND(AA507&gt;$BA$3,(W507+$W$8)/$W$2&lt;$BB$3,(X507+$X$8)/$X$2&lt;$BB$3)</f>
        <v>#VALUE!</v>
      </c>
      <c r="BB507" s="27" t="e">
        <f>AND(AA507&lt;$BA$3,AND(W507/$W$2&gt;$BB$3,X507/$X$2&gt;$BB$3))</f>
        <v>#VALUE!</v>
      </c>
      <c r="BC507" s="27" t="e">
        <f>AND(AA507&lt;$BA$3,OR(W507/$W$2&gt;$BB$3,X507/$X$2&gt;$BB$3))</f>
        <v>#VALUE!</v>
      </c>
      <c r="BE507" s="32" t="s">
        <v>85</v>
      </c>
    </row>
    <row r="508" spans="1:57" s="27" customFormat="1" ht="12.75" customHeight="1" x14ac:dyDescent="0.2">
      <c r="A508" s="10">
        <v>975386</v>
      </c>
      <c r="B508" s="2">
        <v>21</v>
      </c>
      <c r="C508" s="10">
        <v>23</v>
      </c>
      <c r="D508" s="10">
        <v>25</v>
      </c>
      <c r="E508" s="10"/>
      <c r="F508" s="10"/>
      <c r="G508" s="10"/>
      <c r="H508" s="10"/>
      <c r="I508" s="10"/>
      <c r="J508" s="2">
        <v>30</v>
      </c>
      <c r="K508" s="10">
        <v>52</v>
      </c>
      <c r="L508" s="10">
        <v>52</v>
      </c>
      <c r="M508" s="10"/>
      <c r="N508" s="93"/>
      <c r="O508" s="13"/>
      <c r="P508" s="10">
        <v>101</v>
      </c>
      <c r="Q508" s="10"/>
      <c r="R508" s="2"/>
      <c r="S508" s="10"/>
      <c r="T508" s="13"/>
      <c r="U508" s="7">
        <f t="array" ref="U508">IF(AND(A508&lt;&gt;"",OR(ISNUMBER(B508:I508))),SUM(B508:I508),"")</f>
        <v>69</v>
      </c>
      <c r="V508" s="10">
        <f t="array" ref="V508">IF(AND(A508&lt;&gt;"",OR(ISNUMBER(J508:O508))),SUM(J508:O508),"")</f>
        <v>134</v>
      </c>
      <c r="W508" s="10">
        <f t="array" ref="W508">IF(AND(A508&lt;&gt;"",OR(ISNUMBER(P508),ISNUMBER(Q508))),SUM(MAX(P508:Q508),Q508),"")</f>
        <v>101</v>
      </c>
      <c r="X508" s="10" t="str">
        <f t="array" ref="X508">IF(AND(A508&lt;&gt;"",OR(ISNUMBER(S508),ISNUMBER(T508))),SUM(S508,T508),"")</f>
        <v/>
      </c>
      <c r="Y508" s="13">
        <v>1</v>
      </c>
      <c r="Z508" s="13">
        <f>IF(A508&lt;&gt;"",SUM(U508:Y508),"")</f>
        <v>305</v>
      </c>
      <c r="AA508" s="27">
        <f>IF(A508&lt;&gt;"",(Z508+Normalize_To_Add)/(Point_Total_So_Far)*100,"")</f>
        <v>100</v>
      </c>
      <c r="AB508" s="10">
        <f>IF(A508&lt;&gt;"",RANK(AA508,All_Student_XC),"")</f>
        <v>109</v>
      </c>
      <c r="AC508" s="32" t="str">
        <f>IF(A508&lt;&gt;"",CHOOSE(10-MIN(9,TRUNC((AA508+0.5)/10)),"A","B","C","D","F","F","F","F","F","F"),"")</f>
        <v>A</v>
      </c>
      <c r="AD508" s="31" t="str">
        <f>IF(A508&lt;&gt;"",IF(OR(AA508+0.5&gt;=93,AA508+0.5&lt;60),"",IF(MOD(AA508+0.5,10)&gt;=7,"+",IF(MOD(AA508+0.5,10)&lt;3,"-",""))),"")</f>
        <v/>
      </c>
      <c r="AE508" s="32">
        <f>IF(A508&lt;&gt;"",SUM(W508:X508,$W$8:$X$8)/SUM($W$2:$X$2)*100,"")</f>
        <v>101</v>
      </c>
      <c r="AF508" s="32" t="str">
        <f>IF(A508&lt;&gt;"",CHOOSE(10-MIN(9,TRUNC((AE508+0.5)/10)),"A","B","C","D","F","F","F","F","F","F"),"")</f>
        <v>A</v>
      </c>
      <c r="AG508" s="32" t="str">
        <f>IF(A508&lt;&gt;"",IF(OR(AE508+0.5&gt;=93,AE508+0.5&lt;60),"",IF(MOD(AE508+0.5,10)&gt;=7,"+",IF(MOD(AE508+0.5,10)&lt;3,"-",""))),"")</f>
        <v/>
      </c>
      <c r="AH508" s="36">
        <f>IF(A508&lt;&gt;"",MIN(MAX(AA508,AE508),AA508+$AH$8,AE508+$AH$8),"")</f>
        <v>101</v>
      </c>
      <c r="AI508" s="32" t="str">
        <f>IF(A508&lt;&gt;"",CHOOSE(10-MIN(9,TRUNC((AH508+0.5)/10)),"A","B","C","D","F","F","F","F","F","F"),"")</f>
        <v>A</v>
      </c>
      <c r="AJ508" s="32" t="str">
        <f>IF(A508&lt;&gt;"",IF(OR(AH508+0.5&gt;=93,AH508+0.5&lt;60),"",IF(MOD(AH508+0.5,10)&gt;=7,"+",IF(MOD(AH508+0.5,10)&lt;3,"-",""))),"")</f>
        <v/>
      </c>
      <c r="AK508" s="71" t="b">
        <f>IF(A508&lt;&gt;"",OR(AI508&lt;&gt;AC508,AJ508&lt;&gt;AD508),"")</f>
        <v>0</v>
      </c>
      <c r="AL508" s="86">
        <f>IF(AND(A508&lt;&gt;"",U508&lt;&gt;""),SUM(U508,$AL$8)/$AL$2*100,"")</f>
        <v>92</v>
      </c>
      <c r="AM508" s="71">
        <f>IF(AND(A508&lt;&gt;"",V508&lt;&gt;""),SUM(V508,$AM$8)/$AM$2*100,"")</f>
        <v>103.07692307692307</v>
      </c>
      <c r="AN508" s="71">
        <f>IF(AND(A508&lt;&gt;"",ISNUMBER(P508),P508&gt;=0),SUM(P508,$AN$8)/$AN$2*100,"")</f>
        <v>101</v>
      </c>
      <c r="AO508" s="71" t="str">
        <f>IF(AND(A508&lt;&gt;"",ISNUMBER(Q508),Q508&gt;=0),SUM(Q508,$AO$8)/$AO$2*100,"")</f>
        <v/>
      </c>
      <c r="AP508" s="24" t="str">
        <f>IF(AND(A508&lt;&gt;"",R508&lt;&gt;""),SUM(R508,$AP$8)/$AP$2*100,"")</f>
        <v/>
      </c>
      <c r="AQ508" s="24">
        <f>IF(AND(A508&lt;&gt;"",ISNUMBER(W508),W508&gt;=0),SUM(W508,$AQ$8)/$AQ$2*100,"")</f>
        <v>101</v>
      </c>
      <c r="AR508" s="24" t="str">
        <f>IF(AND(A508&lt;&gt;"",T508&gt;0,ISNUMBER(T508)),SUM(T508,$AR$8)/$AR$2*100,"")</f>
        <v/>
      </c>
      <c r="AS508" s="24" t="str">
        <f>IF(AND(A508&lt;&gt;"",X508&lt;&gt;""),SUM(X508,$AS$8)/$AS$2*100,"")</f>
        <v/>
      </c>
      <c r="AT508" s="89">
        <f>IF(AND(A508&lt;&gt;"",OR(ISNUMBER(W508),ISNUMBER(X508))),SUM(W508:X508,$AT$8)/$AT$2*100,"")</f>
        <v>101</v>
      </c>
      <c r="AU508" s="24">
        <f>AA508</f>
        <v>100</v>
      </c>
      <c r="AV508" s="71"/>
      <c r="AW508" s="27">
        <f>IF(A508&lt;&gt;"",AE508-AA508,"")</f>
        <v>1</v>
      </c>
      <c r="AY508" s="27" t="b">
        <f>S508&gt;R508</f>
        <v>0</v>
      </c>
      <c r="BA508" s="27" t="e">
        <f>AND(AA508&gt;$BA$3,(W508+$W$8)/$W$2&lt;$BB$3,(X508+$X$8)/$X$2&lt;$BB$3)</f>
        <v>#VALUE!</v>
      </c>
      <c r="BB508" s="27" t="e">
        <f>AND(AA508&lt;$BA$3,AND(W508/$W$2&gt;$BB$3,X508/$X$2&gt;$BB$3))</f>
        <v>#VALUE!</v>
      </c>
      <c r="BC508" s="27" t="e">
        <f>AND(AA508&lt;$BA$3,OR(W508/$W$2&gt;$BB$3,X508/$X$2&gt;$BB$3))</f>
        <v>#VALUE!</v>
      </c>
      <c r="BE508" s="32" t="s">
        <v>84</v>
      </c>
    </row>
    <row r="509" spans="1:57" s="27" customFormat="1" ht="12.75" customHeight="1" x14ac:dyDescent="0.2">
      <c r="A509" s="10">
        <v>975602</v>
      </c>
      <c r="B509" s="2">
        <v>21</v>
      </c>
      <c r="C509" s="10">
        <v>25</v>
      </c>
      <c r="D509" s="10">
        <v>25</v>
      </c>
      <c r="E509" s="10"/>
      <c r="F509" s="10"/>
      <c r="G509" s="10"/>
      <c r="H509" s="10"/>
      <c r="I509" s="10"/>
      <c r="J509" s="2">
        <v>31</v>
      </c>
      <c r="K509" s="10">
        <v>52</v>
      </c>
      <c r="L509" s="10">
        <v>51</v>
      </c>
      <c r="M509" s="10"/>
      <c r="N509" s="93"/>
      <c r="O509" s="13"/>
      <c r="P509" s="10">
        <v>101</v>
      </c>
      <c r="Q509" s="10"/>
      <c r="R509" s="2"/>
      <c r="S509" s="10"/>
      <c r="T509" s="13"/>
      <c r="U509" s="7">
        <f t="array" ref="U509">IF(AND(A509&lt;&gt;"",OR(ISNUMBER(B509:I509))),SUM(B509:I509),"")</f>
        <v>71</v>
      </c>
      <c r="V509" s="10">
        <f t="array" ref="V509">IF(AND(A509&lt;&gt;"",OR(ISNUMBER(J509:O509))),SUM(J509:O509),"")</f>
        <v>134</v>
      </c>
      <c r="W509" s="10">
        <f t="array" ref="W509">IF(AND(A509&lt;&gt;"",OR(ISNUMBER(P509),ISNUMBER(Q509))),SUM(MAX(P509:Q509),Q509),"")</f>
        <v>101</v>
      </c>
      <c r="X509" s="10" t="str">
        <f t="array" ref="X509">IF(AND(A509&lt;&gt;"",OR(ISNUMBER(S509),ISNUMBER(T509))),SUM(S509,T509),"")</f>
        <v/>
      </c>
      <c r="Y509" s="13">
        <v>1</v>
      </c>
      <c r="Z509" s="13">
        <f>IF(A509&lt;&gt;"",SUM(U509:Y509),"")</f>
        <v>307</v>
      </c>
      <c r="AA509" s="27">
        <f>IF(A509&lt;&gt;"",(Z509+Normalize_To_Add)/(Point_Total_So_Far)*100,"")</f>
        <v>100.65573770491802</v>
      </c>
      <c r="AB509" s="10">
        <f>IF(A509&lt;&gt;"",RANK(AA509,All_Student_XC),"")</f>
        <v>72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>
        <f>IF(A509&lt;&gt;"",SUM(W509:X509,$W$8:$X$8)/SUM($W$2:$X$2)*100,"")</f>
        <v>101</v>
      </c>
      <c r="AF509" s="32" t="str">
        <f>IF(A509&lt;&gt;"",CHOOSE(10-MIN(9,TRUNC((AE509+0.5)/10)),"A","B","C","D","F","F","F","F","F","F"),"")</f>
        <v>A</v>
      </c>
      <c r="AG509" s="32" t="str">
        <f>IF(A509&lt;&gt;"",IF(OR(AE509+0.5&gt;=93,AE509+0.5&lt;60),"",IF(MOD(AE509+0.5,10)&gt;=7,"+",IF(MOD(AE509+0.5,10)&lt;3,"-",""))),"")</f>
        <v/>
      </c>
      <c r="AH509" s="36">
        <f>IF(A509&lt;&gt;"",MIN(MAX(AA509,AE509),AA509+$AH$8,AE509+$AH$8),"")</f>
        <v>101</v>
      </c>
      <c r="AI509" s="32" t="str">
        <f>IF(A509&lt;&gt;"",CHOOSE(10-MIN(9,TRUNC((AH509+0.5)/10)),"A","B","C","D","F","F","F","F","F","F"),"")</f>
        <v>A</v>
      </c>
      <c r="AJ509" s="32" t="str">
        <f>IF(A509&lt;&gt;"",IF(OR(AH509+0.5&gt;=93,AH509+0.5&lt;60),"",IF(MOD(AH509+0.5,10)&gt;=7,"+",IF(MOD(AH509+0.5,10)&lt;3,"-",""))),"")</f>
        <v/>
      </c>
      <c r="AK509" s="71" t="b">
        <f>IF(A509&lt;&gt;"",OR(AI509&lt;&gt;AC509,AJ509&lt;&gt;AD509),"")</f>
        <v>0</v>
      </c>
      <c r="AL509" s="86">
        <f>IF(AND(A509&lt;&gt;"",U509&lt;&gt;""),SUM(U509,$AL$8)/$AL$2*100,"")</f>
        <v>94.666666666666671</v>
      </c>
      <c r="AM509" s="71">
        <f>IF(AND(A509&lt;&gt;"",V509&lt;&gt;""),SUM(V509,$AM$8)/$AM$2*100,"")</f>
        <v>103.07692307692307</v>
      </c>
      <c r="AN509" s="71">
        <f>IF(AND(A509&lt;&gt;"",ISNUMBER(P509),P509&gt;=0),SUM(P509,$AN$8)/$AN$2*100,"")</f>
        <v>101</v>
      </c>
      <c r="AO509" s="71" t="str">
        <f>IF(AND(A509&lt;&gt;"",ISNUMBER(Q509),Q509&gt;=0),SUM(Q509,$AO$8)/$AO$2*100,"")</f>
        <v/>
      </c>
      <c r="AP509" s="24" t="str">
        <f>IF(AND(A509&lt;&gt;"",R509&lt;&gt;""),SUM(R509,$AP$8)/$AP$2*100,"")</f>
        <v/>
      </c>
      <c r="AQ509" s="24">
        <f>IF(AND(A509&lt;&gt;"",ISNUMBER(W509),W509&gt;=0),SUM(W509,$AQ$8)/$AQ$2*100,"")</f>
        <v>101</v>
      </c>
      <c r="AR509" s="24" t="str">
        <f>IF(AND(A509&lt;&gt;"",T509&gt;0,ISNUMBER(T509)),SUM(T509,$AR$8)/$AR$2*100,"")</f>
        <v/>
      </c>
      <c r="AS509" s="24" t="str">
        <f>IF(AND(A509&lt;&gt;"",X509&lt;&gt;""),SUM(X509,$AS$8)/$AS$2*100,"")</f>
        <v/>
      </c>
      <c r="AT509" s="89">
        <f>IF(AND(A509&lt;&gt;"",OR(ISNUMBER(W509),ISNUMBER(X509))),SUM(W509:X509,$AT$8)/$AT$2*100,"")</f>
        <v>101</v>
      </c>
      <c r="AU509" s="24">
        <f>AA509</f>
        <v>100.65573770491802</v>
      </c>
      <c r="AV509" s="71"/>
      <c r="AW509" s="27">
        <f>IF(A509&lt;&gt;"",AE509-AA509,"")</f>
        <v>0.34426229508197537</v>
      </c>
      <c r="AY509" s="27" t="b">
        <f>S509&gt;R509</f>
        <v>0</v>
      </c>
      <c r="BA509" s="27" t="e">
        <f>AND(AA509&gt;$BA$3,(W509+$W$8)/$W$2&lt;$BB$3,(X509+$X$8)/$X$2&lt;$BB$3)</f>
        <v>#VALUE!</v>
      </c>
      <c r="BB509" s="27" t="e">
        <f>AND(AA509&lt;$BA$3,AND(W509/$W$2&gt;$BB$3,X509/$X$2&gt;$BB$3))</f>
        <v>#VALUE!</v>
      </c>
      <c r="BC509" s="27" t="e">
        <f>AND(AA509&lt;$BA$3,OR(W509/$W$2&gt;$BB$3,X509/$X$2&gt;$BB$3))</f>
        <v>#VALUE!</v>
      </c>
      <c r="BE509" s="32" t="s">
        <v>84</v>
      </c>
    </row>
    <row r="510" spans="1:57" s="27" customFormat="1" ht="12.75" customHeight="1" x14ac:dyDescent="0.2">
      <c r="A510" s="10">
        <v>976657</v>
      </c>
      <c r="B510" s="2">
        <v>25</v>
      </c>
      <c r="C510" s="10">
        <v>25</v>
      </c>
      <c r="D510" s="10">
        <v>25</v>
      </c>
      <c r="E510" s="10"/>
      <c r="F510" s="10"/>
      <c r="G510" s="10"/>
      <c r="H510" s="10"/>
      <c r="I510" s="10"/>
      <c r="J510" s="2">
        <v>32</v>
      </c>
      <c r="K510" s="10">
        <v>52</v>
      </c>
      <c r="L510" s="10">
        <v>52</v>
      </c>
      <c r="M510" s="10"/>
      <c r="N510" s="93"/>
      <c r="O510" s="13"/>
      <c r="P510" s="10">
        <v>101</v>
      </c>
      <c r="Q510" s="10"/>
      <c r="R510" s="2"/>
      <c r="S510" s="10"/>
      <c r="T510" s="13"/>
      <c r="U510" s="7">
        <f t="array" ref="U510">IF(AND(A510&lt;&gt;"",OR(ISNUMBER(B510:I510))),SUM(B510:I510),"")</f>
        <v>75</v>
      </c>
      <c r="V510" s="10">
        <f t="array" ref="V510">IF(AND(A510&lt;&gt;"",OR(ISNUMBER(J510:O510))),SUM(J510:O510),"")</f>
        <v>136</v>
      </c>
      <c r="W510" s="10">
        <f t="array" ref="W510">IF(AND(A510&lt;&gt;"",OR(ISNUMBER(P510),ISNUMBER(Q510))),SUM(MAX(P510:Q510),Q510),"")</f>
        <v>101</v>
      </c>
      <c r="X510" s="10" t="str">
        <f t="array" ref="X510">IF(AND(A510&lt;&gt;"",OR(ISNUMBER(S510),ISNUMBER(T510))),SUM(S510,T510),"")</f>
        <v/>
      </c>
      <c r="Y510" s="13">
        <v>2</v>
      </c>
      <c r="Z510" s="13">
        <f>IF(A510&lt;&gt;"",SUM(U510:Y510),"")</f>
        <v>314</v>
      </c>
      <c r="AA510" s="27">
        <f>IF(A510&lt;&gt;"",(Z510+Normalize_To_Add)/(Point_Total_So_Far)*100,"")</f>
        <v>102.95081967213116</v>
      </c>
      <c r="AB510" s="10">
        <f>IF(A510&lt;&gt;"",RANK(AA510,All_Student_XC),"")</f>
        <v>1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>
        <f>IF(A510&lt;&gt;"",SUM(W510:X510,$W$8:$X$8)/SUM($W$2:$X$2)*100,"")</f>
        <v>101</v>
      </c>
      <c r="AF510" s="32" t="str">
        <f>IF(A510&lt;&gt;"",CHOOSE(10-MIN(9,TRUNC((AE510+0.5)/10)),"A","B","C","D","F","F","F","F","F","F"),"")</f>
        <v>A</v>
      </c>
      <c r="AG510" s="32" t="str">
        <f>IF(A510&lt;&gt;"",IF(OR(AE510+0.5&gt;=93,AE510+0.5&lt;60),"",IF(MOD(AE510+0.5,10)&gt;=7,"+",IF(MOD(AE510+0.5,10)&lt;3,"-",""))),"")</f>
        <v/>
      </c>
      <c r="AH510" s="36">
        <f>IF(A510&lt;&gt;"",MIN(MAX(AA510,AE510),AA510+$AH$8,AE510+$AH$8),"")</f>
        <v>102.95081967213116</v>
      </c>
      <c r="AI510" s="32" t="str">
        <f>IF(A510&lt;&gt;"",CHOOSE(10-MIN(9,TRUNC((AH510+0.5)/10)),"A","B","C","D","F","F","F","F","F","F"),"")</f>
        <v>A</v>
      </c>
      <c r="AJ510" s="32" t="str">
        <f>IF(A510&lt;&gt;"",IF(OR(AH510+0.5&gt;=93,AH510+0.5&lt;60),"",IF(MOD(AH510+0.5,10)&gt;=7,"+",IF(MOD(AH510+0.5,10)&lt;3,"-",""))),"")</f>
        <v/>
      </c>
      <c r="AK510" s="71" t="b">
        <f>IF(A510&lt;&gt;"",OR(AI510&lt;&gt;AC510,AJ510&lt;&gt;AD510),"")</f>
        <v>0</v>
      </c>
      <c r="AL510" s="86">
        <f>IF(AND(A510&lt;&gt;"",U510&lt;&gt;""),SUM(U510,$AL$8)/$AL$2*100,"")</f>
        <v>100</v>
      </c>
      <c r="AM510" s="71">
        <f>IF(AND(A510&lt;&gt;"",V510&lt;&gt;""),SUM(V510,$AM$8)/$AM$2*100,"")</f>
        <v>104.61538461538463</v>
      </c>
      <c r="AN510" s="71">
        <f>IF(AND(A510&lt;&gt;"",ISNUMBER(P510),P510&gt;=0),SUM(P510,$AN$8)/$AN$2*100,"")</f>
        <v>101</v>
      </c>
      <c r="AO510" s="71" t="str">
        <f>IF(AND(A510&lt;&gt;"",ISNUMBER(Q510),Q510&gt;=0),SUM(Q510,$AO$8)/$AO$2*100,"")</f>
        <v/>
      </c>
      <c r="AP510" s="24" t="str">
        <f>IF(AND(A510&lt;&gt;"",R510&lt;&gt;""),SUM(R510,$AP$8)/$AP$2*100,"")</f>
        <v/>
      </c>
      <c r="AQ510" s="24">
        <f>IF(AND(A510&lt;&gt;"",ISNUMBER(W510),W510&gt;=0),SUM(W510,$AQ$8)/$AQ$2*100,"")</f>
        <v>101</v>
      </c>
      <c r="AR510" s="24" t="str">
        <f>IF(AND(A510&lt;&gt;"",T510&gt;0,ISNUMBER(T510)),SUM(T510,$AR$8)/$AR$2*100,"")</f>
        <v/>
      </c>
      <c r="AS510" s="24" t="str">
        <f>IF(AND(A510&lt;&gt;"",X510&lt;&gt;""),SUM(X510,$AS$8)/$AS$2*100,"")</f>
        <v/>
      </c>
      <c r="AT510" s="89">
        <f>IF(AND(A510&lt;&gt;"",OR(ISNUMBER(W510),ISNUMBER(X510))),SUM(W510:X510,$AT$8)/$AT$2*100,"")</f>
        <v>101</v>
      </c>
      <c r="AU510" s="24">
        <f>AA510</f>
        <v>102.95081967213116</v>
      </c>
      <c r="AV510" s="71"/>
      <c r="AW510" s="27">
        <f>IF(A510&lt;&gt;"",AE510-AA510,"")</f>
        <v>-1.9508196721311606</v>
      </c>
      <c r="AY510" s="27" t="b">
        <f>S510&gt;R510</f>
        <v>0</v>
      </c>
      <c r="BA510" s="27" t="e">
        <f>AND(AA510&gt;$BA$3,(W510+$W$8)/$W$2&lt;$BB$3,(X510+$X$8)/$X$2&lt;$BB$3)</f>
        <v>#VALUE!</v>
      </c>
      <c r="BB510" s="27" t="e">
        <f>AND(AA510&lt;$BA$3,AND(W510/$W$2&gt;$BB$3,X510/$X$2&gt;$BB$3))</f>
        <v>#VALUE!</v>
      </c>
      <c r="BC510" s="27" t="e">
        <f>AND(AA510&lt;$BA$3,OR(W510/$W$2&gt;$BB$3,X510/$X$2&gt;$BB$3))</f>
        <v>#VALUE!</v>
      </c>
      <c r="BE510" s="32">
        <v>32</v>
      </c>
    </row>
    <row r="511" spans="1:57" s="27" customFormat="1" ht="12.75" customHeight="1" x14ac:dyDescent="0.2">
      <c r="A511" s="10">
        <v>978761</v>
      </c>
      <c r="B511" s="2">
        <v>24</v>
      </c>
      <c r="C511" s="10">
        <v>25</v>
      </c>
      <c r="D511" s="10">
        <v>25</v>
      </c>
      <c r="E511" s="10"/>
      <c r="F511" s="10"/>
      <c r="G511" s="10"/>
      <c r="H511" s="10"/>
      <c r="I511" s="10"/>
      <c r="J511" s="2">
        <v>29</v>
      </c>
      <c r="K511" s="10">
        <v>41</v>
      </c>
      <c r="L511" s="10">
        <v>51</v>
      </c>
      <c r="M511" s="10"/>
      <c r="N511" s="93"/>
      <c r="O511" s="13"/>
      <c r="P511" s="10">
        <v>100</v>
      </c>
      <c r="Q511" s="10"/>
      <c r="R511" s="2"/>
      <c r="S511" s="10"/>
      <c r="T511" s="13"/>
      <c r="U511" s="7">
        <f t="array" ref="U511">IF(AND(A511&lt;&gt;"",OR(ISNUMBER(B511:I511))),SUM(B511:I511),"")</f>
        <v>74</v>
      </c>
      <c r="V511" s="10">
        <f t="array" ref="V511">IF(AND(A511&lt;&gt;"",OR(ISNUMBER(J511:O511))),SUM(J511:O511),"")</f>
        <v>121</v>
      </c>
      <c r="W511" s="10">
        <f t="array" ref="W511">IF(AND(A511&lt;&gt;"",OR(ISNUMBER(P511),ISNUMBER(Q511))),SUM(MAX(P511:Q511),Q511),"")</f>
        <v>100</v>
      </c>
      <c r="X511" s="10" t="str">
        <f t="array" ref="X511">IF(AND(A511&lt;&gt;"",OR(ISNUMBER(S511),ISNUMBER(T511))),SUM(S511,T511),"")</f>
        <v/>
      </c>
      <c r="Y511" s="13">
        <v>1</v>
      </c>
      <c r="Z511" s="13">
        <f>IF(A511&lt;&gt;"",SUM(U511:Y511),"")</f>
        <v>296</v>
      </c>
      <c r="AA511" s="27">
        <f>IF(A511&lt;&gt;"",(Z511+Normalize_To_Add)/(Point_Total_So_Far)*100,"")</f>
        <v>97.049180327868854</v>
      </c>
      <c r="AB511" s="10">
        <f>IF(A511&lt;&gt;"",RANK(AA511,All_Student_XC),"")</f>
        <v>237</v>
      </c>
      <c r="AC511" s="32" t="str">
        <f>IF(A511&lt;&gt;"",CHOOSE(10-MIN(9,TRUNC((AA511+0.5)/10)),"A","B","C","D","F","F","F","F","F","F"),"")</f>
        <v>A</v>
      </c>
      <c r="AD511" s="31" t="str">
        <f>IF(A511&lt;&gt;"",IF(OR(AA511+0.5&gt;=93,AA511+0.5&lt;60),"",IF(MOD(AA511+0.5,10)&gt;=7,"+",IF(MOD(AA511+0.5,10)&lt;3,"-",""))),"")</f>
        <v/>
      </c>
      <c r="AE511" s="32">
        <f>IF(A511&lt;&gt;"",SUM(W511:X511,$W$8:$X$8)/SUM($W$2:$X$2)*100,"")</f>
        <v>100</v>
      </c>
      <c r="AF511" s="32" t="str">
        <f>IF(A511&lt;&gt;"",CHOOSE(10-MIN(9,TRUNC((AE511+0.5)/10)),"A","B","C","D","F","F","F","F","F","F"),"")</f>
        <v>A</v>
      </c>
      <c r="AG511" s="32" t="str">
        <f>IF(A511&lt;&gt;"",IF(OR(AE511+0.5&gt;=93,AE511+0.5&lt;60),"",IF(MOD(AE511+0.5,10)&gt;=7,"+",IF(MOD(AE511+0.5,10)&lt;3,"-",""))),"")</f>
        <v/>
      </c>
      <c r="AH511" s="36">
        <f>IF(A511&lt;&gt;"",MIN(MAX(AA511,AE511),AA511+$AH$8,AE511+$AH$8),"")</f>
        <v>100</v>
      </c>
      <c r="AI511" s="32" t="str">
        <f>IF(A511&lt;&gt;"",CHOOSE(10-MIN(9,TRUNC((AH511+0.5)/10)),"A","B","C","D","F","F","F","F","F","F"),"")</f>
        <v>A</v>
      </c>
      <c r="AJ511" s="32" t="str">
        <f>IF(A511&lt;&gt;"",IF(OR(AH511+0.5&gt;=93,AH511+0.5&lt;60),"",IF(MOD(AH511+0.5,10)&gt;=7,"+",IF(MOD(AH511+0.5,10)&lt;3,"-",""))),"")</f>
        <v/>
      </c>
      <c r="AK511" s="71" t="b">
        <f>IF(A511&lt;&gt;"",OR(AI511&lt;&gt;AC511,AJ511&lt;&gt;AD511),"")</f>
        <v>0</v>
      </c>
      <c r="AL511" s="86">
        <f>IF(AND(A511&lt;&gt;"",U511&lt;&gt;""),SUM(U511,$AL$8)/$AL$2*100,"")</f>
        <v>98.666666666666671</v>
      </c>
      <c r="AM511" s="71">
        <f>IF(AND(A511&lt;&gt;"",V511&lt;&gt;""),SUM(V511,$AM$8)/$AM$2*100,"")</f>
        <v>93.07692307692308</v>
      </c>
      <c r="AN511" s="71">
        <f>IF(AND(A511&lt;&gt;"",ISNUMBER(P511),P511&gt;=0),SUM(P511,$AN$8)/$AN$2*100,"")</f>
        <v>100</v>
      </c>
      <c r="AO511" s="71" t="str">
        <f>IF(AND(A511&lt;&gt;"",ISNUMBER(Q511),Q511&gt;=0),SUM(Q511,$AO$8)/$AO$2*100,"")</f>
        <v/>
      </c>
      <c r="AP511" s="24" t="str">
        <f>IF(AND(A511&lt;&gt;"",R511&lt;&gt;""),SUM(R511,$AP$8)/$AP$2*100,"")</f>
        <v/>
      </c>
      <c r="AQ511" s="24">
        <f>IF(AND(A511&lt;&gt;"",ISNUMBER(W511),W511&gt;=0),SUM(W511,$AQ$8)/$AQ$2*100,"")</f>
        <v>100</v>
      </c>
      <c r="AR511" s="24" t="str">
        <f>IF(AND(A511&lt;&gt;"",T511&gt;0,ISNUMBER(T511)),SUM(T511,$AR$8)/$AR$2*100,"")</f>
        <v/>
      </c>
      <c r="AS511" s="24" t="str">
        <f>IF(AND(A511&lt;&gt;"",X511&lt;&gt;""),SUM(X511,$AS$8)/$AS$2*100,"")</f>
        <v/>
      </c>
      <c r="AT511" s="89">
        <f>IF(AND(A511&lt;&gt;"",OR(ISNUMBER(W511),ISNUMBER(X511))),SUM(W511:X511,$AT$8)/$AT$2*100,"")</f>
        <v>100</v>
      </c>
      <c r="AU511" s="24">
        <f>AA511</f>
        <v>97.049180327868854</v>
      </c>
      <c r="AV511" s="71"/>
      <c r="AW511" s="27">
        <f>IF(A511&lt;&gt;"",AE511-AA511,"")</f>
        <v>2.9508196721311464</v>
      </c>
      <c r="AY511" s="27" t="b">
        <f>S511&gt;R511</f>
        <v>0</v>
      </c>
      <c r="BA511" s="27" t="e">
        <f>AND(AA511&gt;$BA$3,(W511+$W$8)/$W$2&lt;$BB$3,(X511+$X$8)/$X$2&lt;$BB$3)</f>
        <v>#VALUE!</v>
      </c>
      <c r="BB511" s="27" t="e">
        <f>AND(AA511&lt;$BA$3,AND(W511/$W$2&gt;$BB$3,X511/$X$2&gt;$BB$3))</f>
        <v>#VALUE!</v>
      </c>
      <c r="BC511" s="27" t="e">
        <f>AND(AA511&lt;$BA$3,OR(W511/$W$2&gt;$BB$3,X511/$X$2&gt;$BB$3))</f>
        <v>#VALUE!</v>
      </c>
      <c r="BE511" s="32" t="s">
        <v>85</v>
      </c>
    </row>
    <row r="512" spans="1:57" s="27" customFormat="1" ht="12.75" customHeight="1" x14ac:dyDescent="0.2">
      <c r="A512" s="10">
        <v>978834</v>
      </c>
      <c r="B512" s="2">
        <v>16</v>
      </c>
      <c r="C512" s="10">
        <v>20</v>
      </c>
      <c r="D512" s="10">
        <v>19</v>
      </c>
      <c r="E512" s="10"/>
      <c r="F512" s="10"/>
      <c r="G512" s="3"/>
      <c r="H512" s="10"/>
      <c r="I512" s="10"/>
      <c r="J512" s="2">
        <v>32</v>
      </c>
      <c r="K512" s="10">
        <v>52</v>
      </c>
      <c r="L512" s="10">
        <v>52</v>
      </c>
      <c r="M512" s="10"/>
      <c r="N512" s="10"/>
      <c r="O512" s="12"/>
      <c r="P512" s="7">
        <v>80</v>
      </c>
      <c r="Q512" s="7"/>
      <c r="R512" s="2"/>
      <c r="S512" s="10"/>
      <c r="T512" s="13"/>
      <c r="U512" s="35">
        <f t="array" ref="U512">IF(AND(A512&lt;&gt;"",OR(ISNUMBER(B512:I512))),SUM(B512:I512),"")</f>
        <v>55</v>
      </c>
      <c r="V512" s="10">
        <f t="array" ref="V512">IF(AND(A512&lt;&gt;"",OR(ISNUMBER(J512:O512))),SUM(J512:O512),"")</f>
        <v>136</v>
      </c>
      <c r="W512" s="10">
        <f t="array" ref="W512">IF(AND(A512&lt;&gt;"",OR(ISNUMBER(P512),ISNUMBER(Q512))),SUM(MAX(P512:Q512),Q512),"")</f>
        <v>80</v>
      </c>
      <c r="X512" s="10" t="str">
        <f t="array" ref="X512">IF(AND(A512&lt;&gt;"",OR(ISNUMBER(S512),ISNUMBER(T512))),SUM(S512,T512),"")</f>
        <v/>
      </c>
      <c r="Y512" s="13">
        <v>1</v>
      </c>
      <c r="Z512" s="13">
        <f>IF(A512&lt;&gt;"",SUM(U512:Y512),"")</f>
        <v>272</v>
      </c>
      <c r="AA512" s="27">
        <f>IF(A512&lt;&gt;"",(Z512+Normalize_To_Add)/(Point_Total_So_Far)*100,"")</f>
        <v>89.180327868852459</v>
      </c>
      <c r="AB512" s="10">
        <f>IF(A512&lt;&gt;"",RANK(AA512,All_Student_XC),"")</f>
        <v>344</v>
      </c>
      <c r="AC512" s="32" t="str">
        <f>IF(A512&lt;&gt;"",CHOOSE(10-MIN(9,TRUNC((AA512+0.5)/10)),"A","B","C","D","F","F","F","F","F","F"),"")</f>
        <v>B</v>
      </c>
      <c r="AD512" s="32" t="str">
        <f>IF(A512&lt;&gt;"",IF(OR(AA512+0.5&gt;=93,AA512+0.5&lt;60),"",IF(MOD(AA512+0.5,10)&gt;=7,"+",IF(MOD(AA512+0.5,10)&lt;3,"-",""))),"")</f>
        <v>+</v>
      </c>
      <c r="AE512" s="32">
        <f>IF(A512&lt;&gt;"",SUM(W512:X512,$W$8:$X$8)/SUM($W$2:$X$2)*100,"")</f>
        <v>80</v>
      </c>
      <c r="AF512" s="32" t="str">
        <f>IF(A512&lt;&gt;"",CHOOSE(10-MIN(9,TRUNC((AE512+0.5)/10)),"A","B","C","D","F","F","F","F","F","F"),"")</f>
        <v>B</v>
      </c>
      <c r="AG512" s="32" t="str">
        <f>IF(A512&lt;&gt;"",IF(OR(AE512+0.5&gt;=93,AE512+0.5&lt;60),"",IF(MOD(AE512+0.5,10)&gt;=7,"+",IF(MOD(AE512+0.5,10)&lt;3,"-",""))),"")</f>
        <v>-</v>
      </c>
      <c r="AH512" s="36">
        <f>IF(A512&lt;&gt;"",MIN(MAX(AA512,AE512),AA512+$AH$8,AE512+$AH$8),"")</f>
        <v>89.180327868852459</v>
      </c>
      <c r="AI512" s="32" t="str">
        <f>IF(A512&lt;&gt;"",CHOOSE(10-MIN(9,TRUNC((AH512+0.5)/10)),"A","B","C","D","F","F","F","F","F","F"),"")</f>
        <v>B</v>
      </c>
      <c r="AJ512" s="32" t="str">
        <f>IF(A512&lt;&gt;"",IF(OR(AH512+0.5&gt;=93,AH512+0.5&lt;60),"",IF(MOD(AH512+0.5,10)&gt;=7,"+",IF(MOD(AH512+0.5,10)&lt;3,"-",""))),"")</f>
        <v>+</v>
      </c>
      <c r="AK512" s="32" t="b">
        <f>IF(A512&lt;&gt;"",OR(AI512&lt;&gt;AC512,AJ512&lt;&gt;AD512),"")</f>
        <v>0</v>
      </c>
      <c r="AL512" s="84">
        <f>IF(AND(A512&lt;&gt;"",U512&lt;&gt;""),SUM(U512,$AL$8)/$AL$2*100,"")</f>
        <v>73.333333333333329</v>
      </c>
      <c r="AM512" s="24">
        <f>IF(AND(A512&lt;&gt;"",V512&lt;&gt;""),SUM(V512,$AM$8)/$AM$2*100,"")</f>
        <v>104.61538461538463</v>
      </c>
      <c r="AN512" s="24">
        <f>IF(AND(A512&lt;&gt;"",ISNUMBER(P512),P512&gt;=0),SUM(P512,$AN$8)/$AN$2*100,"")</f>
        <v>80</v>
      </c>
      <c r="AO512" s="24" t="str">
        <f>IF(AND(A512&lt;&gt;"",ISNUMBER(Q512),Q512&gt;=0),SUM(Q512,$AO$8)/$AO$2*100,"")</f>
        <v/>
      </c>
      <c r="AP512" s="24" t="str">
        <f>IF(AND(A512&lt;&gt;"",R512&lt;&gt;""),SUM(R512,$AP$8)/$AP$2*100,"")</f>
        <v/>
      </c>
      <c r="AQ512" s="24">
        <f>IF(AND(A512&lt;&gt;"",ISNUMBER(W512),W512&gt;=0),SUM(W512,$AQ$8)/$AQ$2*100,"")</f>
        <v>80</v>
      </c>
      <c r="AR512" s="24" t="str">
        <f>IF(AND(A512&lt;&gt;"",T512&gt;0,ISNUMBER(T512)),SUM(T512,$AR$8)/$AR$2*100,"")</f>
        <v/>
      </c>
      <c r="AS512" s="24" t="str">
        <f>IF(AND(A512&lt;&gt;"",X512&lt;&gt;""),SUM(X512,$AS$8)/$AS$2*100,"")</f>
        <v/>
      </c>
      <c r="AT512" s="89">
        <f>IF(AND(A512&lt;&gt;"",OR(ISNUMBER(W512),ISNUMBER(X512))),SUM(W512:X512,$AT$8)/$AT$2*100,"")</f>
        <v>80</v>
      </c>
      <c r="AU512" s="24">
        <f>AA512</f>
        <v>89.180327868852459</v>
      </c>
      <c r="AV512" s="24"/>
      <c r="AW512" s="27">
        <f>IF(A512&lt;&gt;"",AE512-AA512,"")</f>
        <v>-9.1803278688524586</v>
      </c>
      <c r="AY512" s="27" t="b">
        <f>S512&gt;R512</f>
        <v>0</v>
      </c>
      <c r="BA512" s="27" t="e">
        <f>AND(AA512&gt;$BA$3,(W512+$W$8)/$W$2&lt;$BB$3,(X512+$X$8)/$X$2&lt;$BB$3)</f>
        <v>#VALUE!</v>
      </c>
      <c r="BB512" s="27" t="e">
        <f>AND(AA512&lt;$BA$3,AND(W512/$W$2&gt;$BB$3,X512/$X$2&gt;$BB$3))</f>
        <v>#VALUE!</v>
      </c>
      <c r="BC512" s="27" t="e">
        <f>AND(AA512&lt;$BA$3,OR(W512/$W$2&gt;$BB$3,X512/$X$2&gt;$BB$3))</f>
        <v>#VALUE!</v>
      </c>
      <c r="BE512" s="32">
        <v>32</v>
      </c>
    </row>
    <row r="513" spans="1:58" s="27" customFormat="1" ht="12.75" customHeight="1" x14ac:dyDescent="0.2">
      <c r="A513" s="10">
        <v>979425</v>
      </c>
      <c r="B513" s="2">
        <v>25</v>
      </c>
      <c r="C513" s="10">
        <v>24</v>
      </c>
      <c r="D513" s="10">
        <v>22</v>
      </c>
      <c r="E513" s="10"/>
      <c r="F513" s="10"/>
      <c r="G513" s="10"/>
      <c r="H513" s="10"/>
      <c r="I513" s="10"/>
      <c r="J513" s="2">
        <v>24</v>
      </c>
      <c r="K513" s="10">
        <v>51</v>
      </c>
      <c r="L513" s="10">
        <v>51</v>
      </c>
      <c r="M513" s="10"/>
      <c r="N513" s="93"/>
      <c r="O513" s="13"/>
      <c r="P513" s="10">
        <v>101</v>
      </c>
      <c r="Q513" s="10"/>
      <c r="R513" s="2"/>
      <c r="S513" s="10"/>
      <c r="T513" s="13"/>
      <c r="U513" s="7">
        <f t="array" ref="U513">IF(AND(A513&lt;&gt;"",OR(ISNUMBER(B513:I513))),SUM(B513:I513),"")</f>
        <v>71</v>
      </c>
      <c r="V513" s="10">
        <f t="array" ref="V513">IF(AND(A513&lt;&gt;"",OR(ISNUMBER(J513:O513))),SUM(J513:O513),"")</f>
        <v>126</v>
      </c>
      <c r="W513" s="10">
        <f t="array" ref="W513">IF(AND(A513&lt;&gt;"",OR(ISNUMBER(P513),ISNUMBER(Q513))),SUM(MAX(P513:Q513),Q513),"")</f>
        <v>101</v>
      </c>
      <c r="X513" s="10" t="str">
        <f t="array" ref="X513">IF(AND(A513&lt;&gt;"",OR(ISNUMBER(S513),ISNUMBER(T513))),SUM(S513,T513),"")</f>
        <v/>
      </c>
      <c r="Y513" s="13">
        <v>1</v>
      </c>
      <c r="Z513" s="13">
        <f>IF(A513&lt;&gt;"",SUM(U513:Y513),"")</f>
        <v>299</v>
      </c>
      <c r="AA513" s="27">
        <f>IF(A513&lt;&gt;"",(Z513+Normalize_To_Add)/(Point_Total_So_Far)*100,"")</f>
        <v>98.032786885245898</v>
      </c>
      <c r="AB513" s="10">
        <f>IF(A513&lt;&gt;"",RANK(AA513,All_Student_XC),"")</f>
        <v>195</v>
      </c>
      <c r="AC513" s="32" t="str">
        <f>IF(A513&lt;&gt;"",CHOOSE(10-MIN(9,TRUNC((AA513+0.5)/10)),"A","B","C","D","F","F","F","F","F","F"),"")</f>
        <v>A</v>
      </c>
      <c r="AD513" s="31" t="str">
        <f>IF(A513&lt;&gt;"",IF(OR(AA513+0.5&gt;=93,AA513+0.5&lt;60),"",IF(MOD(AA513+0.5,10)&gt;=7,"+",IF(MOD(AA513+0.5,10)&lt;3,"-",""))),"")</f>
        <v/>
      </c>
      <c r="AE513" s="32">
        <f>IF(A513&lt;&gt;"",SUM(W513:X513,$W$8:$X$8)/SUM($W$2:$X$2)*100,"")</f>
        <v>101</v>
      </c>
      <c r="AF513" s="32" t="str">
        <f>IF(A513&lt;&gt;"",CHOOSE(10-MIN(9,TRUNC((AE513+0.5)/10)),"A","B","C","D","F","F","F","F","F","F"),"")</f>
        <v>A</v>
      </c>
      <c r="AG513" s="32" t="str">
        <f>IF(A513&lt;&gt;"",IF(OR(AE513+0.5&gt;=93,AE513+0.5&lt;60),"",IF(MOD(AE513+0.5,10)&gt;=7,"+",IF(MOD(AE513+0.5,10)&lt;3,"-",""))),"")</f>
        <v/>
      </c>
      <c r="AH513" s="36">
        <f>IF(A513&lt;&gt;"",MIN(MAX(AA513,AE513),AA513+$AH$8,AE513+$AH$8),"")</f>
        <v>101</v>
      </c>
      <c r="AI513" s="32" t="str">
        <f>IF(A513&lt;&gt;"",CHOOSE(10-MIN(9,TRUNC((AH513+0.5)/10)),"A","B","C","D","F","F","F","F","F","F"),"")</f>
        <v>A</v>
      </c>
      <c r="AJ513" s="32" t="str">
        <f>IF(A513&lt;&gt;"",IF(OR(AH513+0.5&gt;=93,AH513+0.5&lt;60),"",IF(MOD(AH513+0.5,10)&gt;=7,"+",IF(MOD(AH513+0.5,10)&lt;3,"-",""))),"")</f>
        <v/>
      </c>
      <c r="AK513" s="71" t="b">
        <f>IF(A513&lt;&gt;"",OR(AI513&lt;&gt;AC513,AJ513&lt;&gt;AD513),"")</f>
        <v>0</v>
      </c>
      <c r="AL513" s="86">
        <f>IF(AND(A513&lt;&gt;"",U513&lt;&gt;""),SUM(U513,$AL$8)/$AL$2*100,"")</f>
        <v>94.666666666666671</v>
      </c>
      <c r="AM513" s="71">
        <f>IF(AND(A513&lt;&gt;"",V513&lt;&gt;""),SUM(V513,$AM$8)/$AM$2*100,"")</f>
        <v>96.92307692307692</v>
      </c>
      <c r="AN513" s="71">
        <f>IF(AND(A513&lt;&gt;"",ISNUMBER(P513),P513&gt;=0),SUM(P513,$AN$8)/$AN$2*100,"")</f>
        <v>101</v>
      </c>
      <c r="AO513" s="71" t="str">
        <f>IF(AND(A513&lt;&gt;"",ISNUMBER(Q513),Q513&gt;=0),SUM(Q513,$AO$8)/$AO$2*100,"")</f>
        <v/>
      </c>
      <c r="AP513" s="24" t="str">
        <f>IF(AND(A513&lt;&gt;"",R513&lt;&gt;""),SUM(R513,$AP$8)/$AP$2*100,"")</f>
        <v/>
      </c>
      <c r="AQ513" s="24">
        <f>IF(AND(A513&lt;&gt;"",ISNUMBER(W513),W513&gt;=0),SUM(W513,$AQ$8)/$AQ$2*100,"")</f>
        <v>101</v>
      </c>
      <c r="AR513" s="24" t="str">
        <f>IF(AND(A513&lt;&gt;"",T513&gt;0,ISNUMBER(T513)),SUM(T513,$AR$8)/$AR$2*100,"")</f>
        <v/>
      </c>
      <c r="AS513" s="24" t="str">
        <f>IF(AND(A513&lt;&gt;"",X513&lt;&gt;""),SUM(X513,$AS$8)/$AS$2*100,"")</f>
        <v/>
      </c>
      <c r="AT513" s="89">
        <f>IF(AND(A513&lt;&gt;"",OR(ISNUMBER(W513),ISNUMBER(X513))),SUM(W513:X513,$AT$8)/$AT$2*100,"")</f>
        <v>101</v>
      </c>
      <c r="AU513" s="24">
        <f>AA513</f>
        <v>98.032786885245898</v>
      </c>
      <c r="AV513" s="71"/>
      <c r="AW513" s="27">
        <f>IF(A513&lt;&gt;"",AE513-AA513,"")</f>
        <v>2.9672131147541023</v>
      </c>
      <c r="AY513" s="27" t="b">
        <f>S513&gt;R513</f>
        <v>0</v>
      </c>
      <c r="BA513" s="27" t="e">
        <f>AND(AA513&gt;$BA$3,(W513+$W$8)/$W$2&lt;$BB$3,(X513+$X$8)/$X$2&lt;$BB$3)</f>
        <v>#VALUE!</v>
      </c>
      <c r="BB513" s="27" t="e">
        <f>AND(AA513&lt;$BA$3,AND(W513/$W$2&gt;$BB$3,X513/$X$2&gt;$BB$3))</f>
        <v>#VALUE!</v>
      </c>
      <c r="BC513" s="27" t="e">
        <f>AND(AA513&lt;$BA$3,OR(W513/$W$2&gt;$BB$3,X513/$X$2&gt;$BB$3))</f>
        <v>#VALUE!</v>
      </c>
      <c r="BE513" s="32">
        <v>32</v>
      </c>
    </row>
    <row r="514" spans="1:58" s="27" customFormat="1" ht="12.75" customHeight="1" x14ac:dyDescent="0.2">
      <c r="A514" s="10">
        <v>979574</v>
      </c>
      <c r="B514" s="2">
        <v>25</v>
      </c>
      <c r="C514" s="10">
        <v>20</v>
      </c>
      <c r="D514" s="10">
        <v>19</v>
      </c>
      <c r="E514" s="10"/>
      <c r="F514" s="10"/>
      <c r="G514" s="10"/>
      <c r="H514" s="10"/>
      <c r="I514" s="10"/>
      <c r="J514" s="2">
        <v>31</v>
      </c>
      <c r="K514" s="10">
        <v>38</v>
      </c>
      <c r="L514" s="10">
        <v>49</v>
      </c>
      <c r="M514" s="10"/>
      <c r="N514" s="93"/>
      <c r="O514" s="13"/>
      <c r="P514" s="10">
        <v>80</v>
      </c>
      <c r="Q514" s="10"/>
      <c r="R514" s="2"/>
      <c r="S514" s="10"/>
      <c r="T514" s="13"/>
      <c r="U514" s="7">
        <f t="array" ref="U514">IF(AND(A514&lt;&gt;"",OR(ISNUMBER(B514:I514))),SUM(B514:I514),"")</f>
        <v>64</v>
      </c>
      <c r="V514" s="10">
        <f t="array" ref="V514">IF(AND(A514&lt;&gt;"",OR(ISNUMBER(J514:O514))),SUM(J514:O514),"")</f>
        <v>118</v>
      </c>
      <c r="W514" s="10">
        <f t="array" ref="W514">IF(AND(A514&lt;&gt;"",OR(ISNUMBER(P514),ISNUMBER(Q514))),SUM(MAX(P514:Q514),Q514),"")</f>
        <v>80</v>
      </c>
      <c r="X514" s="10" t="str">
        <f t="array" ref="X514">IF(AND(A514&lt;&gt;"",OR(ISNUMBER(S514),ISNUMBER(T514))),SUM(S514,T514),"")</f>
        <v/>
      </c>
      <c r="Y514" s="13">
        <v>1</v>
      </c>
      <c r="Z514" s="13">
        <f>IF(A514&lt;&gt;"",SUM(U514:Y514),"")</f>
        <v>263</v>
      </c>
      <c r="AA514" s="27">
        <f>IF(A514&lt;&gt;"",(Z514+Normalize_To_Add)/(Point_Total_So_Far)*100,"")</f>
        <v>86.229508196721312</v>
      </c>
      <c r="AB514" s="10">
        <f>IF(A514&lt;&gt;"",RANK(AA514,All_Student_XC),"")</f>
        <v>369</v>
      </c>
      <c r="AC514" s="32" t="str">
        <f>IF(A514&lt;&gt;"",CHOOSE(10-MIN(9,TRUNC((AA514+0.5)/10)),"A","B","C","D","F","F","F","F","F","F"),"")</f>
        <v>B</v>
      </c>
      <c r="AD514" s="31" t="str">
        <f>IF(A514&lt;&gt;"",IF(OR(AA514+0.5&gt;=93,AA514+0.5&lt;60),"",IF(MOD(AA514+0.5,10)&gt;=7,"+",IF(MOD(AA514+0.5,10)&lt;3,"-",""))),"")</f>
        <v/>
      </c>
      <c r="AE514" s="32">
        <f>IF(A514&lt;&gt;"",SUM(W514:X514,$W$8:$X$8)/SUM($W$2:$X$2)*100,"")</f>
        <v>80</v>
      </c>
      <c r="AF514" s="32" t="str">
        <f>IF(A514&lt;&gt;"",CHOOSE(10-MIN(9,TRUNC((AE514+0.5)/10)),"A","B","C","D","F","F","F","F","F","F"),"")</f>
        <v>B</v>
      </c>
      <c r="AG514" s="32" t="str">
        <f>IF(A514&lt;&gt;"",IF(OR(AE514+0.5&gt;=93,AE514+0.5&lt;60),"",IF(MOD(AE514+0.5,10)&gt;=7,"+",IF(MOD(AE514+0.5,10)&lt;3,"-",""))),"")</f>
        <v>-</v>
      </c>
      <c r="AH514" s="36">
        <f>IF(A514&lt;&gt;"",MIN(MAX(AA514,AE514),AA514+$AH$8,AE514+$AH$8),"")</f>
        <v>86.229508196721312</v>
      </c>
      <c r="AI514" s="32" t="str">
        <f>IF(A514&lt;&gt;"",CHOOSE(10-MIN(9,TRUNC((AH514+0.5)/10)),"A","B","C","D","F","F","F","F","F","F"),"")</f>
        <v>B</v>
      </c>
      <c r="AJ514" s="32" t="str">
        <f>IF(A514&lt;&gt;"",IF(OR(AH514+0.5&gt;=93,AH514+0.5&lt;60),"",IF(MOD(AH514+0.5,10)&gt;=7,"+",IF(MOD(AH514+0.5,10)&lt;3,"-",""))),"")</f>
        <v/>
      </c>
      <c r="AK514" s="71" t="b">
        <f>IF(A514&lt;&gt;"",OR(AI514&lt;&gt;AC514,AJ514&lt;&gt;AD514),"")</f>
        <v>0</v>
      </c>
      <c r="AL514" s="86">
        <f>IF(AND(A514&lt;&gt;"",U514&lt;&gt;""),SUM(U514,$AL$8)/$AL$2*100,"")</f>
        <v>85.333333333333343</v>
      </c>
      <c r="AM514" s="71">
        <f>IF(AND(A514&lt;&gt;"",V514&lt;&gt;""),SUM(V514,$AM$8)/$AM$2*100,"")</f>
        <v>90.769230769230774</v>
      </c>
      <c r="AN514" s="71">
        <f>IF(AND(A514&lt;&gt;"",ISNUMBER(P514),P514&gt;=0),SUM(P514,$AN$8)/$AN$2*100,"")</f>
        <v>80</v>
      </c>
      <c r="AO514" s="71" t="str">
        <f>IF(AND(A514&lt;&gt;"",ISNUMBER(Q514),Q514&gt;=0),SUM(Q514,$AO$8)/$AO$2*100,"")</f>
        <v/>
      </c>
      <c r="AP514" s="24" t="str">
        <f>IF(AND(A514&lt;&gt;"",R514&lt;&gt;""),SUM(R514,$AP$8)/$AP$2*100,"")</f>
        <v/>
      </c>
      <c r="AQ514" s="24">
        <f>IF(AND(A514&lt;&gt;"",ISNUMBER(W514),W514&gt;=0),SUM(W514,$AQ$8)/$AQ$2*100,"")</f>
        <v>80</v>
      </c>
      <c r="AR514" s="24" t="str">
        <f>IF(AND(A514&lt;&gt;"",T514&gt;0,ISNUMBER(T514)),SUM(T514,$AR$8)/$AR$2*100,"")</f>
        <v/>
      </c>
      <c r="AS514" s="24" t="str">
        <f>IF(AND(A514&lt;&gt;"",X514&lt;&gt;""),SUM(X514,$AS$8)/$AS$2*100,"")</f>
        <v/>
      </c>
      <c r="AT514" s="89">
        <f>IF(AND(A514&lt;&gt;"",OR(ISNUMBER(W514),ISNUMBER(X514))),SUM(W514:X514,$AT$8)/$AT$2*100,"")</f>
        <v>80</v>
      </c>
      <c r="AU514" s="24">
        <f>AA514</f>
        <v>86.229508196721312</v>
      </c>
      <c r="AV514" s="71"/>
      <c r="AW514" s="27">
        <f>IF(A514&lt;&gt;"",AE514-AA514,"")</f>
        <v>-6.2295081967213122</v>
      </c>
      <c r="AY514" s="27" t="b">
        <f>S514&gt;R514</f>
        <v>0</v>
      </c>
      <c r="BA514" s="27" t="e">
        <f>AND(AA514&gt;$BA$3,(W514+$W$8)/$W$2&lt;$BB$3,(X514+$X$8)/$X$2&lt;$BB$3)</f>
        <v>#VALUE!</v>
      </c>
      <c r="BB514" s="27" t="e">
        <f>AND(AA514&lt;$BA$3,AND(W514/$W$2&gt;$BB$3,X514/$X$2&gt;$BB$3))</f>
        <v>#VALUE!</v>
      </c>
      <c r="BC514" s="27" t="e">
        <f>AND(AA514&lt;$BA$3,OR(W514/$W$2&gt;$BB$3,X514/$X$2&gt;$BB$3))</f>
        <v>#VALUE!</v>
      </c>
      <c r="BE514" s="32" t="s">
        <v>85</v>
      </c>
    </row>
    <row r="515" spans="1:58" s="27" customFormat="1" ht="12.75" customHeight="1" x14ac:dyDescent="0.2">
      <c r="A515" s="10">
        <v>980954</v>
      </c>
      <c r="B515" s="2">
        <v>21</v>
      </c>
      <c r="C515" s="10">
        <v>25</v>
      </c>
      <c r="D515" s="10">
        <v>25</v>
      </c>
      <c r="E515" s="10"/>
      <c r="F515" s="10"/>
      <c r="G515" s="10"/>
      <c r="H515" s="10"/>
      <c r="I515" s="10"/>
      <c r="J515" s="2">
        <v>31</v>
      </c>
      <c r="K515" s="10">
        <v>52</v>
      </c>
      <c r="L515" s="10">
        <v>50</v>
      </c>
      <c r="M515" s="10"/>
      <c r="N515" s="93"/>
      <c r="O515" s="13"/>
      <c r="P515" s="10">
        <v>101</v>
      </c>
      <c r="Q515" s="10"/>
      <c r="R515" s="2"/>
      <c r="S515" s="10"/>
      <c r="T515" s="13"/>
      <c r="U515" s="7">
        <f t="array" ref="U515">IF(AND(A515&lt;&gt;"",OR(ISNUMBER(B515:I515))),SUM(B515:I515),"")</f>
        <v>71</v>
      </c>
      <c r="V515" s="10">
        <f t="array" ref="V515">IF(AND(A515&lt;&gt;"",OR(ISNUMBER(J515:O515))),SUM(J515:O515),"")</f>
        <v>133</v>
      </c>
      <c r="W515" s="10">
        <f t="array" ref="W515">IF(AND(A515&lt;&gt;"",OR(ISNUMBER(P515),ISNUMBER(Q515))),SUM(MAX(P515:Q515),Q515),"")</f>
        <v>101</v>
      </c>
      <c r="X515" s="10" t="str">
        <f t="array" ref="X515">IF(AND(A515&lt;&gt;"",OR(ISNUMBER(S515),ISNUMBER(T515))),SUM(S515,T515),"")</f>
        <v/>
      </c>
      <c r="Y515" s="13">
        <v>1</v>
      </c>
      <c r="Z515" s="13">
        <f>IF(A515&lt;&gt;"",SUM(U515:Y515),"")</f>
        <v>306</v>
      </c>
      <c r="AA515" s="27">
        <f>IF(A515&lt;&gt;"",(Z515+Normalize_To_Add)/(Point_Total_So_Far)*100,"")</f>
        <v>100.32786885245901</v>
      </c>
      <c r="AB515" s="10">
        <f>IF(A515&lt;&gt;"",RANK(AA515,All_Student_XC),"")</f>
        <v>99</v>
      </c>
      <c r="AC515" s="32" t="str">
        <f>IF(A515&lt;&gt;"",CHOOSE(10-MIN(9,TRUNC((AA515+0.5)/10)),"A","B","C","D","F","F","F","F","F","F"),"")</f>
        <v>A</v>
      </c>
      <c r="AD515" s="31" t="str">
        <f>IF(A515&lt;&gt;"",IF(OR(AA515+0.5&gt;=93,AA515+0.5&lt;60),"",IF(MOD(AA515+0.5,10)&gt;=7,"+",IF(MOD(AA515+0.5,10)&lt;3,"-",""))),"")</f>
        <v/>
      </c>
      <c r="AE515" s="32">
        <f>IF(A515&lt;&gt;"",SUM(W515:X515,$W$8:$X$8)/SUM($W$2:$X$2)*100,"")</f>
        <v>101</v>
      </c>
      <c r="AF515" s="32" t="str">
        <f>IF(A515&lt;&gt;"",CHOOSE(10-MIN(9,TRUNC((AE515+0.5)/10)),"A","B","C","D","F","F","F","F","F","F"),"")</f>
        <v>A</v>
      </c>
      <c r="AG515" s="32" t="str">
        <f>IF(A515&lt;&gt;"",IF(OR(AE515+0.5&gt;=93,AE515+0.5&lt;60),"",IF(MOD(AE515+0.5,10)&gt;=7,"+",IF(MOD(AE515+0.5,10)&lt;3,"-",""))),"")</f>
        <v/>
      </c>
      <c r="AH515" s="36">
        <f>IF(A515&lt;&gt;"",MIN(MAX(AA515,AE515),AA515+$AH$8,AE515+$AH$8),"")</f>
        <v>101</v>
      </c>
      <c r="AI515" s="32" t="str">
        <f>IF(A515&lt;&gt;"",CHOOSE(10-MIN(9,TRUNC((AH515+0.5)/10)),"A","B","C","D","F","F","F","F","F","F"),"")</f>
        <v>A</v>
      </c>
      <c r="AJ515" s="32" t="str">
        <f>IF(A515&lt;&gt;"",IF(OR(AH515+0.5&gt;=93,AH515+0.5&lt;60),"",IF(MOD(AH515+0.5,10)&gt;=7,"+",IF(MOD(AH515+0.5,10)&lt;3,"-",""))),"")</f>
        <v/>
      </c>
      <c r="AK515" s="71" t="b">
        <f>IF(A515&lt;&gt;"",OR(AI515&lt;&gt;AC515,AJ515&lt;&gt;AD515),"")</f>
        <v>0</v>
      </c>
      <c r="AL515" s="86">
        <f>IF(AND(A515&lt;&gt;"",U515&lt;&gt;""),SUM(U515,$AL$8)/$AL$2*100,"")</f>
        <v>94.666666666666671</v>
      </c>
      <c r="AM515" s="71">
        <f>IF(AND(A515&lt;&gt;"",V515&lt;&gt;""),SUM(V515,$AM$8)/$AM$2*100,"")</f>
        <v>102.30769230769229</v>
      </c>
      <c r="AN515" s="71">
        <f>IF(AND(A515&lt;&gt;"",ISNUMBER(P515),P515&gt;=0),SUM(P515,$AN$8)/$AN$2*100,"")</f>
        <v>101</v>
      </c>
      <c r="AO515" s="71" t="str">
        <f>IF(AND(A515&lt;&gt;"",ISNUMBER(Q515),Q515&gt;=0),SUM(Q515,$AO$8)/$AO$2*100,"")</f>
        <v/>
      </c>
      <c r="AP515" s="24" t="str">
        <f>IF(AND(A515&lt;&gt;"",R515&lt;&gt;""),SUM(R515,$AP$8)/$AP$2*100,"")</f>
        <v/>
      </c>
      <c r="AQ515" s="24">
        <f>IF(AND(A515&lt;&gt;"",ISNUMBER(W515),W515&gt;=0),SUM(W515,$AQ$8)/$AQ$2*100,"")</f>
        <v>101</v>
      </c>
      <c r="AR515" s="24" t="str">
        <f>IF(AND(A515&lt;&gt;"",T515&gt;0,ISNUMBER(T515)),SUM(T515,$AR$8)/$AR$2*100,"")</f>
        <v/>
      </c>
      <c r="AS515" s="24" t="str">
        <f>IF(AND(A515&lt;&gt;"",X515&lt;&gt;""),SUM(X515,$AS$8)/$AS$2*100,"")</f>
        <v/>
      </c>
      <c r="AT515" s="89">
        <f>IF(AND(A515&lt;&gt;"",OR(ISNUMBER(W515),ISNUMBER(X515))),SUM(W515:X515,$AT$8)/$AT$2*100,"")</f>
        <v>101</v>
      </c>
      <c r="AU515" s="24">
        <f>AA515</f>
        <v>100.32786885245901</v>
      </c>
      <c r="AV515" s="71"/>
      <c r="AW515" s="27">
        <f>IF(A515&lt;&gt;"",AE515-AA515,"")</f>
        <v>0.67213114754099479</v>
      </c>
      <c r="AY515" s="27" t="b">
        <f>S515&gt;R515</f>
        <v>0</v>
      </c>
      <c r="BA515" s="27" t="e">
        <f>AND(AA515&gt;$BA$3,(W515+$W$8)/$W$2&lt;$BB$3,(X515+$X$8)/$X$2&lt;$BB$3)</f>
        <v>#VALUE!</v>
      </c>
      <c r="BB515" s="27" t="e">
        <f>AND(AA515&lt;$BA$3,AND(W515/$W$2&gt;$BB$3,X515/$X$2&gt;$BB$3))</f>
        <v>#VALUE!</v>
      </c>
      <c r="BC515" s="27" t="e">
        <f>AND(AA515&lt;$BA$3,OR(W515/$W$2&gt;$BB$3,X515/$X$2&gt;$BB$3))</f>
        <v>#VALUE!</v>
      </c>
      <c r="BE515" s="32">
        <v>32</v>
      </c>
    </row>
    <row r="516" spans="1:58" s="27" customFormat="1" ht="12.75" customHeight="1" x14ac:dyDescent="0.2">
      <c r="A516" s="10">
        <v>981012</v>
      </c>
      <c r="B516" s="2">
        <v>24</v>
      </c>
      <c r="C516" s="10">
        <v>25</v>
      </c>
      <c r="D516" s="10">
        <v>25</v>
      </c>
      <c r="E516" s="10"/>
      <c r="F516" s="10"/>
      <c r="G516" s="10"/>
      <c r="H516" s="10"/>
      <c r="I516" s="10"/>
      <c r="J516" s="2">
        <v>31</v>
      </c>
      <c r="K516" s="10">
        <v>52</v>
      </c>
      <c r="L516" s="10">
        <v>52</v>
      </c>
      <c r="M516" s="10"/>
      <c r="N516" s="93"/>
      <c r="O516" s="13"/>
      <c r="P516" s="10">
        <v>101</v>
      </c>
      <c r="Q516" s="10"/>
      <c r="R516" s="2"/>
      <c r="S516" s="10"/>
      <c r="T516" s="13"/>
      <c r="U516" s="7">
        <f t="array" ref="U516">IF(AND(A516&lt;&gt;"",OR(ISNUMBER(B516:I516))),SUM(B516:I516),"")</f>
        <v>74</v>
      </c>
      <c r="V516" s="10">
        <f t="array" ref="V516">IF(AND(A516&lt;&gt;"",OR(ISNUMBER(J516:O516))),SUM(J516:O516),"")</f>
        <v>135</v>
      </c>
      <c r="W516" s="10">
        <f t="array" ref="W516">IF(AND(A516&lt;&gt;"",OR(ISNUMBER(P516),ISNUMBER(Q516))),SUM(MAX(P516:Q516),Q516),"")</f>
        <v>101</v>
      </c>
      <c r="X516" s="10" t="str">
        <f t="array" ref="X516">IF(AND(A516&lt;&gt;"",OR(ISNUMBER(S516),ISNUMBER(T516))),SUM(S516,T516),"")</f>
        <v/>
      </c>
      <c r="Y516" s="13">
        <v>1</v>
      </c>
      <c r="Z516" s="13">
        <f>IF(A516&lt;&gt;"",SUM(U516:Y516),"")</f>
        <v>311</v>
      </c>
      <c r="AA516" s="27">
        <f>IF(A516&lt;&gt;"",(Z516+Normalize_To_Add)/(Point_Total_So_Far)*100,"")</f>
        <v>101.9672131147541</v>
      </c>
      <c r="AB516" s="10">
        <f>IF(A516&lt;&gt;"",RANK(AA516,All_Student_XC),"")</f>
        <v>7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>
        <f>IF(A516&lt;&gt;"",SUM(W516:X516,$W$8:$X$8)/SUM($W$2:$X$2)*100,"")</f>
        <v>101</v>
      </c>
      <c r="AF516" s="32" t="str">
        <f>IF(A516&lt;&gt;"",CHOOSE(10-MIN(9,TRUNC((AE516+0.5)/10)),"A","B","C","D","F","F","F","F","F","F"),"")</f>
        <v>A</v>
      </c>
      <c r="AG516" s="32" t="str">
        <f>IF(A516&lt;&gt;"",IF(OR(AE516+0.5&gt;=93,AE516+0.5&lt;60),"",IF(MOD(AE516+0.5,10)&gt;=7,"+",IF(MOD(AE516+0.5,10)&lt;3,"-",""))),"")</f>
        <v/>
      </c>
      <c r="AH516" s="36">
        <f>IF(A516&lt;&gt;"",MIN(MAX(AA516,AE516),AA516+$AH$8,AE516+$AH$8),"")</f>
        <v>101.9672131147541</v>
      </c>
      <c r="AI516" s="32" t="str">
        <f>IF(A516&lt;&gt;"",CHOOSE(10-MIN(9,TRUNC((AH516+0.5)/10)),"A","B","C","D","F","F","F","F","F","F"),"")</f>
        <v>A</v>
      </c>
      <c r="AJ516" s="32" t="str">
        <f>IF(A516&lt;&gt;"",IF(OR(AH516+0.5&gt;=93,AH516+0.5&lt;60),"",IF(MOD(AH516+0.5,10)&gt;=7,"+",IF(MOD(AH516+0.5,10)&lt;3,"-",""))),"")</f>
        <v/>
      </c>
      <c r="AK516" s="71" t="b">
        <f>IF(A516&lt;&gt;"",OR(AI516&lt;&gt;AC516,AJ516&lt;&gt;AD516),"")</f>
        <v>0</v>
      </c>
      <c r="AL516" s="86">
        <f>IF(AND(A516&lt;&gt;"",U516&lt;&gt;""),SUM(U516,$AL$8)/$AL$2*100,"")</f>
        <v>98.666666666666671</v>
      </c>
      <c r="AM516" s="71">
        <f>IF(AND(A516&lt;&gt;"",V516&lt;&gt;""),SUM(V516,$AM$8)/$AM$2*100,"")</f>
        <v>103.84615384615385</v>
      </c>
      <c r="AN516" s="71">
        <f>IF(AND(A516&lt;&gt;"",ISNUMBER(P516),P516&gt;=0),SUM(P516,$AN$8)/$AN$2*100,"")</f>
        <v>101</v>
      </c>
      <c r="AO516" s="71" t="str">
        <f>IF(AND(A516&lt;&gt;"",ISNUMBER(Q516),Q516&gt;=0),SUM(Q516,$AO$8)/$AO$2*100,"")</f>
        <v/>
      </c>
      <c r="AP516" s="24" t="str">
        <f>IF(AND(A516&lt;&gt;"",R516&lt;&gt;""),SUM(R516,$AP$8)/$AP$2*100,"")</f>
        <v/>
      </c>
      <c r="AQ516" s="24">
        <f>IF(AND(A516&lt;&gt;"",ISNUMBER(W516),W516&gt;=0),SUM(W516,$AQ$8)/$AQ$2*100,"")</f>
        <v>101</v>
      </c>
      <c r="AR516" s="24" t="str">
        <f>IF(AND(A516&lt;&gt;"",T516&gt;0,ISNUMBER(T516)),SUM(T516,$AR$8)/$AR$2*100,"")</f>
        <v/>
      </c>
      <c r="AS516" s="24" t="str">
        <f>IF(AND(A516&lt;&gt;"",X516&lt;&gt;""),SUM(X516,$AS$8)/$AS$2*100,"")</f>
        <v/>
      </c>
      <c r="AT516" s="89">
        <f>IF(AND(A516&lt;&gt;"",OR(ISNUMBER(W516),ISNUMBER(X516))),SUM(W516:X516,$AT$8)/$AT$2*100,"")</f>
        <v>101</v>
      </c>
      <c r="AU516" s="24">
        <f>AA516</f>
        <v>101.9672131147541</v>
      </c>
      <c r="AV516" s="71"/>
      <c r="AW516" s="27">
        <f>IF(A516&lt;&gt;"",AE516-AA516,"")</f>
        <v>-0.96721311475410232</v>
      </c>
      <c r="AY516" s="27" t="b">
        <f>S516&gt;R516</f>
        <v>0</v>
      </c>
      <c r="BA516" s="27" t="e">
        <f>AND(AA516&gt;$BA$3,(W516+$W$8)/$W$2&lt;$BB$3,(X516+$X$8)/$X$2&lt;$BB$3)</f>
        <v>#VALUE!</v>
      </c>
      <c r="BB516" s="27" t="e">
        <f>AND(AA516&lt;$BA$3,AND(W516/$W$2&gt;$BB$3,X516/$X$2&gt;$BB$3))</f>
        <v>#VALUE!</v>
      </c>
      <c r="BC516" s="27" t="e">
        <f>AND(AA516&lt;$BA$3,OR(W516/$W$2&gt;$BB$3,X516/$X$2&gt;$BB$3))</f>
        <v>#VALUE!</v>
      </c>
      <c r="BE516" s="32" t="s">
        <v>84</v>
      </c>
    </row>
    <row r="517" spans="1:58" s="27" customFormat="1" ht="12.75" customHeight="1" x14ac:dyDescent="0.2">
      <c r="A517" s="10">
        <v>981437</v>
      </c>
      <c r="B517" s="2">
        <v>24</v>
      </c>
      <c r="C517" s="10">
        <v>21</v>
      </c>
      <c r="D517" s="10">
        <v>20</v>
      </c>
      <c r="E517" s="10"/>
      <c r="F517" s="10"/>
      <c r="G517" s="3"/>
      <c r="H517" s="10"/>
      <c r="I517" s="10"/>
      <c r="J517" s="2">
        <v>29</v>
      </c>
      <c r="K517" s="10">
        <v>50</v>
      </c>
      <c r="L517" s="10">
        <v>22</v>
      </c>
      <c r="M517" s="10"/>
      <c r="N517" s="10"/>
      <c r="O517" s="12"/>
      <c r="P517" s="41">
        <v>100</v>
      </c>
      <c r="Q517" s="41"/>
      <c r="R517" s="2"/>
      <c r="S517" s="10"/>
      <c r="T517" s="13"/>
      <c r="U517" s="7">
        <f t="array" ref="U517">IF(AND(A517&lt;&gt;"",OR(ISNUMBER(B517:I517))),SUM(B517:I517),"")</f>
        <v>65</v>
      </c>
      <c r="V517" s="10">
        <f t="array" ref="V517">IF(AND(A517&lt;&gt;"",OR(ISNUMBER(J517:O517))),SUM(J517:O517),"")</f>
        <v>101</v>
      </c>
      <c r="W517" s="10">
        <f t="array" ref="W517">IF(AND(A517&lt;&gt;"",OR(ISNUMBER(P517),ISNUMBER(Q517))),SUM(MAX(P517:Q517),Q517),"")</f>
        <v>100</v>
      </c>
      <c r="X517" s="10" t="str">
        <f t="array" ref="X517">IF(AND(A517&lt;&gt;"",OR(ISNUMBER(S517),ISNUMBER(T517))),SUM(S517,T517),"")</f>
        <v/>
      </c>
      <c r="Y517" s="13">
        <v>1</v>
      </c>
      <c r="Z517" s="13">
        <f>IF(A517&lt;&gt;"",SUM(U517:Y517),"")</f>
        <v>267</v>
      </c>
      <c r="AA517" s="27">
        <f>IF(A517&lt;&gt;"",(Z517+Normalize_To_Add)/(Point_Total_So_Far)*100,"")</f>
        <v>87.540983606557376</v>
      </c>
      <c r="AB517" s="10">
        <f>IF(A517&lt;&gt;"",RANK(AA517,All_Student_XC),"")</f>
        <v>357</v>
      </c>
      <c r="AC517" s="32" t="str">
        <f>IF(A517&lt;&gt;"",CHOOSE(10-MIN(9,TRUNC((AA517+0.5)/10)),"A","B","C","D","F","F","F","F","F","F"),"")</f>
        <v>B</v>
      </c>
      <c r="AD517" s="32" t="str">
        <f>IF(A517&lt;&gt;"",IF(OR(AA517+0.5&gt;=93,AA517+0.5&lt;60),"",IF(MOD(AA517+0.5,10)&gt;=7,"+",IF(MOD(AA517+0.5,10)&lt;3,"-",""))),"")</f>
        <v>+</v>
      </c>
      <c r="AE517" s="32">
        <f>IF(A517&lt;&gt;"",SUM(W517:X517,$W$8:$X$8)/SUM($W$2:$X$2)*100,"")</f>
        <v>100</v>
      </c>
      <c r="AF517" s="32" t="str">
        <f>IF(A517&lt;&gt;"",CHOOSE(10-MIN(9,TRUNC((AE517+0.5)/10)),"A","B","C","D","F","F","F","F","F","F"),"")</f>
        <v>A</v>
      </c>
      <c r="AG517" s="32" t="str">
        <f>IF(A517&lt;&gt;"",IF(OR(AE517+0.5&gt;=93,AE517+0.5&lt;60),"",IF(MOD(AE517+0.5,10)&gt;=7,"+",IF(MOD(AE517+0.5,10)&lt;3,"-",""))),"")</f>
        <v/>
      </c>
      <c r="AH517" s="36">
        <f>IF(A517&lt;&gt;"",MIN(MAX(AA517,AE517),AA517+$AH$8,AE517+$AH$8),"")</f>
        <v>100</v>
      </c>
      <c r="AI517" s="32" t="str">
        <f>IF(A517&lt;&gt;"",CHOOSE(10-MIN(9,TRUNC((AH517+0.5)/10)),"A","B","C","D","F","F","F","F","F","F"),"")</f>
        <v>A</v>
      </c>
      <c r="AJ517" s="32" t="str">
        <f>IF(A517&lt;&gt;"",IF(OR(AH517+0.5&gt;=93,AH517+0.5&lt;60),"",IF(MOD(AH517+0.5,10)&gt;=7,"+",IF(MOD(AH517+0.5,10)&lt;3,"-",""))),"")</f>
        <v/>
      </c>
      <c r="AK517" s="32" t="b">
        <f>IF(A517&lt;&gt;"",OR(AI517&lt;&gt;AC517,AJ517&lt;&gt;AD517),"")</f>
        <v>1</v>
      </c>
      <c r="AL517" s="84">
        <f>IF(AND(A517&lt;&gt;"",U517&lt;&gt;""),SUM(U517,$AL$8)/$AL$2*100,"")</f>
        <v>86.666666666666671</v>
      </c>
      <c r="AM517" s="24">
        <f>IF(AND(A517&lt;&gt;"",V517&lt;&gt;""),SUM(V517,$AM$8)/$AM$2*100,"")</f>
        <v>77.692307692307693</v>
      </c>
      <c r="AN517" s="24">
        <f>IF(AND(A517&lt;&gt;"",ISNUMBER(P517),P517&gt;=0),SUM(P517,$AN$8)/$AN$2*100,"")</f>
        <v>100</v>
      </c>
      <c r="AO517" s="24" t="str">
        <f>IF(AND(A517&lt;&gt;"",ISNUMBER(Q517),Q517&gt;=0),SUM(Q517,$AO$8)/$AO$2*100,"")</f>
        <v/>
      </c>
      <c r="AP517" s="24" t="str">
        <f>IF(AND(A517&lt;&gt;"",R517&lt;&gt;""),SUM(R517,$AP$8)/$AP$2*100,"")</f>
        <v/>
      </c>
      <c r="AQ517" s="24">
        <f>IF(AND(A517&lt;&gt;"",ISNUMBER(W517),W517&gt;=0),SUM(W517,$AQ$8)/$AQ$2*100,"")</f>
        <v>100</v>
      </c>
      <c r="AR517" s="24" t="str">
        <f>IF(AND(A517&lt;&gt;"",T517&gt;0,ISNUMBER(T517)),SUM(T517,$AR$8)/$AR$2*100,"")</f>
        <v/>
      </c>
      <c r="AS517" s="24" t="str">
        <f>IF(AND(A517&lt;&gt;"",X517&lt;&gt;""),SUM(X517,$AS$8)/$AS$2*100,"")</f>
        <v/>
      </c>
      <c r="AT517" s="89">
        <f>IF(AND(A517&lt;&gt;"",OR(ISNUMBER(W517),ISNUMBER(X517))),SUM(W517:X517,$AT$8)/$AT$2*100,"")</f>
        <v>100</v>
      </c>
      <c r="AU517" s="24">
        <f>AA517</f>
        <v>87.540983606557376</v>
      </c>
      <c r="AV517" s="24"/>
      <c r="AW517" s="27">
        <f>IF(A517&lt;&gt;"",AE517-AA517,"")</f>
        <v>12.459016393442624</v>
      </c>
      <c r="AY517" s="27" t="b">
        <f>S517&gt;R517</f>
        <v>0</v>
      </c>
      <c r="BA517" s="27" t="e">
        <f>AND(AA517&gt;$BA$3,(W517+$W$8)/$W$2&lt;$BB$3,(X517+$X$8)/$X$2&lt;$BB$3)</f>
        <v>#VALUE!</v>
      </c>
      <c r="BB517" s="27" t="e">
        <f>AND(AA517&lt;$BA$3,AND(W517/$W$2&gt;$BB$3,X517/$X$2&gt;$BB$3))</f>
        <v>#VALUE!</v>
      </c>
      <c r="BC517" s="27" t="e">
        <f>AND(AA517&lt;$BA$3,OR(W517/$W$2&gt;$BB$3,X517/$X$2&gt;$BB$3))</f>
        <v>#VALUE!</v>
      </c>
      <c r="BE517" s="32" t="s">
        <v>85</v>
      </c>
    </row>
    <row r="518" spans="1:58" s="27" customFormat="1" ht="12.75" customHeight="1" x14ac:dyDescent="0.2">
      <c r="A518" s="10">
        <v>984154</v>
      </c>
      <c r="B518" s="2">
        <v>21</v>
      </c>
      <c r="C518" s="10">
        <v>22</v>
      </c>
      <c r="D518" s="10">
        <v>25</v>
      </c>
      <c r="E518" s="10"/>
      <c r="F518" s="10"/>
      <c r="G518" s="10"/>
      <c r="H518" s="10"/>
      <c r="I518" s="10"/>
      <c r="J518" s="2">
        <v>28</v>
      </c>
      <c r="K518" s="10">
        <v>51</v>
      </c>
      <c r="L518" s="10">
        <v>51</v>
      </c>
      <c r="M518" s="10"/>
      <c r="N518" s="93"/>
      <c r="O518" s="13"/>
      <c r="P518" s="10">
        <v>100</v>
      </c>
      <c r="Q518" s="10"/>
      <c r="R518" s="2"/>
      <c r="S518" s="10"/>
      <c r="T518" s="13"/>
      <c r="U518" s="7">
        <f t="array" ref="U518">IF(AND(A518&lt;&gt;"",OR(ISNUMBER(B518:I518))),SUM(B518:I518),"")</f>
        <v>68</v>
      </c>
      <c r="V518" s="10">
        <f t="array" ref="V518">IF(AND(A518&lt;&gt;"",OR(ISNUMBER(J518:O518))),SUM(J518:O518),"")</f>
        <v>130</v>
      </c>
      <c r="W518" s="10">
        <f t="array" ref="W518">IF(AND(A518&lt;&gt;"",OR(ISNUMBER(P518),ISNUMBER(Q518))),SUM(MAX(P518:Q518),Q518),"")</f>
        <v>100</v>
      </c>
      <c r="X518" s="10" t="str">
        <f t="array" ref="X518">IF(AND(A518&lt;&gt;"",OR(ISNUMBER(S518),ISNUMBER(T518))),SUM(S518,T518),"")</f>
        <v/>
      </c>
      <c r="Y518" s="13">
        <v>1</v>
      </c>
      <c r="Z518" s="13">
        <f>IF(A518&lt;&gt;"",SUM(U518:Y518),"")</f>
        <v>299</v>
      </c>
      <c r="AA518" s="27">
        <f>IF(A518&lt;&gt;"",(Z518+Normalize_To_Add)/(Point_Total_So_Far)*100,"")</f>
        <v>98.032786885245898</v>
      </c>
      <c r="AB518" s="10">
        <f>IF(A518&lt;&gt;"",RANK(AA518,All_Student_XC),"")</f>
        <v>195</v>
      </c>
      <c r="AC518" s="32" t="str">
        <f>IF(A518&lt;&gt;"",CHOOSE(10-MIN(9,TRUNC((AA518+0.5)/10)),"A","B","C","D","F","F","F","F","F","F"),"")</f>
        <v>A</v>
      </c>
      <c r="AD518" s="31" t="str">
        <f>IF(A518&lt;&gt;"",IF(OR(AA518+0.5&gt;=93,AA518+0.5&lt;60),"",IF(MOD(AA518+0.5,10)&gt;=7,"+",IF(MOD(AA518+0.5,10)&lt;3,"-",""))),"")</f>
        <v/>
      </c>
      <c r="AE518" s="32">
        <f>IF(A518&lt;&gt;"",SUM(W518:X518,$W$8:$X$8)/SUM($W$2:$X$2)*100,"")</f>
        <v>100</v>
      </c>
      <c r="AF518" s="32" t="str">
        <f>IF(A518&lt;&gt;"",CHOOSE(10-MIN(9,TRUNC((AE518+0.5)/10)),"A","B","C","D","F","F","F","F","F","F"),"")</f>
        <v>A</v>
      </c>
      <c r="AG518" s="32" t="str">
        <f>IF(A518&lt;&gt;"",IF(OR(AE518+0.5&gt;=93,AE518+0.5&lt;60),"",IF(MOD(AE518+0.5,10)&gt;=7,"+",IF(MOD(AE518+0.5,10)&lt;3,"-",""))),"")</f>
        <v/>
      </c>
      <c r="AH518" s="36">
        <f>IF(A518&lt;&gt;"",MIN(MAX(AA518,AE518),AA518+$AH$8,AE518+$AH$8),"")</f>
        <v>100</v>
      </c>
      <c r="AI518" s="32" t="str">
        <f>IF(A518&lt;&gt;"",CHOOSE(10-MIN(9,TRUNC((AH518+0.5)/10)),"A","B","C","D","F","F","F","F","F","F"),"")</f>
        <v>A</v>
      </c>
      <c r="AJ518" s="32" t="str">
        <f>IF(A518&lt;&gt;"",IF(OR(AH518+0.5&gt;=93,AH518+0.5&lt;60),"",IF(MOD(AH518+0.5,10)&gt;=7,"+",IF(MOD(AH518+0.5,10)&lt;3,"-",""))),"")</f>
        <v/>
      </c>
      <c r="AK518" s="71" t="b">
        <f>IF(A518&lt;&gt;"",OR(AI518&lt;&gt;AC518,AJ518&lt;&gt;AD518),"")</f>
        <v>0</v>
      </c>
      <c r="AL518" s="86">
        <f>IF(AND(A518&lt;&gt;"",U518&lt;&gt;""),SUM(U518,$AL$8)/$AL$2*100,"")</f>
        <v>90.666666666666657</v>
      </c>
      <c r="AM518" s="71">
        <f>IF(AND(A518&lt;&gt;"",V518&lt;&gt;""),SUM(V518,$AM$8)/$AM$2*100,"")</f>
        <v>100</v>
      </c>
      <c r="AN518" s="71">
        <f>IF(AND(A518&lt;&gt;"",ISNUMBER(P518),P518&gt;=0),SUM(P518,$AN$8)/$AN$2*100,"")</f>
        <v>100</v>
      </c>
      <c r="AO518" s="71" t="str">
        <f>IF(AND(A518&lt;&gt;"",ISNUMBER(Q518),Q518&gt;=0),SUM(Q518,$AO$8)/$AO$2*100,"")</f>
        <v/>
      </c>
      <c r="AP518" s="24" t="str">
        <f>IF(AND(A518&lt;&gt;"",R518&lt;&gt;""),SUM(R518,$AP$8)/$AP$2*100,"")</f>
        <v/>
      </c>
      <c r="AQ518" s="24">
        <f>IF(AND(A518&lt;&gt;"",ISNUMBER(W518),W518&gt;=0),SUM(W518,$AQ$8)/$AQ$2*100,"")</f>
        <v>100</v>
      </c>
      <c r="AR518" s="24" t="str">
        <f>IF(AND(A518&lt;&gt;"",T518&gt;0,ISNUMBER(T518)),SUM(T518,$AR$8)/$AR$2*100,"")</f>
        <v/>
      </c>
      <c r="AS518" s="24" t="str">
        <f>IF(AND(A518&lt;&gt;"",X518&lt;&gt;""),SUM(X518,$AS$8)/$AS$2*100,"")</f>
        <v/>
      </c>
      <c r="AT518" s="89">
        <f>IF(AND(A518&lt;&gt;"",OR(ISNUMBER(W518),ISNUMBER(X518))),SUM(W518:X518,$AT$8)/$AT$2*100,"")</f>
        <v>100</v>
      </c>
      <c r="AU518" s="24">
        <f>AA518</f>
        <v>98.032786885245898</v>
      </c>
      <c r="AV518" s="71"/>
      <c r="AW518" s="27">
        <f>IF(A518&lt;&gt;"",AE518-AA518,"")</f>
        <v>1.9672131147541023</v>
      </c>
      <c r="AY518" s="27" t="b">
        <f>S518&gt;R518</f>
        <v>0</v>
      </c>
      <c r="BA518" s="27" t="e">
        <f>AND(AA518&gt;$BA$3,(W518+$W$8)/$W$2&lt;$BB$3,(X518+$X$8)/$X$2&lt;$BB$3)</f>
        <v>#VALUE!</v>
      </c>
      <c r="BB518" s="27" t="e">
        <f>AND(AA518&lt;$BA$3,AND(W518/$W$2&gt;$BB$3,X518/$X$2&gt;$BB$3))</f>
        <v>#VALUE!</v>
      </c>
      <c r="BC518" s="27" t="e">
        <f>AND(AA518&lt;$BA$3,OR(W518/$W$2&gt;$BB$3,X518/$X$2&gt;$BB$3))</f>
        <v>#VALUE!</v>
      </c>
      <c r="BE518" s="32" t="s">
        <v>84</v>
      </c>
    </row>
    <row r="519" spans="1:58" s="27" customFormat="1" ht="12.75" customHeight="1" x14ac:dyDescent="0.2">
      <c r="A519" s="10">
        <v>986030</v>
      </c>
      <c r="B519" s="2">
        <v>24</v>
      </c>
      <c r="C519" s="10" t="s">
        <v>67</v>
      </c>
      <c r="D519" s="10">
        <v>25</v>
      </c>
      <c r="E519" s="10"/>
      <c r="F519" s="10"/>
      <c r="G519" s="3"/>
      <c r="H519" s="10"/>
      <c r="I519" s="10"/>
      <c r="J519" s="2">
        <v>28</v>
      </c>
      <c r="K519" s="10">
        <v>38</v>
      </c>
      <c r="L519" s="10">
        <v>34</v>
      </c>
      <c r="M519" s="10"/>
      <c r="N519" s="10"/>
      <c r="O519" s="12"/>
      <c r="P519" s="56">
        <v>98</v>
      </c>
      <c r="Q519" s="7"/>
      <c r="R519" s="2"/>
      <c r="S519" s="10"/>
      <c r="T519" s="13"/>
      <c r="U519" s="77">
        <f t="array" ref="U519">IF(AND(A519&lt;&gt;"",OR(ISNUMBER(B519:I519))),SUM(B519:I519),"")</f>
        <v>49</v>
      </c>
      <c r="V519" s="10">
        <f t="array" ref="V519">IF(AND(A519&lt;&gt;"",OR(ISNUMBER(J519:O519))),SUM(J519:O519),"")</f>
        <v>100</v>
      </c>
      <c r="W519" s="10">
        <f t="array" ref="W519">IF(AND(A519&lt;&gt;"",OR(ISNUMBER(P519),ISNUMBER(Q519))),SUM(MAX(P519:Q519),Q519),"")</f>
        <v>98</v>
      </c>
      <c r="X519" s="10" t="str">
        <f t="array" ref="X519">IF(AND(A519&lt;&gt;"",OR(ISNUMBER(S519),ISNUMBER(T519))),SUM(S519,T519),"")</f>
        <v/>
      </c>
      <c r="Y519" s="13">
        <v>1</v>
      </c>
      <c r="Z519" s="13">
        <f>IF(A519&lt;&gt;"",SUM(U519:Y519),"")</f>
        <v>248</v>
      </c>
      <c r="AA519" s="27">
        <f>IF(A519&lt;&gt;"",(Z519+Normalize_To_Add)/(Point_Total_So_Far)*100,"")</f>
        <v>81.311475409836063</v>
      </c>
      <c r="AB519" s="10">
        <f>IF(A519&lt;&gt;"",RANK(AA519,All_Student_XC),"")</f>
        <v>404</v>
      </c>
      <c r="AC519" s="32" t="str">
        <f>IF(A519&lt;&gt;"",CHOOSE(10-MIN(9,TRUNC((AA519+0.5)/10)),"A","B","C","D","F","F","F","F","F","F"),"")</f>
        <v>B</v>
      </c>
      <c r="AD519" s="32" t="str">
        <f>IF(A519&lt;&gt;"",IF(OR(AA519+0.5&gt;=93,AA519+0.5&lt;60),"",IF(MOD(AA519+0.5,10)&gt;=7,"+",IF(MOD(AA519+0.5,10)&lt;3,"-",""))),"")</f>
        <v>-</v>
      </c>
      <c r="AE519" s="32">
        <f>IF(A519&lt;&gt;"",SUM(W519:X519,$W$8:$X$8)/SUM($W$2:$X$2)*100,"")</f>
        <v>98</v>
      </c>
      <c r="AF519" s="32" t="str">
        <f>IF(A519&lt;&gt;"",CHOOSE(10-MIN(9,TRUNC((AE519+0.5)/10)),"A","B","C","D","F","F","F","F","F","F"),"")</f>
        <v>A</v>
      </c>
      <c r="AG519" s="32" t="str">
        <f>IF(A519&lt;&gt;"",IF(OR(AE519+0.5&gt;=93,AE519+0.5&lt;60),"",IF(MOD(AE519+0.5,10)&gt;=7,"+",IF(MOD(AE519+0.5,10)&lt;3,"-",""))),"")</f>
        <v/>
      </c>
      <c r="AH519" s="36">
        <f>IF(A519&lt;&gt;"",MIN(MAX(AA519,AE519),AA519+$AH$8,AE519+$AH$8),"")</f>
        <v>98</v>
      </c>
      <c r="AI519" s="32" t="str">
        <f>IF(A519&lt;&gt;"",CHOOSE(10-MIN(9,TRUNC((AH519+0.5)/10)),"A","B","C","D","F","F","F","F","F","F"),"")</f>
        <v>A</v>
      </c>
      <c r="AJ519" s="32" t="str">
        <f>IF(A519&lt;&gt;"",IF(OR(AH519+0.5&gt;=93,AH519+0.5&lt;60),"",IF(MOD(AH519+0.5,10)&gt;=7,"+",IF(MOD(AH519+0.5,10)&lt;3,"-",""))),"")</f>
        <v/>
      </c>
      <c r="AK519" s="32" t="b">
        <f>IF(A519&lt;&gt;"",OR(AI519&lt;&gt;AC519,AJ519&lt;&gt;AD519),"")</f>
        <v>1</v>
      </c>
      <c r="AL519" s="84">
        <f>IF(AND(A519&lt;&gt;"",U519&lt;&gt;""),SUM(U519,$AL$8)/$AL$2*100,"")</f>
        <v>65.333333333333329</v>
      </c>
      <c r="AM519" s="24">
        <f>IF(AND(A519&lt;&gt;"",V519&lt;&gt;""),SUM(V519,$AM$8)/$AM$2*100,"")</f>
        <v>76.923076923076934</v>
      </c>
      <c r="AN519" s="24">
        <f>IF(AND(A519&lt;&gt;"",ISNUMBER(P519),P519&gt;=0),SUM(P519,$AN$8)/$AN$2*100,"")</f>
        <v>98</v>
      </c>
      <c r="AO519" s="24" t="str">
        <f>IF(AND(A519&lt;&gt;"",ISNUMBER(Q519),Q519&gt;=0),SUM(Q519,$AO$8)/$AO$2*100,"")</f>
        <v/>
      </c>
      <c r="AP519" s="24" t="str">
        <f>IF(AND(A519&lt;&gt;"",R519&lt;&gt;""),SUM(R519,$AP$8)/$AP$2*100,"")</f>
        <v/>
      </c>
      <c r="AQ519" s="24">
        <f>IF(AND(A519&lt;&gt;"",ISNUMBER(W519),W519&gt;=0),SUM(W519,$AQ$8)/$AQ$2*100,"")</f>
        <v>98</v>
      </c>
      <c r="AR519" s="24" t="str">
        <f>IF(AND(A519&lt;&gt;"",T519&gt;0,ISNUMBER(T519)),SUM(T519,$AR$8)/$AR$2*100,"")</f>
        <v/>
      </c>
      <c r="AS519" s="24" t="str">
        <f>IF(AND(A519&lt;&gt;"",X519&lt;&gt;""),SUM(X519,$AS$8)/$AS$2*100,"")</f>
        <v/>
      </c>
      <c r="AT519" s="89">
        <f>IF(AND(A519&lt;&gt;"",OR(ISNUMBER(W519),ISNUMBER(X519))),SUM(W519:X519,$AT$8)/$AT$2*100,"")</f>
        <v>98</v>
      </c>
      <c r="AU519" s="24">
        <f>AA519</f>
        <v>81.311475409836063</v>
      </c>
      <c r="AV519" s="24"/>
      <c r="AW519" s="27">
        <f>IF(A519&lt;&gt;"",AE519-AA519,"")</f>
        <v>16.688524590163937</v>
      </c>
      <c r="AY519" s="27" t="b">
        <f>S519&gt;R519</f>
        <v>0</v>
      </c>
      <c r="BA519" s="27" t="e">
        <f>AND(AA519&gt;$BA$3,(W519+$W$8)/$W$2&lt;$BB$3,(X519+$X$8)/$X$2&lt;$BB$3)</f>
        <v>#VALUE!</v>
      </c>
      <c r="BB519" s="27" t="e">
        <f>AND(AA519&lt;$BA$3,AND(W519/$W$2&gt;$BB$3,X519/$X$2&gt;$BB$3))</f>
        <v>#VALUE!</v>
      </c>
      <c r="BC519" s="27" t="e">
        <f>AND(AA519&lt;$BA$3,OR(W519/$W$2&gt;$BB$3,X519/$X$2&gt;$BB$3))</f>
        <v>#VALUE!</v>
      </c>
      <c r="BE519" s="32">
        <v>32</v>
      </c>
      <c r="BF519" s="58"/>
    </row>
    <row r="520" spans="1:58" s="27" customFormat="1" ht="12.75" customHeight="1" x14ac:dyDescent="0.2">
      <c r="A520" s="10">
        <v>987386</v>
      </c>
      <c r="B520" s="2">
        <v>8</v>
      </c>
      <c r="C520" s="10">
        <v>7</v>
      </c>
      <c r="D520" s="10">
        <v>3</v>
      </c>
      <c r="E520" s="10"/>
      <c r="F520" s="10"/>
      <c r="G520" s="3"/>
      <c r="H520" s="10"/>
      <c r="I520" s="10"/>
      <c r="J520" s="2">
        <v>32</v>
      </c>
      <c r="K520" s="10">
        <v>51</v>
      </c>
      <c r="L520" s="10">
        <v>41</v>
      </c>
      <c r="M520" s="10"/>
      <c r="N520" s="10"/>
      <c r="O520" s="12"/>
      <c r="P520" s="10">
        <v>60</v>
      </c>
      <c r="Q520" s="7"/>
      <c r="R520" s="2"/>
      <c r="S520" s="10"/>
      <c r="T520" s="13"/>
      <c r="U520" s="35">
        <f t="array" ref="U520">IF(AND(A520&lt;&gt;"",OR(ISNUMBER(B520:I520))),SUM(B520:I520),"")</f>
        <v>18</v>
      </c>
      <c r="V520" s="10">
        <f t="array" ref="V520">IF(AND(A520&lt;&gt;"",OR(ISNUMBER(J520:O520))),SUM(J520:O520),"")</f>
        <v>124</v>
      </c>
      <c r="W520" s="10">
        <f t="array" ref="W520">IF(AND(A520&lt;&gt;"",OR(ISNUMBER(P520),ISNUMBER(Q520))),SUM(MAX(P520:Q520),Q520),"")</f>
        <v>60</v>
      </c>
      <c r="X520" s="10" t="str">
        <f t="array" ref="X520">IF(AND(A520&lt;&gt;"",OR(ISNUMBER(S520),ISNUMBER(T520))),SUM(S520,T520),"")</f>
        <v/>
      </c>
      <c r="Y520" s="13">
        <v>1</v>
      </c>
      <c r="Z520" s="13">
        <f>IF(A520&lt;&gt;"",SUM(U520:Y520),"")</f>
        <v>203</v>
      </c>
      <c r="AA520" s="27">
        <f>IF(A520&lt;&gt;"",(Z520+Normalize_To_Add)/(Point_Total_So_Far)*100,"")</f>
        <v>66.557377049180332</v>
      </c>
      <c r="AB520" s="10">
        <f>IF(A520&lt;&gt;"",RANK(AA520,All_Student_XC),"")</f>
        <v>465</v>
      </c>
      <c r="AC520" s="32" t="str">
        <f>IF(A520&lt;&gt;"",CHOOSE(10-MIN(9,TRUNC((AA520+0.5)/10)),"A","B","C","D","F","F","F","F","F","F"),"")</f>
        <v>D</v>
      </c>
      <c r="AD520" s="32" t="str">
        <f>IF(A520&lt;&gt;"",IF(OR(AA520+0.5&gt;=93,AA520+0.5&lt;60),"",IF(MOD(AA520+0.5,10)&gt;=7,"+",IF(MOD(AA520+0.5,10)&lt;3,"-",""))),"")</f>
        <v>+</v>
      </c>
      <c r="AE520" s="32">
        <f>IF(A520&lt;&gt;"",SUM(W520:X520,$W$8:$X$8)/SUM($W$2:$X$2)*100,"")</f>
        <v>60</v>
      </c>
      <c r="AF520" s="32" t="str">
        <f>IF(A520&lt;&gt;"",CHOOSE(10-MIN(9,TRUNC((AE520+0.5)/10)),"A","B","C","D","F","F","F","F","F","F"),"")</f>
        <v>D</v>
      </c>
      <c r="AG520" s="32" t="str">
        <f>IF(A520&lt;&gt;"",IF(OR(AE520+0.5&gt;=93,AE520+0.5&lt;60),"",IF(MOD(AE520+0.5,10)&gt;=7,"+",IF(MOD(AE520+0.5,10)&lt;3,"-",""))),"")</f>
        <v>-</v>
      </c>
      <c r="AH520" s="36">
        <f>IF(A520&lt;&gt;"",MIN(MAX(AA520,AE520),AA520+$AH$8,AE520+$AH$8),"")</f>
        <v>66.557377049180332</v>
      </c>
      <c r="AI520" s="32" t="str">
        <f>IF(A520&lt;&gt;"",CHOOSE(10-MIN(9,TRUNC((AH520+0.5)/10)),"A","B","C","D","F","F","F","F","F","F"),"")</f>
        <v>D</v>
      </c>
      <c r="AJ520" s="32" t="str">
        <f>IF(A520&lt;&gt;"",IF(OR(AH520+0.5&gt;=93,AH520+0.5&lt;60),"",IF(MOD(AH520+0.5,10)&gt;=7,"+",IF(MOD(AH520+0.5,10)&lt;3,"-",""))),"")</f>
        <v>+</v>
      </c>
      <c r="AK520" s="32" t="b">
        <f>IF(A520&lt;&gt;"",OR(AI520&lt;&gt;AC520,AJ520&lt;&gt;AD520),"")</f>
        <v>0</v>
      </c>
      <c r="AL520" s="84">
        <f>IF(AND(A520&lt;&gt;"",U520&lt;&gt;""),SUM(U520,$AL$8)/$AL$2*100,"")</f>
        <v>24</v>
      </c>
      <c r="AM520" s="24">
        <f>IF(AND(A520&lt;&gt;"",V520&lt;&gt;""),SUM(V520,$AM$8)/$AM$2*100,"")</f>
        <v>95.384615384615387</v>
      </c>
      <c r="AN520" s="24">
        <f>IF(AND(A520&lt;&gt;"",ISNUMBER(P520),P520&gt;=0),SUM(P520,$AN$8)/$AN$2*100,"")</f>
        <v>60</v>
      </c>
      <c r="AO520" s="24" t="str">
        <f>IF(AND(A520&lt;&gt;"",ISNUMBER(Q520),Q520&gt;=0),SUM(Q520,$AO$8)/$AO$2*100,"")</f>
        <v/>
      </c>
      <c r="AP520" s="24" t="str">
        <f>IF(AND(A520&lt;&gt;"",R520&lt;&gt;""),SUM(R520,$AP$8)/$AP$2*100,"")</f>
        <v/>
      </c>
      <c r="AQ520" s="24">
        <f>IF(AND(A520&lt;&gt;"",ISNUMBER(W520),W520&gt;=0),SUM(W520,$AQ$8)/$AQ$2*100,"")</f>
        <v>60</v>
      </c>
      <c r="AR520" s="24" t="str">
        <f>IF(AND(A520&lt;&gt;"",T520&gt;0,ISNUMBER(T520)),SUM(T520,$AR$8)/$AR$2*100,"")</f>
        <v/>
      </c>
      <c r="AS520" s="24" t="str">
        <f>IF(AND(A520&lt;&gt;"",X520&lt;&gt;""),SUM(X520,$AS$8)/$AS$2*100,"")</f>
        <v/>
      </c>
      <c r="AT520" s="89">
        <f>IF(AND(A520&lt;&gt;"",OR(ISNUMBER(W520),ISNUMBER(X520))),SUM(W520:X520,$AT$8)/$AT$2*100,"")</f>
        <v>60</v>
      </c>
      <c r="AU520" s="24">
        <f>AA520</f>
        <v>66.557377049180332</v>
      </c>
      <c r="AV520" s="24"/>
      <c r="AW520" s="27">
        <f>IF(A520&lt;&gt;"",AE520-AA520,"")</f>
        <v>-6.5573770491803316</v>
      </c>
      <c r="AY520" s="27" t="b">
        <f>S520&gt;R520</f>
        <v>0</v>
      </c>
      <c r="BA520" s="27" t="e">
        <f>AND(AA520&gt;$BA$3,(W520+$W$8)/$W$2&lt;$BB$3,(X520+$X$8)/$X$2&lt;$BB$3)</f>
        <v>#VALUE!</v>
      </c>
      <c r="BB520" s="27" t="e">
        <f>AND(AA520&lt;$BA$3,AND(W520/$W$2&gt;$BB$3,X520/$X$2&gt;$BB$3))</f>
        <v>#VALUE!</v>
      </c>
      <c r="BC520" s="27" t="e">
        <f>AND(AA520&lt;$BA$3,OR(W520/$W$2&gt;$BB$3,X520/$X$2&gt;$BB$3))</f>
        <v>#VALUE!</v>
      </c>
      <c r="BE520" s="32" t="s">
        <v>85</v>
      </c>
    </row>
    <row r="521" spans="1:58" s="27" customFormat="1" ht="12.75" customHeight="1" x14ac:dyDescent="0.2">
      <c r="A521" s="10">
        <v>988244</v>
      </c>
      <c r="B521" s="2">
        <v>20</v>
      </c>
      <c r="C521" s="10">
        <v>13</v>
      </c>
      <c r="D521" s="10">
        <v>22</v>
      </c>
      <c r="E521" s="10"/>
      <c r="F521" s="10"/>
      <c r="G521" s="10"/>
      <c r="H521" s="10"/>
      <c r="I521" s="10"/>
      <c r="J521" s="2">
        <v>30</v>
      </c>
      <c r="K521" s="10">
        <v>33</v>
      </c>
      <c r="L521" s="10">
        <v>26</v>
      </c>
      <c r="M521" s="10"/>
      <c r="N521" s="93"/>
      <c r="O521" s="13"/>
      <c r="P521" s="10">
        <v>100</v>
      </c>
      <c r="Q521" s="10"/>
      <c r="R521" s="2"/>
      <c r="S521" s="10"/>
      <c r="T521" s="13"/>
      <c r="U521" s="7">
        <f t="array" ref="U521">IF(AND(A521&lt;&gt;"",OR(ISNUMBER(B521:I521))),SUM(B521:I521),"")</f>
        <v>55</v>
      </c>
      <c r="V521" s="10">
        <f t="array" ref="V521">IF(AND(A521&lt;&gt;"",OR(ISNUMBER(J521:O521))),SUM(J521:O521),"")</f>
        <v>89</v>
      </c>
      <c r="W521" s="10">
        <f t="array" ref="W521">IF(AND(A521&lt;&gt;"",OR(ISNUMBER(P521),ISNUMBER(Q521))),SUM(MAX(P521:Q521),Q521),"")</f>
        <v>100</v>
      </c>
      <c r="X521" s="10" t="str">
        <f t="array" ref="X521">IF(AND(A521&lt;&gt;"",OR(ISNUMBER(S521),ISNUMBER(T521))),SUM(S521,T521),"")</f>
        <v/>
      </c>
      <c r="Y521" s="13">
        <v>1</v>
      </c>
      <c r="Z521" s="13">
        <f>IF(A521&lt;&gt;"",SUM(U521:Y521),"")</f>
        <v>245</v>
      </c>
      <c r="AA521" s="27">
        <f>IF(A521&lt;&gt;"",(Z521+Normalize_To_Add)/(Point_Total_So_Far)*100,"")</f>
        <v>80.327868852459019</v>
      </c>
      <c r="AB521" s="10">
        <f>IF(A521&lt;&gt;"",RANK(AA521,All_Student_XC),"")</f>
        <v>409</v>
      </c>
      <c r="AC521" s="32" t="str">
        <f>IF(A521&lt;&gt;"",CHOOSE(10-MIN(9,TRUNC((AA521+0.5)/10)),"A","B","C","D","F","F","F","F","F","F"),"")</f>
        <v>B</v>
      </c>
      <c r="AD521" s="31" t="str">
        <f>IF(A521&lt;&gt;"",IF(OR(AA521+0.5&gt;=93,AA521+0.5&lt;60),"",IF(MOD(AA521+0.5,10)&gt;=7,"+",IF(MOD(AA521+0.5,10)&lt;3,"-",""))),"")</f>
        <v>-</v>
      </c>
      <c r="AE521" s="32">
        <f>IF(A521&lt;&gt;"",SUM(W521:X521,$W$8:$X$8)/SUM($W$2:$X$2)*100,"")</f>
        <v>100</v>
      </c>
      <c r="AF521" s="32" t="str">
        <f>IF(A521&lt;&gt;"",CHOOSE(10-MIN(9,TRUNC((AE521+0.5)/10)),"A","B","C","D","F","F","F","F","F","F"),"")</f>
        <v>A</v>
      </c>
      <c r="AG521" s="32" t="str">
        <f>IF(A521&lt;&gt;"",IF(OR(AE521+0.5&gt;=93,AE521+0.5&lt;60),"",IF(MOD(AE521+0.5,10)&gt;=7,"+",IF(MOD(AE521+0.5,10)&lt;3,"-",""))),"")</f>
        <v/>
      </c>
      <c r="AH521" s="36">
        <f>IF(A521&lt;&gt;"",MIN(MAX(AA521,AE521),AA521+$AH$8,AE521+$AH$8),"")</f>
        <v>100</v>
      </c>
      <c r="AI521" s="32" t="str">
        <f>IF(A521&lt;&gt;"",CHOOSE(10-MIN(9,TRUNC((AH521+0.5)/10)),"A","B","C","D","F","F","F","F","F","F"),"")</f>
        <v>A</v>
      </c>
      <c r="AJ521" s="32" t="str">
        <f>IF(A521&lt;&gt;"",IF(OR(AH521+0.5&gt;=93,AH521+0.5&lt;60),"",IF(MOD(AH521+0.5,10)&gt;=7,"+",IF(MOD(AH521+0.5,10)&lt;3,"-",""))),"")</f>
        <v/>
      </c>
      <c r="AK521" s="71" t="b">
        <f>IF(A521&lt;&gt;"",OR(AI521&lt;&gt;AC521,AJ521&lt;&gt;AD521),"")</f>
        <v>1</v>
      </c>
      <c r="AL521" s="86">
        <f>IF(AND(A521&lt;&gt;"",U521&lt;&gt;""),SUM(U521,$AL$8)/$AL$2*100,"")</f>
        <v>73.333333333333329</v>
      </c>
      <c r="AM521" s="71">
        <f>IF(AND(A521&lt;&gt;"",V521&lt;&gt;""),SUM(V521,$AM$8)/$AM$2*100,"")</f>
        <v>68.461538461538467</v>
      </c>
      <c r="AN521" s="71">
        <f>IF(AND(A521&lt;&gt;"",ISNUMBER(P521),P521&gt;=0),SUM(P521,$AN$8)/$AN$2*100,"")</f>
        <v>100</v>
      </c>
      <c r="AO521" s="71" t="str">
        <f>IF(AND(A521&lt;&gt;"",ISNUMBER(Q521),Q521&gt;=0),SUM(Q521,$AO$8)/$AO$2*100,"")</f>
        <v/>
      </c>
      <c r="AP521" s="24" t="str">
        <f>IF(AND(A521&lt;&gt;"",R521&lt;&gt;""),SUM(R521,$AP$8)/$AP$2*100,"")</f>
        <v/>
      </c>
      <c r="AQ521" s="24">
        <f>IF(AND(A521&lt;&gt;"",ISNUMBER(W521),W521&gt;=0),SUM(W521,$AQ$8)/$AQ$2*100,"")</f>
        <v>100</v>
      </c>
      <c r="AR521" s="24" t="str">
        <f>IF(AND(A521&lt;&gt;"",T521&gt;0,ISNUMBER(T521)),SUM(T521,$AR$8)/$AR$2*100,"")</f>
        <v/>
      </c>
      <c r="AS521" s="24" t="str">
        <f>IF(AND(A521&lt;&gt;"",X521&lt;&gt;""),SUM(X521,$AS$8)/$AS$2*100,"")</f>
        <v/>
      </c>
      <c r="AT521" s="89">
        <f>IF(AND(A521&lt;&gt;"",OR(ISNUMBER(W521),ISNUMBER(X521))),SUM(W521:X521,$AT$8)/$AT$2*100,"")</f>
        <v>100</v>
      </c>
      <c r="AU521" s="24">
        <f>AA521</f>
        <v>80.327868852459019</v>
      </c>
      <c r="AV521" s="71"/>
      <c r="AW521" s="27">
        <f>IF(A521&lt;&gt;"",AE521-AA521,"")</f>
        <v>19.672131147540981</v>
      </c>
      <c r="AY521" s="27" t="b">
        <f>S521&gt;R521</f>
        <v>0</v>
      </c>
      <c r="BA521" s="27" t="e">
        <f>AND(AA521&gt;$BA$3,(W521+$W$8)/$W$2&lt;$BB$3,(X521+$X$8)/$X$2&lt;$BB$3)</f>
        <v>#VALUE!</v>
      </c>
      <c r="BB521" s="27" t="e">
        <f>AND(AA521&lt;$BA$3,AND(W521/$W$2&gt;$BB$3,X521/$X$2&gt;$BB$3))</f>
        <v>#VALUE!</v>
      </c>
      <c r="BC521" s="27" t="e">
        <f>AND(AA521&lt;$BA$3,OR(W521/$W$2&gt;$BB$3,X521/$X$2&gt;$BB$3))</f>
        <v>#VALUE!</v>
      </c>
      <c r="BE521" s="32">
        <v>32</v>
      </c>
    </row>
    <row r="522" spans="1:58" s="27" customFormat="1" ht="12.75" customHeight="1" x14ac:dyDescent="0.2">
      <c r="A522" s="10">
        <v>990353</v>
      </c>
      <c r="B522" s="2">
        <v>24</v>
      </c>
      <c r="C522" s="10">
        <v>23</v>
      </c>
      <c r="D522" s="10">
        <v>22</v>
      </c>
      <c r="E522" s="10"/>
      <c r="F522" s="10"/>
      <c r="G522" s="10"/>
      <c r="H522" s="10"/>
      <c r="I522" s="10"/>
      <c r="J522" s="2">
        <v>27</v>
      </c>
      <c r="K522" s="10">
        <v>52</v>
      </c>
      <c r="L522" s="10">
        <v>52</v>
      </c>
      <c r="M522" s="10"/>
      <c r="N522" s="10"/>
      <c r="O522" s="12"/>
      <c r="P522" s="41">
        <v>101</v>
      </c>
      <c r="Q522" s="41"/>
      <c r="R522" s="2"/>
      <c r="S522" s="10"/>
      <c r="T522" s="13"/>
      <c r="U522" s="7">
        <f t="array" ref="U522">IF(AND(A522&lt;&gt;"",OR(ISNUMBER(B522:I522))),SUM(B522:I522),"")</f>
        <v>69</v>
      </c>
      <c r="V522" s="10">
        <f t="array" ref="V522">IF(AND(A522&lt;&gt;"",OR(ISNUMBER(J522:O522))),SUM(J522:O522),"")</f>
        <v>131</v>
      </c>
      <c r="W522" s="10">
        <f t="array" ref="W522">IF(AND(A522&lt;&gt;"",OR(ISNUMBER(P522),ISNUMBER(Q522))),SUM(MAX(P522:Q522),Q522),"")</f>
        <v>101</v>
      </c>
      <c r="X522" s="10" t="str">
        <f t="array" ref="X522">IF(AND(A522&lt;&gt;"",OR(ISNUMBER(S522),ISNUMBER(T522))),SUM(S522,T522),"")</f>
        <v/>
      </c>
      <c r="Y522" s="13">
        <v>1</v>
      </c>
      <c r="Z522" s="13">
        <f>IF(A522&lt;&gt;"",SUM(U522:Y522),"")</f>
        <v>302</v>
      </c>
      <c r="AA522" s="27">
        <f>IF(A522&lt;&gt;"",(Z522+Normalize_To_Add)/(Point_Total_So_Far)*100,"")</f>
        <v>99.016393442622956</v>
      </c>
      <c r="AB522" s="10">
        <f>IF(A522&lt;&gt;"",RANK(AA522,All_Student_XC),"")</f>
        <v>164</v>
      </c>
      <c r="AC522" s="32" t="str">
        <f>IF(A522&lt;&gt;"",CHOOSE(10-MIN(9,TRUNC((AA522+0.5)/10)),"A","B","C","D","F","F","F","F","F","F"),"")</f>
        <v>A</v>
      </c>
      <c r="AD522" s="32" t="str">
        <f>IF(A522&lt;&gt;"",IF(OR(AA522+0.5&gt;=93,AA522+0.5&lt;60),"",IF(MOD(AA522+0.5,10)&gt;=7,"+",IF(MOD(AA522+0.5,10)&lt;3,"-",""))),"")</f>
        <v/>
      </c>
      <c r="AE522" s="32">
        <f>IF(A522&lt;&gt;"",SUM(W522:X522,$W$8:$X$8)/SUM($W$2:$X$2)*100,"")</f>
        <v>101</v>
      </c>
      <c r="AF522" s="32" t="str">
        <f>IF(A522&lt;&gt;"",CHOOSE(10-MIN(9,TRUNC((AE522+0.5)/10)),"A","B","C","D","F","F","F","F","F","F"),"")</f>
        <v>A</v>
      </c>
      <c r="AG522" s="32" t="str">
        <f>IF(A522&lt;&gt;"",IF(OR(AE522+0.5&gt;=93,AE522+0.5&lt;60),"",IF(MOD(AE522+0.5,10)&gt;=7,"+",IF(MOD(AE522+0.5,10)&lt;3,"-",""))),"")</f>
        <v/>
      </c>
      <c r="AH522" s="36">
        <f>IF(A522&lt;&gt;"",MIN(MAX(AA522,AE522),AA522+$AH$8,AE522+$AH$8),"")</f>
        <v>101</v>
      </c>
      <c r="AI522" s="32" t="str">
        <f>IF(A522&lt;&gt;"",CHOOSE(10-MIN(9,TRUNC((AH522+0.5)/10)),"A","B","C","D","F","F","F","F","F","F"),"")</f>
        <v>A</v>
      </c>
      <c r="AJ522" s="32" t="str">
        <f>IF(A522&lt;&gt;"",IF(OR(AH522+0.5&gt;=93,AH522+0.5&lt;60),"",IF(MOD(AH522+0.5,10)&gt;=7,"+",IF(MOD(AH522+0.5,10)&lt;3,"-",""))),"")</f>
        <v/>
      </c>
      <c r="AK522" s="32" t="b">
        <f>IF(A522&lt;&gt;"",OR(AI522&lt;&gt;AC522,AJ522&lt;&gt;AD522),"")</f>
        <v>0</v>
      </c>
      <c r="AL522" s="84">
        <f>IF(AND(A522&lt;&gt;"",U522&lt;&gt;""),SUM(U522,$AL$8)/$AL$2*100,"")</f>
        <v>92</v>
      </c>
      <c r="AM522" s="24">
        <f>IF(AND(A522&lt;&gt;"",V522&lt;&gt;""),SUM(V522,$AM$8)/$AM$2*100,"")</f>
        <v>100.76923076923077</v>
      </c>
      <c r="AN522" s="24">
        <f>IF(AND(A522&lt;&gt;"",ISNUMBER(P522),P522&gt;=0),SUM(P522,$AN$8)/$AN$2*100,"")</f>
        <v>101</v>
      </c>
      <c r="AO522" s="24" t="str">
        <f>IF(AND(A522&lt;&gt;"",ISNUMBER(Q522),Q522&gt;=0),SUM(Q522,$AO$8)/$AO$2*100,"")</f>
        <v/>
      </c>
      <c r="AP522" s="24" t="str">
        <f>IF(AND(A522&lt;&gt;"",R522&lt;&gt;""),SUM(R522,$AP$8)/$AP$2*100,"")</f>
        <v/>
      </c>
      <c r="AQ522" s="24">
        <f>IF(AND(A522&lt;&gt;"",ISNUMBER(W522),W522&gt;=0),SUM(W522,$AQ$8)/$AQ$2*100,"")</f>
        <v>101</v>
      </c>
      <c r="AR522" s="24" t="str">
        <f>IF(AND(A522&lt;&gt;"",T522&gt;0,ISNUMBER(T522)),SUM(T522,$AR$8)/$AR$2*100,"")</f>
        <v/>
      </c>
      <c r="AS522" s="24" t="str">
        <f>IF(AND(A522&lt;&gt;"",X522&lt;&gt;""),SUM(X522,$AS$8)/$AS$2*100,"")</f>
        <v/>
      </c>
      <c r="AT522" s="89">
        <f>IF(AND(A522&lt;&gt;"",OR(ISNUMBER(W522),ISNUMBER(X522))),SUM(W522:X522,$AT$8)/$AT$2*100,"")</f>
        <v>101</v>
      </c>
      <c r="AU522" s="24">
        <f>AA522</f>
        <v>99.016393442622956</v>
      </c>
      <c r="AV522" s="24"/>
      <c r="AW522" s="27">
        <f>IF(A522&lt;&gt;"",AE522-AA522,"")</f>
        <v>1.9836065573770441</v>
      </c>
      <c r="AY522" s="27" t="b">
        <f>S522&gt;R522</f>
        <v>0</v>
      </c>
      <c r="BA522" s="27" t="e">
        <f>AND(AA522&gt;$BA$3,(W522+$W$8)/$W$2&lt;$BB$3,(X522+$X$8)/$X$2&lt;$BB$3)</f>
        <v>#VALUE!</v>
      </c>
      <c r="BB522" s="27" t="e">
        <f>AND(AA522&lt;$BA$3,AND(W522/$W$2&gt;$BB$3,X522/$X$2&gt;$BB$3))</f>
        <v>#VALUE!</v>
      </c>
      <c r="BC522" s="27" t="e">
        <f>AND(AA522&lt;$BA$3,OR(W522/$W$2&gt;$BB$3,X522/$X$2&gt;$BB$3))</f>
        <v>#VALUE!</v>
      </c>
      <c r="BE522" s="32" t="s">
        <v>84</v>
      </c>
    </row>
    <row r="523" spans="1:58" s="27" customFormat="1" ht="12.75" customHeight="1" x14ac:dyDescent="0.2">
      <c r="A523" s="10">
        <v>990472</v>
      </c>
      <c r="B523" s="2">
        <v>24</v>
      </c>
      <c r="C523" s="10">
        <v>23</v>
      </c>
      <c r="D523" s="10">
        <v>25</v>
      </c>
      <c r="E523" s="10"/>
      <c r="F523" s="10"/>
      <c r="G523" s="10"/>
      <c r="H523" s="10"/>
      <c r="I523" s="10"/>
      <c r="J523" s="2">
        <v>32</v>
      </c>
      <c r="K523" s="10">
        <v>44</v>
      </c>
      <c r="L523" s="10">
        <v>50</v>
      </c>
      <c r="M523" s="10"/>
      <c r="N523" s="10"/>
      <c r="O523" s="12"/>
      <c r="P523" s="41">
        <v>80</v>
      </c>
      <c r="Q523" s="41"/>
      <c r="R523" s="2"/>
      <c r="S523" s="10"/>
      <c r="T523" s="13"/>
      <c r="U523" s="7">
        <f t="array" ref="U523">IF(AND(A523&lt;&gt;"",OR(ISNUMBER(B523:I523))),SUM(B523:I523),"")</f>
        <v>72</v>
      </c>
      <c r="V523" s="10">
        <f t="array" ref="V523">IF(AND(A523&lt;&gt;"",OR(ISNUMBER(J523:O523))),SUM(J523:O523),"")</f>
        <v>126</v>
      </c>
      <c r="W523" s="10">
        <f t="array" ref="W523">IF(AND(A523&lt;&gt;"",OR(ISNUMBER(P523),ISNUMBER(Q523))),SUM(MAX(P523:Q523),Q523),"")</f>
        <v>80</v>
      </c>
      <c r="X523" s="10" t="str">
        <f t="array" ref="X523">IF(AND(A523&lt;&gt;"",OR(ISNUMBER(S523),ISNUMBER(T523))),SUM(S523,T523),"")</f>
        <v/>
      </c>
      <c r="Y523" s="13">
        <v>1</v>
      </c>
      <c r="Z523" s="13">
        <f>IF(A523&lt;&gt;"",SUM(U523:Y523),"")</f>
        <v>279</v>
      </c>
      <c r="AA523" s="27">
        <f>IF(A523&lt;&gt;"",(Z523+Normalize_To_Add)/(Point_Total_So_Far)*100,"")</f>
        <v>91.475409836065566</v>
      </c>
      <c r="AB523" s="10">
        <f>IF(A523&lt;&gt;"",RANK(AA523,All_Student_XC),"")</f>
        <v>315</v>
      </c>
      <c r="AC523" s="32" t="str">
        <f>IF(A523&lt;&gt;"",CHOOSE(10-MIN(9,TRUNC((AA523+0.5)/10)),"A","B","C","D","F","F","F","F","F","F"),"")</f>
        <v>A</v>
      </c>
      <c r="AD523" s="32" t="str">
        <f>IF(A523&lt;&gt;"",IF(OR(AA523+0.5&gt;=93,AA523+0.5&lt;60),"",IF(MOD(AA523+0.5,10)&gt;=7,"+",IF(MOD(AA523+0.5,10)&lt;3,"-",""))),"")</f>
        <v>-</v>
      </c>
      <c r="AE523" s="32">
        <f>IF(A523&lt;&gt;"",SUM(W523:X523,$W$8:$X$8)/SUM($W$2:$X$2)*100,"")</f>
        <v>80</v>
      </c>
      <c r="AF523" s="32" t="str">
        <f>IF(A523&lt;&gt;"",CHOOSE(10-MIN(9,TRUNC((AE523+0.5)/10)),"A","B","C","D","F","F","F","F","F","F"),"")</f>
        <v>B</v>
      </c>
      <c r="AG523" s="32" t="str">
        <f>IF(A523&lt;&gt;"",IF(OR(AE523+0.5&gt;=93,AE523+0.5&lt;60),"",IF(MOD(AE523+0.5,10)&gt;=7,"+",IF(MOD(AE523+0.5,10)&lt;3,"-",""))),"")</f>
        <v>-</v>
      </c>
      <c r="AH523" s="36">
        <f>IF(A523&lt;&gt;"",MIN(MAX(AA523,AE523),AA523+$AH$8,AE523+$AH$8),"")</f>
        <v>91.475409836065566</v>
      </c>
      <c r="AI523" s="32" t="str">
        <f>IF(A523&lt;&gt;"",CHOOSE(10-MIN(9,TRUNC((AH523+0.5)/10)),"A","B","C","D","F","F","F","F","F","F"),"")</f>
        <v>A</v>
      </c>
      <c r="AJ523" s="32" t="str">
        <f>IF(A523&lt;&gt;"",IF(OR(AH523+0.5&gt;=93,AH523+0.5&lt;60),"",IF(MOD(AH523+0.5,10)&gt;=7,"+",IF(MOD(AH523+0.5,10)&lt;3,"-",""))),"")</f>
        <v>-</v>
      </c>
      <c r="AK523" s="32" t="b">
        <f>IF(A523&lt;&gt;"",OR(AI523&lt;&gt;AC523,AJ523&lt;&gt;AD523),"")</f>
        <v>0</v>
      </c>
      <c r="AL523" s="84">
        <f>IF(AND(A523&lt;&gt;"",U523&lt;&gt;""),SUM(U523,$AL$8)/$AL$2*100,"")</f>
        <v>96</v>
      </c>
      <c r="AM523" s="24">
        <f>IF(AND(A523&lt;&gt;"",V523&lt;&gt;""),SUM(V523,$AM$8)/$AM$2*100,"")</f>
        <v>96.92307692307692</v>
      </c>
      <c r="AN523" s="24">
        <f>IF(AND(A523&lt;&gt;"",ISNUMBER(P523),P523&gt;=0),SUM(P523,$AN$8)/$AN$2*100,"")</f>
        <v>80</v>
      </c>
      <c r="AO523" s="24" t="str">
        <f>IF(AND(A523&lt;&gt;"",ISNUMBER(Q523),Q523&gt;=0),SUM(Q523,$AO$8)/$AO$2*100,"")</f>
        <v/>
      </c>
      <c r="AP523" s="24" t="str">
        <f>IF(AND(A523&lt;&gt;"",R523&lt;&gt;""),SUM(R523,$AP$8)/$AP$2*100,"")</f>
        <v/>
      </c>
      <c r="AQ523" s="24">
        <f>IF(AND(A523&lt;&gt;"",ISNUMBER(W523),W523&gt;=0),SUM(W523,$AQ$8)/$AQ$2*100,"")</f>
        <v>80</v>
      </c>
      <c r="AR523" s="24" t="str">
        <f>IF(AND(A523&lt;&gt;"",T523&gt;0,ISNUMBER(T523)),SUM(T523,$AR$8)/$AR$2*100,"")</f>
        <v/>
      </c>
      <c r="AS523" s="24" t="str">
        <f>IF(AND(A523&lt;&gt;"",X523&lt;&gt;""),SUM(X523,$AS$8)/$AS$2*100,"")</f>
        <v/>
      </c>
      <c r="AT523" s="89">
        <f>IF(AND(A523&lt;&gt;"",OR(ISNUMBER(W523),ISNUMBER(X523))),SUM(W523:X523,$AT$8)/$AT$2*100,"")</f>
        <v>80</v>
      </c>
      <c r="AU523" s="24">
        <f>AA523</f>
        <v>91.475409836065566</v>
      </c>
      <c r="AV523" s="24"/>
      <c r="AW523" s="27">
        <f>IF(A523&lt;&gt;"",AE523-AA523,"")</f>
        <v>-11.475409836065566</v>
      </c>
      <c r="AY523" s="27" t="b">
        <f>S523&gt;R523</f>
        <v>0</v>
      </c>
      <c r="BA523" s="27" t="e">
        <f>AND(AA523&gt;$BA$3,(W523+$W$8)/$W$2&lt;$BB$3,(X523+$X$8)/$X$2&lt;$BB$3)</f>
        <v>#VALUE!</v>
      </c>
      <c r="BB523" s="27" t="e">
        <f>AND(AA523&lt;$BA$3,AND(W523/$W$2&gt;$BB$3,X523/$X$2&gt;$BB$3))</f>
        <v>#VALUE!</v>
      </c>
      <c r="BC523" s="27" t="e">
        <f>AND(AA523&lt;$BA$3,OR(W523/$W$2&gt;$BB$3,X523/$X$2&gt;$BB$3))</f>
        <v>#VALUE!</v>
      </c>
      <c r="BE523" s="32" t="s">
        <v>85</v>
      </c>
    </row>
    <row r="524" spans="1:58" s="27" customFormat="1" ht="12.75" customHeight="1" x14ac:dyDescent="0.2">
      <c r="A524" s="10">
        <v>991741</v>
      </c>
      <c r="B524" s="2">
        <v>21</v>
      </c>
      <c r="C524" s="10">
        <v>21</v>
      </c>
      <c r="D524" s="10">
        <v>20</v>
      </c>
      <c r="E524" s="10"/>
      <c r="F524" s="10"/>
      <c r="G524" s="10"/>
      <c r="H524" s="10"/>
      <c r="I524" s="10"/>
      <c r="J524" s="2">
        <v>28</v>
      </c>
      <c r="K524" s="10">
        <v>51</v>
      </c>
      <c r="L524" s="10">
        <v>51</v>
      </c>
      <c r="M524" s="10"/>
      <c r="N524" s="93"/>
      <c r="O524" s="13"/>
      <c r="P524" s="10">
        <v>101</v>
      </c>
      <c r="Q524" s="10"/>
      <c r="R524" s="2"/>
      <c r="S524" s="10"/>
      <c r="T524" s="13"/>
      <c r="U524" s="7">
        <f t="array" ref="U524">IF(AND(A524&lt;&gt;"",OR(ISNUMBER(B524:I524))),SUM(B524:I524),"")</f>
        <v>62</v>
      </c>
      <c r="V524" s="10">
        <f t="array" ref="V524">IF(AND(A524&lt;&gt;"",OR(ISNUMBER(J524:O524))),SUM(J524:O524),"")</f>
        <v>130</v>
      </c>
      <c r="W524" s="10">
        <f t="array" ref="W524">IF(AND(A524&lt;&gt;"",OR(ISNUMBER(P524),ISNUMBER(Q524))),SUM(MAX(P524:Q524),Q524),"")</f>
        <v>101</v>
      </c>
      <c r="X524" s="10" t="str">
        <f t="array" ref="X524">IF(AND(A524&lt;&gt;"",OR(ISNUMBER(S524),ISNUMBER(T524))),SUM(S524,T524),"")</f>
        <v/>
      </c>
      <c r="Y524" s="13">
        <v>1</v>
      </c>
      <c r="Z524" s="13">
        <f>IF(A524&lt;&gt;"",SUM(U524:Y524),"")</f>
        <v>294</v>
      </c>
      <c r="AA524" s="27">
        <f>IF(A524&lt;&gt;"",(Z524+Normalize_To_Add)/(Point_Total_So_Far)*100,"")</f>
        <v>96.393442622950815</v>
      </c>
      <c r="AB524" s="10">
        <f>IF(A524&lt;&gt;"",RANK(AA524,All_Student_XC),"")</f>
        <v>251</v>
      </c>
      <c r="AC524" s="32" t="str">
        <f>IF(A524&lt;&gt;"",CHOOSE(10-MIN(9,TRUNC((AA524+0.5)/10)),"A","B","C","D","F","F","F","F","F","F"),"")</f>
        <v>A</v>
      </c>
      <c r="AD524" s="31" t="str">
        <f>IF(A524&lt;&gt;"",IF(OR(AA524+0.5&gt;=93,AA524+0.5&lt;60),"",IF(MOD(AA524+0.5,10)&gt;=7,"+",IF(MOD(AA524+0.5,10)&lt;3,"-",""))),"")</f>
        <v/>
      </c>
      <c r="AE524" s="32">
        <f>IF(A524&lt;&gt;"",SUM(W524:X524,$W$8:$X$8)/SUM($W$2:$X$2)*100,"")</f>
        <v>101</v>
      </c>
      <c r="AF524" s="32" t="str">
        <f>IF(A524&lt;&gt;"",CHOOSE(10-MIN(9,TRUNC((AE524+0.5)/10)),"A","B","C","D","F","F","F","F","F","F"),"")</f>
        <v>A</v>
      </c>
      <c r="AG524" s="32" t="str">
        <f>IF(A524&lt;&gt;"",IF(OR(AE524+0.5&gt;=93,AE524+0.5&lt;60),"",IF(MOD(AE524+0.5,10)&gt;=7,"+",IF(MOD(AE524+0.5,10)&lt;3,"-",""))),"")</f>
        <v/>
      </c>
      <c r="AH524" s="36">
        <f>IF(A524&lt;&gt;"",MIN(MAX(AA524,AE524),AA524+$AH$8,AE524+$AH$8),"")</f>
        <v>101</v>
      </c>
      <c r="AI524" s="32" t="str">
        <f>IF(A524&lt;&gt;"",CHOOSE(10-MIN(9,TRUNC((AH524+0.5)/10)),"A","B","C","D","F","F","F","F","F","F"),"")</f>
        <v>A</v>
      </c>
      <c r="AJ524" s="32" t="str">
        <f>IF(A524&lt;&gt;"",IF(OR(AH524+0.5&gt;=93,AH524+0.5&lt;60),"",IF(MOD(AH524+0.5,10)&gt;=7,"+",IF(MOD(AH524+0.5,10)&lt;3,"-",""))),"")</f>
        <v/>
      </c>
      <c r="AK524" s="71" t="b">
        <f>IF(A524&lt;&gt;"",OR(AI524&lt;&gt;AC524,AJ524&lt;&gt;AD524),"")</f>
        <v>0</v>
      </c>
      <c r="AL524" s="86">
        <f>IF(AND(A524&lt;&gt;"",U524&lt;&gt;""),SUM(U524,$AL$8)/$AL$2*100,"")</f>
        <v>82.666666666666671</v>
      </c>
      <c r="AM524" s="71">
        <f>IF(AND(A524&lt;&gt;"",V524&lt;&gt;""),SUM(V524,$AM$8)/$AM$2*100,"")</f>
        <v>100</v>
      </c>
      <c r="AN524" s="71">
        <f>IF(AND(A524&lt;&gt;"",ISNUMBER(P524),P524&gt;=0),SUM(P524,$AN$8)/$AN$2*100,"")</f>
        <v>101</v>
      </c>
      <c r="AO524" s="71" t="str">
        <f>IF(AND(A524&lt;&gt;"",ISNUMBER(Q524),Q524&gt;=0),SUM(Q524,$AO$8)/$AO$2*100,"")</f>
        <v/>
      </c>
      <c r="AP524" s="24" t="str">
        <f>IF(AND(A524&lt;&gt;"",R524&lt;&gt;""),SUM(R524,$AP$8)/$AP$2*100,"")</f>
        <v/>
      </c>
      <c r="AQ524" s="24">
        <f>IF(AND(A524&lt;&gt;"",ISNUMBER(W524),W524&gt;=0),SUM(W524,$AQ$8)/$AQ$2*100,"")</f>
        <v>101</v>
      </c>
      <c r="AR524" s="24" t="str">
        <f>IF(AND(A524&lt;&gt;"",T524&gt;0,ISNUMBER(T524)),SUM(T524,$AR$8)/$AR$2*100,"")</f>
        <v/>
      </c>
      <c r="AS524" s="24" t="str">
        <f>IF(AND(A524&lt;&gt;"",X524&lt;&gt;""),SUM(X524,$AS$8)/$AS$2*100,"")</f>
        <v/>
      </c>
      <c r="AT524" s="89">
        <f>IF(AND(A524&lt;&gt;"",OR(ISNUMBER(W524),ISNUMBER(X524))),SUM(W524:X524,$AT$8)/$AT$2*100,"")</f>
        <v>101</v>
      </c>
      <c r="AU524" s="24">
        <f>AA524</f>
        <v>96.393442622950815</v>
      </c>
      <c r="AV524" s="71"/>
      <c r="AW524" s="27">
        <f>IF(A524&lt;&gt;"",AE524-AA524,"")</f>
        <v>4.6065573770491852</v>
      </c>
      <c r="AY524" s="27" t="b">
        <f>S524&gt;R524</f>
        <v>0</v>
      </c>
      <c r="BA524" s="27" t="e">
        <f>AND(AA524&gt;$BA$3,(W524+$W$8)/$W$2&lt;$BB$3,(X524+$X$8)/$X$2&lt;$BB$3)</f>
        <v>#VALUE!</v>
      </c>
      <c r="BB524" s="27" t="e">
        <f>AND(AA524&lt;$BA$3,AND(W524/$W$2&gt;$BB$3,X524/$X$2&gt;$BB$3))</f>
        <v>#VALUE!</v>
      </c>
      <c r="BC524" s="27" t="e">
        <f>AND(AA524&lt;$BA$3,OR(W524/$W$2&gt;$BB$3,X524/$X$2&gt;$BB$3))</f>
        <v>#VALUE!</v>
      </c>
      <c r="BE524" s="32">
        <v>32</v>
      </c>
    </row>
    <row r="525" spans="1:58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3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>IF(A525&lt;&gt;"",SUM(U525:Y525),"")</f>
        <v/>
      </c>
      <c r="AA525" s="27" t="str">
        <f>IF(A525&lt;&gt;"",(Z525+Normalize_To_Add)/(Point_Total_So_Far)*100,"")</f>
        <v/>
      </c>
      <c r="AB525" s="10" t="str">
        <f>IF(A525&lt;&gt;"",RANK(AA525,All_Student_XC),"")</f>
        <v/>
      </c>
      <c r="AC525" s="32" t="str">
        <f>IF(A525&lt;&gt;"",CHOOSE(10-MIN(9,TRUNC((AA525+0.5)/10)),"A","B","C","D","F","F","F","F","F","F"),"")</f>
        <v/>
      </c>
      <c r="AD525" s="31" t="str">
        <f>IF(A525&lt;&gt;"",IF(OR(AA525+0.5&gt;=93,AA525+0.5&lt;60),"",IF(MOD(AA525+0.5,10)&gt;=7,"+",IF(MOD(AA525+0.5,10)&lt;3,"-",""))),"")</f>
        <v/>
      </c>
      <c r="AE525" s="32" t="str">
        <f>IF(A525&lt;&gt;"",SUM(W525:X525,$W$8:$X$8)/SUM($W$2:$X$2)*100,"")</f>
        <v/>
      </c>
      <c r="AF525" s="32" t="str">
        <f>IF(A525&lt;&gt;"",CHOOSE(10-MIN(9,TRUNC((AE525+0.5)/10)),"A","B","C","D","F","F","F","F","F","F"),"")</f>
        <v/>
      </c>
      <c r="AG525" s="32" t="str">
        <f>IF(A525&lt;&gt;"",IF(OR(AE525+0.5&gt;=93,AE525+0.5&lt;60),"",IF(MOD(AE525+0.5,10)&gt;=7,"+",IF(MOD(AE525+0.5,10)&lt;3,"-",""))),"")</f>
        <v/>
      </c>
      <c r="AH525" s="36" t="str">
        <f>IF(A525&lt;&gt;"",MIN(MAX(AA525,AE525),AA525+$AH$8,AE525+$AH$8),"")</f>
        <v/>
      </c>
      <c r="AI525" s="32" t="str">
        <f>IF(A525&lt;&gt;"",CHOOSE(10-MIN(9,TRUNC((AH525+0.5)/10)),"A","B","C","D","F","F","F","F","F","F"),"")</f>
        <v/>
      </c>
      <c r="AJ525" s="32" t="str">
        <f>IF(A525&lt;&gt;"",IF(OR(AH525+0.5&gt;=93,AH525+0.5&lt;60),"",IF(MOD(AH525+0.5,10)&gt;=7,"+",IF(MOD(AH525+0.5,10)&lt;3,"-",""))),"")</f>
        <v/>
      </c>
      <c r="AK525" s="71" t="str">
        <f>IF(A525&lt;&gt;"",OR(AI525&lt;&gt;AC525,AJ525&lt;&gt;AD525),"")</f>
        <v/>
      </c>
      <c r="AL525" s="86" t="str">
        <f>IF(AND(A525&lt;&gt;"",U525&lt;&gt;""),SUM(U525,$AL$8)/$AL$2*100,"")</f>
        <v/>
      </c>
      <c r="AM525" s="71" t="str">
        <f>IF(AND(A525&lt;&gt;"",V525&lt;&gt;""),SUM(V525,$AM$8)/$AM$2*100,"")</f>
        <v/>
      </c>
      <c r="AN525" s="71" t="str">
        <f>IF(AND(A525&lt;&gt;"",ISNUMBER(P525),P525&gt;=0),SUM(P525,$AN$8)/$AN$2*100,"")</f>
        <v/>
      </c>
      <c r="AO525" s="71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9" t="str">
        <f>IF(AND(A525&lt;&gt;"",OR(ISNUMBER(W525),ISNUMBER(X525))),SUM(W525:X525,$AT$8)/$AT$2*100,"")</f>
        <v/>
      </c>
      <c r="AU525" s="24" t="str">
        <f>AA525</f>
        <v/>
      </c>
      <c r="AV525" s="71"/>
      <c r="AW525" s="27" t="str">
        <f>IF(A525&lt;&gt;"",AE525-AA525,"")</f>
        <v/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8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3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1" t="str">
        <f>IF(A526&lt;&gt;"",OR(AI526&lt;&gt;AC526,AJ526&lt;&gt;AD526),"")</f>
        <v/>
      </c>
      <c r="AL526" s="86" t="str">
        <f>IF(AND(A526&lt;&gt;"",U526&lt;&gt;""),SUM(U526,$AL$8)/$AL$2*100,"")</f>
        <v/>
      </c>
      <c r="AM526" s="71" t="str">
        <f>IF(AND(A526&lt;&gt;"",V526&lt;&gt;""),SUM(V526,$AM$8)/$AM$2*100,"")</f>
        <v/>
      </c>
      <c r="AN526" s="71" t="str">
        <f>IF(AND(A526&lt;&gt;"",ISNUMBER(P526),P526&gt;=0),SUM(P526,$AN$8)/$AN$2*100,"")</f>
        <v/>
      </c>
      <c r="AO526" s="71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9" t="str">
        <f>IF(AND(A526&lt;&gt;"",OR(ISNUMBER(W526),ISNUMBER(X526))),SUM(W526:X526,$AT$8)/$AT$2*100,"")</f>
        <v/>
      </c>
      <c r="AU526" s="24" t="str">
        <f>AA526</f>
        <v/>
      </c>
      <c r="AV526" s="71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8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3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1" t="str">
        <f>IF(A527&lt;&gt;"",OR(AI527&lt;&gt;AC527,AJ527&lt;&gt;AD527),"")</f>
        <v/>
      </c>
      <c r="AL527" s="86" t="str">
        <f>IF(AND(A527&lt;&gt;"",U527&lt;&gt;""),SUM(U527,$AL$8)/$AL$2*100,"")</f>
        <v/>
      </c>
      <c r="AM527" s="71" t="str">
        <f>IF(AND(A527&lt;&gt;"",V527&lt;&gt;""),SUM(V527,$AM$8)/$AM$2*100,"")</f>
        <v/>
      </c>
      <c r="AN527" s="71" t="str">
        <f>IF(AND(A527&lt;&gt;"",ISNUMBER(P527),P527&gt;=0),SUM(P527,$AN$8)/$AN$2*100,"")</f>
        <v/>
      </c>
      <c r="AO527" s="71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9" t="str">
        <f>IF(AND(A527&lt;&gt;"",OR(ISNUMBER(W527),ISNUMBER(X527))),SUM(W527:X527,$AT$8)/$AT$2*100,"")</f>
        <v/>
      </c>
      <c r="AU527" s="24" t="str">
        <f>AA527</f>
        <v/>
      </c>
      <c r="AV527" s="71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8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3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1" t="str">
        <f>IF(A528&lt;&gt;"",OR(AI528&lt;&gt;AC528,AJ528&lt;&gt;AD528),"")</f>
        <v/>
      </c>
      <c r="AL528" s="86" t="str">
        <f>IF(AND(A528&lt;&gt;"",U528&lt;&gt;""),SUM(U528,$AL$8)/$AL$2*100,"")</f>
        <v/>
      </c>
      <c r="AM528" s="71" t="str">
        <f>IF(AND(A528&lt;&gt;"",V528&lt;&gt;""),SUM(V528,$AM$8)/$AM$2*100,"")</f>
        <v/>
      </c>
      <c r="AN528" s="71" t="str">
        <f>IF(AND(A528&lt;&gt;"",ISNUMBER(P528),P528&gt;=0),SUM(P528,$AN$8)/$AN$2*100,"")</f>
        <v/>
      </c>
      <c r="AO528" s="71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9" t="str">
        <f>IF(AND(A528&lt;&gt;"",OR(ISNUMBER(W528),ISNUMBER(X528))),SUM(W528:X528,$AT$8)/$AT$2*100,"")</f>
        <v/>
      </c>
      <c r="AU528" s="24" t="str">
        <f>AA528</f>
        <v/>
      </c>
      <c r="AV528" s="71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3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1"/>
      <c r="AL529" s="86"/>
      <c r="AM529" s="71"/>
      <c r="AN529" s="71"/>
      <c r="AO529" s="71"/>
      <c r="AP529" s="24"/>
      <c r="AQ529" s="24"/>
      <c r="AR529" s="24"/>
      <c r="AS529" s="24"/>
      <c r="AT529" s="89"/>
      <c r="AU529" s="24"/>
      <c r="AV529" s="71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3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1" t="str">
        <f>IF(A530&lt;&gt;"",OR(AI530&lt;&gt;AC530,AJ530&lt;&gt;AD530),"")</f>
        <v/>
      </c>
      <c r="AL530" s="86" t="str">
        <f>IF(AND(A530&lt;&gt;"",U530&lt;&gt;""),SUM(U530,$AL$8)/$AL$2*100,"")</f>
        <v/>
      </c>
      <c r="AM530" s="71" t="str">
        <f>IF(AND(A530&lt;&gt;"",V530&lt;&gt;""),SUM(V530,$AM$8)/$AM$2*100,"")</f>
        <v/>
      </c>
      <c r="AN530" s="71" t="str">
        <f>IF(AND(A530&lt;&gt;"",ISNUMBER(P530),P530&gt;=0),SUM(P530,$AN$8)/$AN$2*100,"")</f>
        <v/>
      </c>
      <c r="AO530" s="71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9" t="str">
        <f>IF(AND(A530&lt;&gt;"",OR(ISNUMBER(W530),ISNUMBER(X530))),SUM(W530:X530,$AT$8)/$AT$2*100,"")</f>
        <v/>
      </c>
      <c r="AU530" s="24" t="str">
        <f>AA530</f>
        <v/>
      </c>
      <c r="AV530" s="71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3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1" t="str">
        <f>IF(A531&lt;&gt;"",OR(AI531&lt;&gt;AC531,AJ531&lt;&gt;AD531),"")</f>
        <v/>
      </c>
      <c r="AL531" s="86" t="str">
        <f>IF(AND(A531&lt;&gt;"",U531&lt;&gt;""),SUM(U531,$AL$8)/$AL$2*100,"")</f>
        <v/>
      </c>
      <c r="AM531" s="71" t="str">
        <f>IF(AND(A531&lt;&gt;"",V531&lt;&gt;""),SUM(V531,$AM$8)/$AM$2*100,"")</f>
        <v/>
      </c>
      <c r="AN531" s="71" t="str">
        <f>IF(AND(A531&lt;&gt;"",ISNUMBER(P531),P531&gt;=0),SUM(P531,$AN$8)/$AN$2*100,"")</f>
        <v/>
      </c>
      <c r="AO531" s="71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9" t="str">
        <f>IF(AND(A531&lt;&gt;"",OR(ISNUMBER(W531),ISNUMBER(X531))),SUM(W531:X531,$AT$8)/$AT$2*100,"")</f>
        <v/>
      </c>
      <c r="AU531" s="24" t="str">
        <f>AA531</f>
        <v/>
      </c>
      <c r="AV531" s="71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3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1" t="str">
        <f>IF(A532&lt;&gt;"",OR(AI532&lt;&gt;AC532,AJ532&lt;&gt;AD532),"")</f>
        <v/>
      </c>
      <c r="AL532" s="86" t="str">
        <f>IF(AND(A532&lt;&gt;"",U532&lt;&gt;""),SUM(U532,$AL$8)/$AL$2*100,"")</f>
        <v/>
      </c>
      <c r="AM532" s="71" t="str">
        <f>IF(AND(A532&lt;&gt;"",V532&lt;&gt;""),SUM(V532,$AM$8)/$AM$2*100,"")</f>
        <v/>
      </c>
      <c r="AN532" s="71" t="str">
        <f>IF(AND(A532&lt;&gt;"",ISNUMBER(P532),P532&gt;=0),SUM(P532,$AN$8)/$AN$2*100,"")</f>
        <v/>
      </c>
      <c r="AO532" s="71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9" t="str">
        <f>IF(AND(A532&lt;&gt;"",OR(ISNUMBER(W532),ISNUMBER(X532))),SUM(W532:X532,$AT$8)/$AT$2*100,"")</f>
        <v/>
      </c>
      <c r="AU532" s="24" t="str">
        <f>AA532</f>
        <v/>
      </c>
      <c r="AV532" s="71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3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1" t="str">
        <f>IF(A533&lt;&gt;"",OR(AI533&lt;&gt;AC533,AJ533&lt;&gt;AD533),"")</f>
        <v/>
      </c>
      <c r="AL533" s="86" t="str">
        <f>IF(AND(A533&lt;&gt;"",U533&lt;&gt;""),SUM(U533,$AL$8)/$AL$2*100,"")</f>
        <v/>
      </c>
      <c r="AM533" s="71" t="str">
        <f>IF(AND(A533&lt;&gt;"",V533&lt;&gt;""),SUM(V533,$AM$8)/$AM$2*100,"")</f>
        <v/>
      </c>
      <c r="AN533" s="71" t="str">
        <f>IF(AND(A533&lt;&gt;"",ISNUMBER(P533),P533&gt;=0),SUM(P533,$AN$8)/$AN$2*100,"")</f>
        <v/>
      </c>
      <c r="AO533" s="71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9" t="str">
        <f>IF(AND(A533&lt;&gt;"",OR(ISNUMBER(W533),ISNUMBER(X533))),SUM(W533:X533,$AT$8)/$AT$2*100,"")</f>
        <v/>
      </c>
      <c r="AU533" s="24" t="str">
        <f>AA533</f>
        <v/>
      </c>
      <c r="AV533" s="71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3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1" t="str">
        <f>IF(A534&lt;&gt;"",OR(AI534&lt;&gt;AC534,AJ534&lt;&gt;AD534),"")</f>
        <v/>
      </c>
      <c r="AL534" s="86" t="str">
        <f>IF(AND(A534&lt;&gt;"",U534&lt;&gt;""),SUM(U534,$AL$8)/$AL$2*100,"")</f>
        <v/>
      </c>
      <c r="AM534" s="71" t="str">
        <f>IF(AND(A534&lt;&gt;"",V534&lt;&gt;""),SUM(V534,$AM$8)/$AM$2*100,"")</f>
        <v/>
      </c>
      <c r="AN534" s="71" t="str">
        <f>IF(AND(A534&lt;&gt;"",ISNUMBER(P534),P534&gt;=0),SUM(P534,$AN$8)/$AN$2*100,"")</f>
        <v/>
      </c>
      <c r="AO534" s="71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9" t="str">
        <f>IF(AND(A534&lt;&gt;"",OR(ISNUMBER(W534),ISNUMBER(X534))),SUM(W534:X534,$AT$8)/$AT$2*100,"")</f>
        <v/>
      </c>
      <c r="AU534" s="24" t="str">
        <f>AA534</f>
        <v/>
      </c>
      <c r="AV534" s="71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3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1" t="str">
        <f>IF(A535&lt;&gt;"",OR(AI535&lt;&gt;AC535,AJ535&lt;&gt;AD535),"")</f>
        <v/>
      </c>
      <c r="AL535" s="86" t="str">
        <f>IF(AND(A535&lt;&gt;"",U535&lt;&gt;""),SUM(U535,$AL$8)/$AL$2*100,"")</f>
        <v/>
      </c>
      <c r="AM535" s="71" t="str">
        <f>IF(AND(A535&lt;&gt;"",V535&lt;&gt;""),SUM(V535,$AM$8)/$AM$2*100,"")</f>
        <v/>
      </c>
      <c r="AN535" s="71" t="str">
        <f>IF(AND(A535&lt;&gt;"",ISNUMBER(P535),P535&gt;=0),SUM(P535,$AN$8)/$AN$2*100,"")</f>
        <v/>
      </c>
      <c r="AO535" s="71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9" t="str">
        <f>IF(AND(A535&lt;&gt;"",OR(ISNUMBER(W535),ISNUMBER(X535))),SUM(W535:X535,$AT$8)/$AT$2*100,"")</f>
        <v/>
      </c>
      <c r="AU535" s="24" t="str">
        <f>AA535</f>
        <v/>
      </c>
      <c r="AV535" s="71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3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1" t="str">
        <f>IF(A536&lt;&gt;"",OR(AI536&lt;&gt;AC536,AJ536&lt;&gt;AD536),"")</f>
        <v/>
      </c>
      <c r="AL536" s="86" t="str">
        <f>IF(AND(A536&lt;&gt;"",U536&lt;&gt;""),SUM(U536,$AL$8)/$AL$2*100,"")</f>
        <v/>
      </c>
      <c r="AM536" s="71" t="str">
        <f>IF(AND(A536&lt;&gt;"",V536&lt;&gt;""),SUM(V536,$AM$8)/$AM$2*100,"")</f>
        <v/>
      </c>
      <c r="AN536" s="71" t="str">
        <f>IF(AND(A536&lt;&gt;"",ISNUMBER(P536),P536&gt;=0),SUM(P536,$AN$8)/$AN$2*100,"")</f>
        <v/>
      </c>
      <c r="AO536" s="71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9" t="str">
        <f>IF(AND(A536&lt;&gt;"",OR(ISNUMBER(W536),ISNUMBER(X536))),SUM(W536:X536,$AT$8)/$AT$2*100,"")</f>
        <v/>
      </c>
      <c r="AU536" s="24" t="str">
        <f>AA536</f>
        <v/>
      </c>
      <c r="AV536" s="71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3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1" t="str">
        <f>IF(A537&lt;&gt;"",OR(AI537&lt;&gt;AC537,AJ537&lt;&gt;AD537),"")</f>
        <v/>
      </c>
      <c r="AL537" s="86" t="str">
        <f>IF(AND(A537&lt;&gt;"",U537&lt;&gt;""),SUM(U537,$AL$8)/$AL$2*100,"")</f>
        <v/>
      </c>
      <c r="AM537" s="71" t="str">
        <f>IF(AND(A537&lt;&gt;"",V537&lt;&gt;""),SUM(V537,$AM$8)/$AM$2*100,"")</f>
        <v/>
      </c>
      <c r="AN537" s="71" t="str">
        <f>IF(AND(A537&lt;&gt;"",ISNUMBER(P537),P537&gt;=0),SUM(P537,$AN$8)/$AN$2*100,"")</f>
        <v/>
      </c>
      <c r="AO537" s="71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9" t="str">
        <f>IF(AND(A537&lt;&gt;"",OR(ISNUMBER(W537),ISNUMBER(X537))),SUM(W537:X537,$AT$8)/$AT$2*100,"")</f>
        <v/>
      </c>
      <c r="AU537" s="24" t="str">
        <f>AA537</f>
        <v/>
      </c>
      <c r="AV537" s="71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3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1" t="str">
        <f>IF(A538&lt;&gt;"",OR(AI538&lt;&gt;AC538,AJ538&lt;&gt;AD538),"")</f>
        <v/>
      </c>
      <c r="AL538" s="86" t="str">
        <f>IF(AND(A538&lt;&gt;"",U538&lt;&gt;""),SUM(U538,$AL$8)/$AL$2*100,"")</f>
        <v/>
      </c>
      <c r="AM538" s="71" t="str">
        <f>IF(AND(A538&lt;&gt;"",V538&lt;&gt;""),SUM(V538,$AM$8)/$AM$2*100,"")</f>
        <v/>
      </c>
      <c r="AN538" s="71" t="str">
        <f>IF(AND(A538&lt;&gt;"",ISNUMBER(P538),P538&gt;=0),SUM(P538,$AN$8)/$AN$2*100,"")</f>
        <v/>
      </c>
      <c r="AO538" s="71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9" t="str">
        <f>IF(AND(A538&lt;&gt;"",OR(ISNUMBER(W538),ISNUMBER(X538))),SUM(W538:X538,$AT$8)/$AT$2*100,"")</f>
        <v/>
      </c>
      <c r="AU538" s="24" t="str">
        <f>AA538</f>
        <v/>
      </c>
      <c r="AV538" s="71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3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1" t="str">
        <f>IF(A539&lt;&gt;"",OR(AI539&lt;&gt;AC539,AJ539&lt;&gt;AD539),"")</f>
        <v/>
      </c>
      <c r="AL539" s="86" t="str">
        <f>IF(AND(A539&lt;&gt;"",U539&lt;&gt;""),SUM(U539,$AL$8)/$AL$2*100,"")</f>
        <v/>
      </c>
      <c r="AM539" s="71" t="str">
        <f>IF(AND(A539&lt;&gt;"",V539&lt;&gt;""),SUM(V539,$AM$8)/$AM$2*100,"")</f>
        <v/>
      </c>
      <c r="AN539" s="71" t="str">
        <f>IF(AND(A539&lt;&gt;"",ISNUMBER(P539),P539&gt;=0),SUM(P539,$AN$8)/$AN$2*100,"")</f>
        <v/>
      </c>
      <c r="AO539" s="71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9" t="str">
        <f>IF(AND(A539&lt;&gt;"",OR(ISNUMBER(W539),ISNUMBER(X539))),SUM(W539:X539,$AT$8)/$AT$2*100,"")</f>
        <v/>
      </c>
      <c r="AU539" s="24" t="str">
        <f>AA539</f>
        <v/>
      </c>
      <c r="AV539" s="71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3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1" t="str">
        <f>IF(A540&lt;&gt;"",OR(AI540&lt;&gt;AC540,AJ540&lt;&gt;AD540),"")</f>
        <v/>
      </c>
      <c r="AL540" s="86" t="str">
        <f>IF(AND(A540&lt;&gt;"",U540&lt;&gt;""),SUM(U540,$AL$8)/$AL$2*100,"")</f>
        <v/>
      </c>
      <c r="AM540" s="71" t="str">
        <f>IF(AND(A540&lt;&gt;"",V540&lt;&gt;""),SUM(V540,$AM$8)/$AM$2*100,"")</f>
        <v/>
      </c>
      <c r="AN540" s="71" t="str">
        <f>IF(AND(A540&lt;&gt;"",ISNUMBER(P540),P540&gt;=0),SUM(P540,$AN$8)/$AN$2*100,"")</f>
        <v/>
      </c>
      <c r="AO540" s="71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9" t="str">
        <f>IF(AND(A540&lt;&gt;"",OR(ISNUMBER(W540),ISNUMBER(X540))),SUM(W540:X540,$AT$8)/$AT$2*100,"")</f>
        <v/>
      </c>
      <c r="AU540" s="24" t="str">
        <f>AA540</f>
        <v/>
      </c>
      <c r="AV540" s="71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3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1" t="str">
        <f>IF(A541&lt;&gt;"",OR(AI541&lt;&gt;AC541,AJ541&lt;&gt;AD541),"")</f>
        <v/>
      </c>
      <c r="AL541" s="86" t="str">
        <f>IF(AND(A541&lt;&gt;"",U541&lt;&gt;""),SUM(U541,$AL$8)/$AL$2*100,"")</f>
        <v/>
      </c>
      <c r="AM541" s="71" t="str">
        <f>IF(AND(A541&lt;&gt;"",V541&lt;&gt;""),SUM(V541,$AM$8)/$AM$2*100,"")</f>
        <v/>
      </c>
      <c r="AN541" s="71" t="str">
        <f>IF(AND(A541&lt;&gt;"",ISNUMBER(P541),P541&gt;=0),SUM(P541,$AN$8)/$AN$2*100,"")</f>
        <v/>
      </c>
      <c r="AO541" s="71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9" t="str">
        <f>IF(AND(A541&lt;&gt;"",OR(ISNUMBER(W541),ISNUMBER(X541))),SUM(W541:X541,$AT$8)/$AT$2*100,"")</f>
        <v/>
      </c>
      <c r="AU541" s="24" t="str">
        <f>AA541</f>
        <v/>
      </c>
      <c r="AV541" s="71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3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1" t="str">
        <f>IF(A542&lt;&gt;"",OR(AI542&lt;&gt;AC542,AJ542&lt;&gt;AD542),"")</f>
        <v/>
      </c>
      <c r="AL542" s="86" t="str">
        <f>IF(AND(A542&lt;&gt;"",U542&lt;&gt;""),SUM(U542,$AL$8)/$AL$2*100,"")</f>
        <v/>
      </c>
      <c r="AM542" s="71" t="str">
        <f>IF(AND(A542&lt;&gt;"",V542&lt;&gt;""),SUM(V542,$AM$8)/$AM$2*100,"")</f>
        <v/>
      </c>
      <c r="AN542" s="71" t="str">
        <f>IF(AND(A542&lt;&gt;"",ISNUMBER(P542),P542&gt;=0),SUM(P542,$AN$8)/$AN$2*100,"")</f>
        <v/>
      </c>
      <c r="AO542" s="71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9" t="str">
        <f>IF(AND(A542&lt;&gt;"",OR(ISNUMBER(W542),ISNUMBER(X542))),SUM(W542:X542,$AT$8)/$AT$2*100,"")</f>
        <v/>
      </c>
      <c r="AU542" s="24" t="str">
        <f>AA542</f>
        <v/>
      </c>
      <c r="AV542" s="71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3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1" t="str">
        <f>IF(A543&lt;&gt;"",OR(AI543&lt;&gt;AC543,AJ543&lt;&gt;AD543),"")</f>
        <v/>
      </c>
      <c r="AL543" s="86" t="str">
        <f>IF(AND(A543&lt;&gt;"",U543&lt;&gt;""),SUM(U543,$AL$8)/$AL$2*100,"")</f>
        <v/>
      </c>
      <c r="AM543" s="71" t="str">
        <f>IF(AND(A543&lt;&gt;"",V543&lt;&gt;""),SUM(V543,$AM$8)/$AM$2*100,"")</f>
        <v/>
      </c>
      <c r="AN543" s="71" t="str">
        <f>IF(AND(A543&lt;&gt;"",ISNUMBER(P543),P543&gt;=0),SUM(P543,$AN$8)/$AN$2*100,"")</f>
        <v/>
      </c>
      <c r="AO543" s="71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9" t="str">
        <f>IF(AND(A543&lt;&gt;"",OR(ISNUMBER(W543),ISNUMBER(X543))),SUM(W543:X543,$AT$8)/$AT$2*100,"")</f>
        <v/>
      </c>
      <c r="AU543" s="24" t="str">
        <f>AA543</f>
        <v/>
      </c>
      <c r="AV543" s="71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3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1" t="str">
        <f>IF(A544&lt;&gt;"",OR(AI544&lt;&gt;AC544,AJ544&lt;&gt;AD544),"")</f>
        <v/>
      </c>
      <c r="AL544" s="86" t="str">
        <f>IF(AND(A544&lt;&gt;"",U544&lt;&gt;""),SUM(U544,$AL$8)/$AL$2*100,"")</f>
        <v/>
      </c>
      <c r="AM544" s="71" t="str">
        <f>IF(AND(A544&lt;&gt;"",V544&lt;&gt;""),SUM(V544,$AM$8)/$AM$2*100,"")</f>
        <v/>
      </c>
      <c r="AN544" s="71" t="str">
        <f>IF(AND(A544&lt;&gt;"",ISNUMBER(P544),P544&gt;=0),SUM(P544,$AN$8)/$AN$2*100,"")</f>
        <v/>
      </c>
      <c r="AO544" s="71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9" t="str">
        <f>IF(AND(A544&lt;&gt;"",OR(ISNUMBER(W544),ISNUMBER(X544))),SUM(W544:X544,$AT$8)/$AT$2*100,"")</f>
        <v/>
      </c>
      <c r="AU544" s="24" t="str">
        <f>AA544</f>
        <v/>
      </c>
      <c r="AV544" s="71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3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1" t="str">
        <f>IF(A545&lt;&gt;"",OR(AI545&lt;&gt;AC545,AJ545&lt;&gt;AD545),"")</f>
        <v/>
      </c>
      <c r="AL545" s="86" t="str">
        <f>IF(AND(A545&lt;&gt;"",U545&lt;&gt;""),SUM(U545,$AL$8)/$AL$2*100,"")</f>
        <v/>
      </c>
      <c r="AM545" s="71" t="str">
        <f>IF(AND(A545&lt;&gt;"",V545&lt;&gt;""),SUM(V545,$AM$8)/$AM$2*100,"")</f>
        <v/>
      </c>
      <c r="AN545" s="71" t="str">
        <f>IF(AND(A545&lt;&gt;"",ISNUMBER(P545),P545&gt;=0),SUM(P545,$AN$8)/$AN$2*100,"")</f>
        <v/>
      </c>
      <c r="AO545" s="71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9" t="str">
        <f>IF(AND(A545&lt;&gt;"",OR(ISNUMBER(W545),ISNUMBER(X545))),SUM(W545:X545,$AT$8)/$AT$2*100,"")</f>
        <v/>
      </c>
      <c r="AU545" s="24" t="str">
        <f>AA545</f>
        <v/>
      </c>
      <c r="AV545" s="71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3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1" t="str">
        <f>IF(A546&lt;&gt;"",OR(AI546&lt;&gt;AC546,AJ546&lt;&gt;AD546),"")</f>
        <v/>
      </c>
      <c r="AL546" s="86" t="str">
        <f>IF(AND(A546&lt;&gt;"",U546&lt;&gt;""),SUM(U546,$AL$8)/$AL$2*100,"")</f>
        <v/>
      </c>
      <c r="AM546" s="71" t="str">
        <f>IF(AND(A546&lt;&gt;"",V546&lt;&gt;""),SUM(V546,$AM$8)/$AM$2*100,"")</f>
        <v/>
      </c>
      <c r="AN546" s="71" t="str">
        <f>IF(AND(A546&lt;&gt;"",ISNUMBER(P546),P546&gt;=0),SUM(P546,$AN$8)/$AN$2*100,"")</f>
        <v/>
      </c>
      <c r="AO546" s="71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9" t="str">
        <f>IF(AND(A546&lt;&gt;"",OR(ISNUMBER(W546),ISNUMBER(X546))),SUM(W546:X546,$AT$8)/$AT$2*100,"")</f>
        <v/>
      </c>
      <c r="AU546" s="24" t="str">
        <f>AA546</f>
        <v/>
      </c>
      <c r="AV546" s="71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3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1" t="str">
        <f>IF(A547&lt;&gt;"",OR(AI547&lt;&gt;AC547,AJ547&lt;&gt;AD547),"")</f>
        <v/>
      </c>
      <c r="AL547" s="86" t="str">
        <f>IF(AND(A547&lt;&gt;"",U547&lt;&gt;""),SUM(U547,$AL$8)/$AL$2*100,"")</f>
        <v/>
      </c>
      <c r="AM547" s="71" t="str">
        <f>IF(AND(A547&lt;&gt;"",V547&lt;&gt;""),SUM(V547,$AM$8)/$AM$2*100,"")</f>
        <v/>
      </c>
      <c r="AN547" s="71" t="str">
        <f>IF(AND(A547&lt;&gt;"",ISNUMBER(P547),P547&gt;=0),SUM(P547,$AN$8)/$AN$2*100,"")</f>
        <v/>
      </c>
      <c r="AO547" s="71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9" t="str">
        <f>IF(AND(A547&lt;&gt;"",OR(ISNUMBER(W547),ISNUMBER(X547))),SUM(W547:X547,$AT$8)/$AT$2*100,"")</f>
        <v/>
      </c>
      <c r="AU547" s="24" t="str">
        <f>AA547</f>
        <v/>
      </c>
      <c r="AV547" s="71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3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1" t="str">
        <f>IF(A548&lt;&gt;"",OR(AI548&lt;&gt;AC548,AJ548&lt;&gt;AD548),"")</f>
        <v/>
      </c>
      <c r="AL548" s="86" t="str">
        <f>IF(AND(A548&lt;&gt;"",U548&lt;&gt;""),SUM(U548,$AL$8)/$AL$2*100,"")</f>
        <v/>
      </c>
      <c r="AM548" s="71" t="str">
        <f>IF(AND(A548&lt;&gt;"",V548&lt;&gt;""),SUM(V548,$AM$8)/$AM$2*100,"")</f>
        <v/>
      </c>
      <c r="AN548" s="71" t="str">
        <f>IF(AND(A548&lt;&gt;"",ISNUMBER(P548),P548&gt;=0),SUM(P548,$AN$8)/$AN$2*100,"")</f>
        <v/>
      </c>
      <c r="AO548" s="71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9" t="str">
        <f>IF(AND(A548&lt;&gt;"",OR(ISNUMBER(W548),ISNUMBER(X548))),SUM(W548:X548,$AT$8)/$AT$2*100,"")</f>
        <v/>
      </c>
      <c r="AU548" s="24" t="str">
        <f>AA548</f>
        <v/>
      </c>
      <c r="AV548" s="71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3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1" t="str">
        <f>IF(A549&lt;&gt;"",OR(AI549&lt;&gt;AC549,AJ549&lt;&gt;AD549),"")</f>
        <v/>
      </c>
      <c r="AL549" s="86" t="str">
        <f>IF(AND(A549&lt;&gt;"",U549&lt;&gt;""),SUM(U549,$AL$8)/$AL$2*100,"")</f>
        <v/>
      </c>
      <c r="AM549" s="71" t="str">
        <f>IF(AND(A549&lt;&gt;"",V549&lt;&gt;""),SUM(V549,$AM$8)/$AM$2*100,"")</f>
        <v/>
      </c>
      <c r="AN549" s="71" t="str">
        <f>IF(AND(A549&lt;&gt;"",ISNUMBER(P549),P549&gt;=0),SUM(P549,$AN$8)/$AN$2*100,"")</f>
        <v/>
      </c>
      <c r="AO549" s="71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9" t="str">
        <f>IF(AND(A549&lt;&gt;"",OR(ISNUMBER(W549),ISNUMBER(X549))),SUM(W549:X549,$AT$8)/$AT$2*100,"")</f>
        <v/>
      </c>
      <c r="AU549" s="24" t="str">
        <f>AA549</f>
        <v/>
      </c>
      <c r="AV549" s="71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3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1" t="str">
        <f>IF(A550&lt;&gt;"",OR(AI550&lt;&gt;AC550,AJ550&lt;&gt;AD550),"")</f>
        <v/>
      </c>
      <c r="AL550" s="86" t="str">
        <f>IF(AND(A550&lt;&gt;"",U550&lt;&gt;""),SUM(U550,$AL$8)/$AL$2*100,"")</f>
        <v/>
      </c>
      <c r="AM550" s="71" t="str">
        <f>IF(AND(A550&lt;&gt;"",V550&lt;&gt;""),SUM(V550,$AM$8)/$AM$2*100,"")</f>
        <v/>
      </c>
      <c r="AN550" s="71" t="str">
        <f>IF(AND(A550&lt;&gt;"",ISNUMBER(P550),P550&gt;=0),SUM(P550,$AN$8)/$AN$2*100,"")</f>
        <v/>
      </c>
      <c r="AO550" s="71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9" t="str">
        <f>IF(AND(A550&lt;&gt;"",OR(ISNUMBER(W550),ISNUMBER(X550))),SUM(W550:X550,$AT$8)/$AT$2*100,"")</f>
        <v/>
      </c>
      <c r="AU550" s="24" t="str">
        <f>AA550</f>
        <v/>
      </c>
      <c r="AV550" s="71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3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1" t="str">
        <f>IF(A551&lt;&gt;"",OR(AI551&lt;&gt;AC551,AJ551&lt;&gt;AD551),"")</f>
        <v/>
      </c>
      <c r="AL551" s="86" t="str">
        <f>IF(AND(A551&lt;&gt;"",U551&lt;&gt;""),SUM(U551,$AL$8)/$AL$2*100,"")</f>
        <v/>
      </c>
      <c r="AM551" s="71" t="str">
        <f>IF(AND(A551&lt;&gt;"",V551&lt;&gt;""),SUM(V551,$AM$8)/$AM$2*100,"")</f>
        <v/>
      </c>
      <c r="AN551" s="71" t="str">
        <f>IF(AND(A551&lt;&gt;"",ISNUMBER(P551),P551&gt;=0),SUM(P551,$AN$8)/$AN$2*100,"")</f>
        <v/>
      </c>
      <c r="AO551" s="71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9" t="str">
        <f>IF(AND(A551&lt;&gt;"",OR(ISNUMBER(W551),ISNUMBER(X551))),SUM(W551:X551,$AT$8)/$AT$2*100,"")</f>
        <v/>
      </c>
      <c r="AU551" s="24" t="str">
        <f>AA551</f>
        <v/>
      </c>
      <c r="AV551" s="71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3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1" t="str">
        <f>IF(A552&lt;&gt;"",OR(AI552&lt;&gt;AC552,AJ552&lt;&gt;AD552),"")</f>
        <v/>
      </c>
      <c r="AL552" s="86" t="str">
        <f>IF(AND(A552&lt;&gt;"",U552&lt;&gt;""),SUM(U552,$AL$8)/$AL$2*100,"")</f>
        <v/>
      </c>
      <c r="AM552" s="71" t="str">
        <f>IF(AND(A552&lt;&gt;"",V552&lt;&gt;""),SUM(V552,$AM$8)/$AM$2*100,"")</f>
        <v/>
      </c>
      <c r="AN552" s="71" t="str">
        <f>IF(AND(A552&lt;&gt;"",ISNUMBER(P552),P552&gt;=0),SUM(P552,$AN$8)/$AN$2*100,"")</f>
        <v/>
      </c>
      <c r="AO552" s="71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9" t="str">
        <f>IF(AND(A552&lt;&gt;"",OR(ISNUMBER(W552),ISNUMBER(X552))),SUM(W552:X552,$AT$8)/$AT$2*100,"")</f>
        <v/>
      </c>
      <c r="AU552" s="24" t="str">
        <f>AA552</f>
        <v/>
      </c>
      <c r="AV552" s="71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3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1" t="str">
        <f>IF(A553&lt;&gt;"",OR(AI553&lt;&gt;AC553,AJ553&lt;&gt;AD553),"")</f>
        <v/>
      </c>
      <c r="AL553" s="86" t="str">
        <f>IF(AND(A553&lt;&gt;"",U553&lt;&gt;""),SUM(U553,$AL$8)/$AL$2*100,"")</f>
        <v/>
      </c>
      <c r="AM553" s="71" t="str">
        <f>IF(AND(A553&lt;&gt;"",V553&lt;&gt;""),SUM(V553,$AM$8)/$AM$2*100,"")</f>
        <v/>
      </c>
      <c r="AN553" s="71" t="str">
        <f>IF(AND(A553&lt;&gt;"",ISNUMBER(P553),P553&gt;=0),SUM(P553,$AN$8)/$AN$2*100,"")</f>
        <v/>
      </c>
      <c r="AO553" s="71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9" t="str">
        <f>IF(AND(A553&lt;&gt;"",OR(ISNUMBER(W553),ISNUMBER(X553))),SUM(W553:X553,$AT$8)/$AT$2*100,"")</f>
        <v/>
      </c>
      <c r="AU553" s="24" t="str">
        <f>AA553</f>
        <v/>
      </c>
      <c r="AV553" s="71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3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1" t="str">
        <f>IF(A554&lt;&gt;"",OR(AI554&lt;&gt;AC554,AJ554&lt;&gt;AD554),"")</f>
        <v/>
      </c>
      <c r="AL554" s="86" t="str">
        <f>IF(AND(A554&lt;&gt;"",U554&lt;&gt;""),SUM(U554,$AL$8)/$AL$2*100,"")</f>
        <v/>
      </c>
      <c r="AM554" s="71" t="str">
        <f>IF(AND(A554&lt;&gt;"",V554&lt;&gt;""),SUM(V554,$AM$8)/$AM$2*100,"")</f>
        <v/>
      </c>
      <c r="AN554" s="71" t="str">
        <f>IF(AND(A554&lt;&gt;"",ISNUMBER(P554),P554&gt;=0),SUM(P554,$AN$8)/$AN$2*100,"")</f>
        <v/>
      </c>
      <c r="AO554" s="71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9" t="str">
        <f>IF(AND(A554&lt;&gt;"",OR(ISNUMBER(W554),ISNUMBER(X554))),SUM(W554:X554,$AT$8)/$AT$2*100,"")</f>
        <v/>
      </c>
      <c r="AU554" s="24" t="str">
        <f>AA554</f>
        <v/>
      </c>
      <c r="AV554" s="71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3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1" t="str">
        <f>IF(A555&lt;&gt;"",OR(AI555&lt;&gt;AC555,AJ555&lt;&gt;AD555),"")</f>
        <v/>
      </c>
      <c r="AL555" s="86" t="str">
        <f>IF(AND(A555&lt;&gt;"",U555&lt;&gt;""),SUM(U555,$AL$8)/$AL$2*100,"")</f>
        <v/>
      </c>
      <c r="AM555" s="71" t="str">
        <f>IF(AND(A555&lt;&gt;"",V555&lt;&gt;""),SUM(V555,$AM$8)/$AM$2*100,"")</f>
        <v/>
      </c>
      <c r="AN555" s="71" t="str">
        <f>IF(AND(A555&lt;&gt;"",ISNUMBER(P555),P555&gt;=0),SUM(P555,$AN$8)/$AN$2*100,"")</f>
        <v/>
      </c>
      <c r="AO555" s="71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9" t="str">
        <f>IF(AND(A555&lt;&gt;"",OR(ISNUMBER(W555),ISNUMBER(X555))),SUM(W555:X555,$AT$8)/$AT$2*100,"")</f>
        <v/>
      </c>
      <c r="AU555" s="24" t="str">
        <f>AA555</f>
        <v/>
      </c>
      <c r="AV555" s="71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3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1" t="str">
        <f>IF(A556&lt;&gt;"",OR(AI556&lt;&gt;AC556,AJ556&lt;&gt;AD556),"")</f>
        <v/>
      </c>
      <c r="AL556" s="86" t="str">
        <f>IF(AND(A556&lt;&gt;"",U556&lt;&gt;""),SUM(U556,$AL$8)/$AL$2*100,"")</f>
        <v/>
      </c>
      <c r="AM556" s="71" t="str">
        <f>IF(AND(A556&lt;&gt;"",V556&lt;&gt;""),SUM(V556,$AM$8)/$AM$2*100,"")</f>
        <v/>
      </c>
      <c r="AN556" s="71" t="str">
        <f>IF(AND(A556&lt;&gt;"",ISNUMBER(P556),P556&gt;=0),SUM(P556,$AN$8)/$AN$2*100,"")</f>
        <v/>
      </c>
      <c r="AO556" s="71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9" t="str">
        <f>IF(AND(A556&lt;&gt;"",OR(ISNUMBER(W556),ISNUMBER(X556))),SUM(W556:X556,$AT$8)/$AT$2*100,"")</f>
        <v/>
      </c>
      <c r="AU556" s="24" t="str">
        <f t="shared" ref="AU530:AU561" si="18">AA556</f>
        <v/>
      </c>
      <c r="AV556" s="71"/>
      <c r="AW556" s="27" t="str">
        <f>IF(A556&lt;&gt;"",AE556-AA556,"")</f>
        <v/>
      </c>
      <c r="AY556" s="27" t="b">
        <f t="shared" ref="AY530:AY561" si="19">S556&gt;R556</f>
        <v>0</v>
      </c>
      <c r="BA556" s="27" t="e">
        <f t="shared" ref="BA530:BA561" si="20">AND(AA556&gt;$BA$3,(W556+$W$8)/$W$2&lt;$BB$3,(X556+$X$8)/$X$2&lt;$BB$3)</f>
        <v>#VALUE!</v>
      </c>
      <c r="BB556" s="27" t="e">
        <f t="shared" ref="BB530:BB561" si="21">AND(AA556&lt;$BA$3,AND(W556/$W$2&gt;$BB$3,X556/$X$2&gt;$BB$3))</f>
        <v>#VALUE!</v>
      </c>
      <c r="BC556" s="27" t="e">
        <f t="shared" ref="BC530:BC561" si="22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3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1" t="str">
        <f>IF(A557&lt;&gt;"",OR(AI557&lt;&gt;AC557,AJ557&lt;&gt;AD557),"")</f>
        <v/>
      </c>
      <c r="AL557" s="86" t="str">
        <f>IF(AND(A557&lt;&gt;"",U557&lt;&gt;""),SUM(U557,$AL$8)/$AL$2*100,"")</f>
        <v/>
      </c>
      <c r="AM557" s="71" t="str">
        <f>IF(AND(A557&lt;&gt;"",V557&lt;&gt;""),SUM(V557,$AM$8)/$AM$2*100,"")</f>
        <v/>
      </c>
      <c r="AN557" s="71" t="str">
        <f>IF(AND(A557&lt;&gt;"",ISNUMBER(P557),P557&gt;=0),SUM(P557,$AN$8)/$AN$2*100,"")</f>
        <v/>
      </c>
      <c r="AO557" s="71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9" t="str">
        <f>IF(AND(A557&lt;&gt;"",OR(ISNUMBER(W557),ISNUMBER(X557))),SUM(W557:X557,$AT$8)/$AT$2*100,"")</f>
        <v/>
      </c>
      <c r="AU557" s="24" t="str">
        <f t="shared" si="18"/>
        <v/>
      </c>
      <c r="AV557" s="71"/>
      <c r="AW557" s="27" t="str">
        <f>IF(A557&lt;&gt;"",AE557-AA557,"")</f>
        <v/>
      </c>
      <c r="AY557" s="27" t="b">
        <f t="shared" si="19"/>
        <v>0</v>
      </c>
      <c r="BA557" s="27" t="e">
        <f t="shared" si="20"/>
        <v>#VALUE!</v>
      </c>
      <c r="BB557" s="27" t="e">
        <f t="shared" si="21"/>
        <v>#VALUE!</v>
      </c>
      <c r="BC557" s="27" t="e">
        <f t="shared" si="22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3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1" t="str">
        <f>IF(A558&lt;&gt;"",OR(AI558&lt;&gt;AC558,AJ558&lt;&gt;AD558),"")</f>
        <v/>
      </c>
      <c r="AL558" s="86" t="str">
        <f>IF(AND(A558&lt;&gt;"",U558&lt;&gt;""),SUM(U558,$AL$8)/$AL$2*100,"")</f>
        <v/>
      </c>
      <c r="AM558" s="71" t="str">
        <f>IF(AND(A558&lt;&gt;"",V558&lt;&gt;""),SUM(V558,$AM$8)/$AM$2*100,"")</f>
        <v/>
      </c>
      <c r="AN558" s="71" t="str">
        <f>IF(AND(A558&lt;&gt;"",ISNUMBER(P558),P558&gt;=0),SUM(P558,$AN$8)/$AN$2*100,"")</f>
        <v/>
      </c>
      <c r="AO558" s="71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9" t="str">
        <f>IF(AND(A558&lt;&gt;"",OR(ISNUMBER(W558),ISNUMBER(X558))),SUM(W558:X558,$AT$8)/$AT$2*100,"")</f>
        <v/>
      </c>
      <c r="AU558" s="24" t="str">
        <f t="shared" si="18"/>
        <v/>
      </c>
      <c r="AV558" s="71"/>
      <c r="AW558" s="27" t="str">
        <f>IF(A558&lt;&gt;"",AE558-AA558,"")</f>
        <v/>
      </c>
      <c r="AY558" s="27" t="b">
        <f t="shared" si="19"/>
        <v>0</v>
      </c>
      <c r="BA558" s="27" t="e">
        <f t="shared" si="20"/>
        <v>#VALUE!</v>
      </c>
      <c r="BB558" s="27" t="e">
        <f t="shared" si="21"/>
        <v>#VALUE!</v>
      </c>
      <c r="BC558" s="27" t="e">
        <f t="shared" si="22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3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1" t="str">
        <f>IF(A559&lt;&gt;"",OR(AI559&lt;&gt;AC559,AJ559&lt;&gt;AD559),"")</f>
        <v/>
      </c>
      <c r="AL559" s="86" t="str">
        <f>IF(AND(A559&lt;&gt;"",U559&lt;&gt;""),SUM(U559,$AL$8)/$AL$2*100,"")</f>
        <v/>
      </c>
      <c r="AM559" s="71" t="str">
        <f>IF(AND(A559&lt;&gt;"",V559&lt;&gt;""),SUM(V559,$AM$8)/$AM$2*100,"")</f>
        <v/>
      </c>
      <c r="AN559" s="71" t="str">
        <f>IF(AND(A559&lt;&gt;"",ISNUMBER(P559),P559&gt;=0),SUM(P559,$AN$8)/$AN$2*100,"")</f>
        <v/>
      </c>
      <c r="AO559" s="71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9" t="str">
        <f>IF(AND(A559&lt;&gt;"",OR(ISNUMBER(W559),ISNUMBER(X559))),SUM(W559:X559,$AT$8)/$AT$2*100,"")</f>
        <v/>
      </c>
      <c r="AU559" s="24" t="str">
        <f t="shared" si="18"/>
        <v/>
      </c>
      <c r="AV559" s="71"/>
      <c r="AW559" s="27" t="str">
        <f>IF(A559&lt;&gt;"",AE559-AA559,"")</f>
        <v/>
      </c>
      <c r="AY559" s="27" t="b">
        <f t="shared" si="19"/>
        <v>0</v>
      </c>
      <c r="BA559" s="27" t="e">
        <f t="shared" si="20"/>
        <v>#VALUE!</v>
      </c>
      <c r="BB559" s="27" t="e">
        <f t="shared" si="21"/>
        <v>#VALUE!</v>
      </c>
      <c r="BC559" s="27" t="e">
        <f t="shared" si="22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3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1" t="str">
        <f>IF(A560&lt;&gt;"",OR(AI560&lt;&gt;AC560,AJ560&lt;&gt;AD560),"")</f>
        <v/>
      </c>
      <c r="AL560" s="86" t="str">
        <f>IF(AND(A560&lt;&gt;"",U560&lt;&gt;""),SUM(U560,$AL$8)/$AL$2*100,"")</f>
        <v/>
      </c>
      <c r="AM560" s="71" t="str">
        <f>IF(AND(A560&lt;&gt;"",V560&lt;&gt;""),SUM(V560,$AM$8)/$AM$2*100,"")</f>
        <v/>
      </c>
      <c r="AN560" s="71" t="str">
        <f>IF(AND(A560&lt;&gt;"",ISNUMBER(P560),P560&gt;=0),SUM(P560,$AN$8)/$AN$2*100,"")</f>
        <v/>
      </c>
      <c r="AO560" s="71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9" t="str">
        <f>IF(AND(A560&lt;&gt;"",OR(ISNUMBER(W560),ISNUMBER(X560))),SUM(W560:X560,$AT$8)/$AT$2*100,"")</f>
        <v/>
      </c>
      <c r="AU560" s="24" t="str">
        <f t="shared" si="18"/>
        <v/>
      </c>
      <c r="AV560" s="71"/>
      <c r="AW560" s="27" t="str">
        <f>IF(A560&lt;&gt;"",AE560-AA560,"")</f>
        <v/>
      </c>
      <c r="AY560" s="27" t="b">
        <f t="shared" si="19"/>
        <v>0</v>
      </c>
      <c r="BA560" s="27" t="e">
        <f t="shared" si="20"/>
        <v>#VALUE!</v>
      </c>
      <c r="BB560" s="27" t="e">
        <f t="shared" si="21"/>
        <v>#VALUE!</v>
      </c>
      <c r="BC560" s="27" t="e">
        <f t="shared" si="22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3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1" t="str">
        <f>IF(A561&lt;&gt;"",OR(AI561&lt;&gt;AC561,AJ561&lt;&gt;AD561),"")</f>
        <v/>
      </c>
      <c r="AL561" s="86" t="str">
        <f>IF(AND(A561&lt;&gt;"",U561&lt;&gt;""),SUM(U561,$AL$8)/$AL$2*100,"")</f>
        <v/>
      </c>
      <c r="AM561" s="71" t="str">
        <f>IF(AND(A561&lt;&gt;"",V561&lt;&gt;""),SUM(V561,$AM$8)/$AM$2*100,"")</f>
        <v/>
      </c>
      <c r="AN561" s="71" t="str">
        <f>IF(AND(A561&lt;&gt;"",ISNUMBER(P561),P561&gt;=0),SUM(P561,$AN$8)/$AN$2*100,"")</f>
        <v/>
      </c>
      <c r="AO561" s="71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9" t="str">
        <f>IF(AND(A561&lt;&gt;"",OR(ISNUMBER(W561),ISNUMBER(X561))),SUM(W561:X561,$AT$8)/$AT$2*100,"")</f>
        <v/>
      </c>
      <c r="AU561" s="24" t="str">
        <f t="shared" si="18"/>
        <v/>
      </c>
      <c r="AV561" s="71"/>
      <c r="AW561" s="27" t="str">
        <f>IF(A561&lt;&gt;"",AE561-AA561,"")</f>
        <v/>
      </c>
      <c r="AY561" s="27" t="b">
        <f t="shared" si="19"/>
        <v>0</v>
      </c>
      <c r="BA561" s="27" t="e">
        <f t="shared" si="20"/>
        <v>#VALUE!</v>
      </c>
      <c r="BB561" s="27" t="e">
        <f t="shared" si="21"/>
        <v>#VALUE!</v>
      </c>
      <c r="BC561" s="27" t="e">
        <f t="shared" si="22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3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1" t="str">
        <f>IF(A562&lt;&gt;"",OR(AI562&lt;&gt;AC562,AJ562&lt;&gt;AD562),"")</f>
        <v/>
      </c>
      <c r="AL562" s="86" t="str">
        <f>IF(AND(A562&lt;&gt;"",U562&lt;&gt;""),SUM(U562,$AL$8)/$AL$2*100,"")</f>
        <v/>
      </c>
      <c r="AM562" s="71" t="str">
        <f>IF(AND(A562&lt;&gt;"",V562&lt;&gt;""),SUM(V562,$AM$8)/$AM$2*100,"")</f>
        <v/>
      </c>
      <c r="AN562" s="71" t="str">
        <f>IF(AND(A562&lt;&gt;"",ISNUMBER(P562),P562&gt;=0),SUM(P562,$AN$8)/$AN$2*100,"")</f>
        <v/>
      </c>
      <c r="AO562" s="71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9" t="str">
        <f>IF(AND(A562&lt;&gt;"",OR(ISNUMBER(W562),ISNUMBER(X562))),SUM(W562:X562,$AT$8)/$AT$2*100,"")</f>
        <v/>
      </c>
      <c r="AU562" s="24" t="str">
        <f t="shared" ref="AU562:AU593" si="23">AA562</f>
        <v/>
      </c>
      <c r="AV562" s="71"/>
      <c r="AW562" s="27" t="str">
        <f>IF(A562&lt;&gt;"",AE562-AA562,"")</f>
        <v/>
      </c>
      <c r="AY562" s="27" t="b">
        <f t="shared" ref="AY562:AY593" si="24">S562&gt;R562</f>
        <v>0</v>
      </c>
      <c r="BA562" s="27" t="e">
        <f t="shared" ref="BA562:BA593" si="25">AND(AA562&gt;$BA$3,(W562+$W$8)/$W$2&lt;$BB$3,(X562+$X$8)/$X$2&lt;$BB$3)</f>
        <v>#VALUE!</v>
      </c>
      <c r="BB562" s="27" t="e">
        <f t="shared" ref="BB562:BB593" si="26">AND(AA562&lt;$BA$3,AND(W562/$W$2&gt;$BB$3,X562/$X$2&gt;$BB$3))</f>
        <v>#VALUE!</v>
      </c>
      <c r="BC562" s="27" t="e">
        <f t="shared" ref="BC562:BC593" si="27">AND(AA562&lt;$BA$3,OR(W562/$W$2&gt;$BB$3,X562/$X$2&gt;$BB$3))</f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3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1" t="str">
        <f>IF(A563&lt;&gt;"",OR(AI563&lt;&gt;AC563,AJ563&lt;&gt;AD563),"")</f>
        <v/>
      </c>
      <c r="AL563" s="86" t="str">
        <f>IF(AND(A563&lt;&gt;"",U563&lt;&gt;""),SUM(U563,$AL$8)/$AL$2*100,"")</f>
        <v/>
      </c>
      <c r="AM563" s="71" t="str">
        <f>IF(AND(A563&lt;&gt;"",V563&lt;&gt;""),SUM(V563,$AM$8)/$AM$2*100,"")</f>
        <v/>
      </c>
      <c r="AN563" s="71" t="str">
        <f>IF(AND(A563&lt;&gt;"",ISNUMBER(P563),P563&gt;=0),SUM(P563,$AN$8)/$AN$2*100,"")</f>
        <v/>
      </c>
      <c r="AO563" s="71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9" t="str">
        <f>IF(AND(A563&lt;&gt;"",OR(ISNUMBER(W563),ISNUMBER(X563))),SUM(W563:X563,$AT$8)/$AT$2*100,"")</f>
        <v/>
      </c>
      <c r="AU563" s="24" t="str">
        <f t="shared" si="23"/>
        <v/>
      </c>
      <c r="AV563" s="71"/>
      <c r="AW563" s="27" t="str">
        <f>IF(A563&lt;&gt;"",AE563-AA563,"")</f>
        <v/>
      </c>
      <c r="AY563" s="27" t="b">
        <f t="shared" si="24"/>
        <v>0</v>
      </c>
      <c r="BA563" s="27" t="e">
        <f t="shared" si="25"/>
        <v>#VALUE!</v>
      </c>
      <c r="BB563" s="27" t="e">
        <f t="shared" si="26"/>
        <v>#VALUE!</v>
      </c>
      <c r="BC563" s="27" t="e">
        <f t="shared" si="27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3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1" t="str">
        <f>IF(A564&lt;&gt;"",OR(AI564&lt;&gt;AC564,AJ564&lt;&gt;AD564),"")</f>
        <v/>
      </c>
      <c r="AL564" s="86" t="str">
        <f>IF(AND(A564&lt;&gt;"",U564&lt;&gt;""),SUM(U564,$AL$8)/$AL$2*100,"")</f>
        <v/>
      </c>
      <c r="AM564" s="71" t="str">
        <f>IF(AND(A564&lt;&gt;"",V564&lt;&gt;""),SUM(V564,$AM$8)/$AM$2*100,"")</f>
        <v/>
      </c>
      <c r="AN564" s="71" t="str">
        <f>IF(AND(A564&lt;&gt;"",ISNUMBER(P564),P564&gt;=0),SUM(P564,$AN$8)/$AN$2*100,"")</f>
        <v/>
      </c>
      <c r="AO564" s="71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9" t="str">
        <f>IF(AND(A564&lt;&gt;"",OR(ISNUMBER(W564),ISNUMBER(X564))),SUM(W564:X564,$AT$8)/$AT$2*100,"")</f>
        <v/>
      </c>
      <c r="AU564" s="24" t="str">
        <f t="shared" si="23"/>
        <v/>
      </c>
      <c r="AV564" s="71"/>
      <c r="AW564" s="27" t="str">
        <f>IF(A564&lt;&gt;"",AE564-AA564,"")</f>
        <v/>
      </c>
      <c r="AY564" s="27" t="b">
        <f t="shared" si="24"/>
        <v>0</v>
      </c>
      <c r="BA564" s="27" t="e">
        <f t="shared" si="25"/>
        <v>#VALUE!</v>
      </c>
      <c r="BB564" s="27" t="e">
        <f t="shared" si="26"/>
        <v>#VALUE!</v>
      </c>
      <c r="BC564" s="27" t="e">
        <f t="shared" si="27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3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1" t="str">
        <f>IF(A565&lt;&gt;"",OR(AI565&lt;&gt;AC565,AJ565&lt;&gt;AD565),"")</f>
        <v/>
      </c>
      <c r="AL565" s="86" t="str">
        <f>IF(AND(A565&lt;&gt;"",U565&lt;&gt;""),SUM(U565,$AL$8)/$AL$2*100,"")</f>
        <v/>
      </c>
      <c r="AM565" s="71" t="str">
        <f>IF(AND(A565&lt;&gt;"",V565&lt;&gt;""),SUM(V565,$AM$8)/$AM$2*100,"")</f>
        <v/>
      </c>
      <c r="AN565" s="71" t="str">
        <f>IF(AND(A565&lt;&gt;"",ISNUMBER(P565),P565&gt;=0),SUM(P565,$AN$8)/$AN$2*100,"")</f>
        <v/>
      </c>
      <c r="AO565" s="71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9" t="str">
        <f>IF(AND(A565&lt;&gt;"",OR(ISNUMBER(W565),ISNUMBER(X565))),SUM(W565:X565,$AT$8)/$AT$2*100,"")</f>
        <v/>
      </c>
      <c r="AU565" s="24" t="str">
        <f t="shared" si="23"/>
        <v/>
      </c>
      <c r="AV565" s="71"/>
      <c r="AW565" s="27" t="str">
        <f>IF(A565&lt;&gt;"",AE565-AA565,"")</f>
        <v/>
      </c>
      <c r="AY565" s="27" t="b">
        <f t="shared" si="24"/>
        <v>0</v>
      </c>
      <c r="BA565" s="27" t="e">
        <f t="shared" si="25"/>
        <v>#VALUE!</v>
      </c>
      <c r="BB565" s="27" t="e">
        <f t="shared" si="26"/>
        <v>#VALUE!</v>
      </c>
      <c r="BC565" s="27" t="e">
        <f t="shared" si="27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3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1" t="str">
        <f>IF(A566&lt;&gt;"",OR(AI566&lt;&gt;AC566,AJ566&lt;&gt;AD566),"")</f>
        <v/>
      </c>
      <c r="AL566" s="86" t="str">
        <f>IF(AND(A566&lt;&gt;"",U566&lt;&gt;""),SUM(U566,$AL$8)/$AL$2*100,"")</f>
        <v/>
      </c>
      <c r="AM566" s="71" t="str">
        <f>IF(AND(A566&lt;&gt;"",V566&lt;&gt;""),SUM(V566,$AM$8)/$AM$2*100,"")</f>
        <v/>
      </c>
      <c r="AN566" s="71" t="str">
        <f>IF(AND(A566&lt;&gt;"",ISNUMBER(P566),P566&gt;=0),SUM(P566,$AN$8)/$AN$2*100,"")</f>
        <v/>
      </c>
      <c r="AO566" s="71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9" t="str">
        <f>IF(AND(A566&lt;&gt;"",OR(ISNUMBER(W566),ISNUMBER(X566))),SUM(W566:X566,$AT$8)/$AT$2*100,"")</f>
        <v/>
      </c>
      <c r="AU566" s="24" t="str">
        <f t="shared" si="23"/>
        <v/>
      </c>
      <c r="AV566" s="71"/>
      <c r="AW566" s="27" t="str">
        <f>IF(A566&lt;&gt;"",AE566-AA566,"")</f>
        <v/>
      </c>
      <c r="AY566" s="27" t="b">
        <f t="shared" si="24"/>
        <v>0</v>
      </c>
      <c r="BA566" s="27" t="e">
        <f t="shared" si="25"/>
        <v>#VALUE!</v>
      </c>
      <c r="BB566" s="27" t="e">
        <f t="shared" si="26"/>
        <v>#VALUE!</v>
      </c>
      <c r="BC566" s="27" t="e">
        <f t="shared" si="27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3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1" t="str">
        <f>IF(A567&lt;&gt;"",OR(AI567&lt;&gt;AC567,AJ567&lt;&gt;AD567),"")</f>
        <v/>
      </c>
      <c r="AL567" s="86" t="str">
        <f>IF(AND(A567&lt;&gt;"",U567&lt;&gt;""),SUM(U567,$AL$8)/$AL$2*100,"")</f>
        <v/>
      </c>
      <c r="AM567" s="71" t="str">
        <f>IF(AND(A567&lt;&gt;"",V567&lt;&gt;""),SUM(V567,$AM$8)/$AM$2*100,"")</f>
        <v/>
      </c>
      <c r="AN567" s="71" t="str">
        <f>IF(AND(A567&lt;&gt;"",ISNUMBER(P567),P567&gt;=0),SUM(P567,$AN$8)/$AN$2*100,"")</f>
        <v/>
      </c>
      <c r="AO567" s="71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9" t="str">
        <f>IF(AND(A567&lt;&gt;"",OR(ISNUMBER(W567),ISNUMBER(X567))),SUM(W567:X567,$AT$8)/$AT$2*100,"")</f>
        <v/>
      </c>
      <c r="AU567" s="24" t="str">
        <f t="shared" si="23"/>
        <v/>
      </c>
      <c r="AV567" s="71"/>
      <c r="AW567" s="27" t="str">
        <f>IF(A567&lt;&gt;"",AE567-AA567,"")</f>
        <v/>
      </c>
      <c r="AY567" s="27" t="b">
        <f t="shared" si="24"/>
        <v>0</v>
      </c>
      <c r="BA567" s="27" t="e">
        <f t="shared" si="25"/>
        <v>#VALUE!</v>
      </c>
      <c r="BB567" s="27" t="e">
        <f t="shared" si="26"/>
        <v>#VALUE!</v>
      </c>
      <c r="BC567" s="27" t="e">
        <f t="shared" si="27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3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1" t="str">
        <f>IF(A568&lt;&gt;"",OR(AI568&lt;&gt;AC568,AJ568&lt;&gt;AD568),"")</f>
        <v/>
      </c>
      <c r="AL568" s="86" t="str">
        <f>IF(AND(A568&lt;&gt;"",U568&lt;&gt;""),SUM(U568,$AL$8)/$AL$2*100,"")</f>
        <v/>
      </c>
      <c r="AM568" s="71" t="str">
        <f>IF(AND(A568&lt;&gt;"",V568&lt;&gt;""),SUM(V568,$AM$8)/$AM$2*100,"")</f>
        <v/>
      </c>
      <c r="AN568" s="71" t="str">
        <f>IF(AND(A568&lt;&gt;"",ISNUMBER(P568),P568&gt;=0),SUM(P568,$AN$8)/$AN$2*100,"")</f>
        <v/>
      </c>
      <c r="AO568" s="71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9" t="str">
        <f>IF(AND(A568&lt;&gt;"",OR(ISNUMBER(W568),ISNUMBER(X568))),SUM(W568:X568,$AT$8)/$AT$2*100,"")</f>
        <v/>
      </c>
      <c r="AU568" s="24" t="str">
        <f t="shared" si="23"/>
        <v/>
      </c>
      <c r="AV568" s="71"/>
      <c r="AW568" s="27" t="str">
        <f>IF(A568&lt;&gt;"",AE568-AA568,"")</f>
        <v/>
      </c>
      <c r="AY568" s="27" t="b">
        <f t="shared" si="24"/>
        <v>0</v>
      </c>
      <c r="BA568" s="27" t="e">
        <f t="shared" si="25"/>
        <v>#VALUE!</v>
      </c>
      <c r="BB568" s="27" t="e">
        <f t="shared" si="26"/>
        <v>#VALUE!</v>
      </c>
      <c r="BC568" s="27" t="e">
        <f t="shared" si="27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3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1" t="str">
        <f>IF(A569&lt;&gt;"",OR(AI569&lt;&gt;AC569,AJ569&lt;&gt;AD569),"")</f>
        <v/>
      </c>
      <c r="AL569" s="86" t="str">
        <f>IF(AND(A569&lt;&gt;"",U569&lt;&gt;""),SUM(U569,$AL$8)/$AL$2*100,"")</f>
        <v/>
      </c>
      <c r="AM569" s="71" t="str">
        <f>IF(AND(A569&lt;&gt;"",V569&lt;&gt;""),SUM(V569,$AM$8)/$AM$2*100,"")</f>
        <v/>
      </c>
      <c r="AN569" s="71" t="str">
        <f>IF(AND(A569&lt;&gt;"",ISNUMBER(P569),P569&gt;=0),SUM(P569,$AN$8)/$AN$2*100,"")</f>
        <v/>
      </c>
      <c r="AO569" s="71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9" t="str">
        <f>IF(AND(A569&lt;&gt;"",OR(ISNUMBER(W569),ISNUMBER(X569))),SUM(W569:X569,$AT$8)/$AT$2*100,"")</f>
        <v/>
      </c>
      <c r="AU569" s="24" t="str">
        <f t="shared" si="23"/>
        <v/>
      </c>
      <c r="AV569" s="71"/>
      <c r="AW569" s="27" t="str">
        <f>IF(A569&lt;&gt;"",AE569-AA569,"")</f>
        <v/>
      </c>
      <c r="AY569" s="27" t="b">
        <f t="shared" si="24"/>
        <v>0</v>
      </c>
      <c r="BA569" s="27" t="e">
        <f t="shared" si="25"/>
        <v>#VALUE!</v>
      </c>
      <c r="BB569" s="27" t="e">
        <f t="shared" si="26"/>
        <v>#VALUE!</v>
      </c>
      <c r="BC569" s="27" t="e">
        <f t="shared" si="27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3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1" t="str">
        <f>IF(A570&lt;&gt;"",OR(AI570&lt;&gt;AC570,AJ570&lt;&gt;AD570),"")</f>
        <v/>
      </c>
      <c r="AL570" s="86" t="str">
        <f>IF(AND(A570&lt;&gt;"",U570&lt;&gt;""),SUM(U570,$AL$8)/$AL$2*100,"")</f>
        <v/>
      </c>
      <c r="AM570" s="71" t="str">
        <f>IF(AND(A570&lt;&gt;"",V570&lt;&gt;""),SUM(V570,$AM$8)/$AM$2*100,"")</f>
        <v/>
      </c>
      <c r="AN570" s="71" t="str">
        <f>IF(AND(A570&lt;&gt;"",ISNUMBER(P570),P570&gt;=0),SUM(P570,$AN$8)/$AN$2*100,"")</f>
        <v/>
      </c>
      <c r="AO570" s="71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9" t="str">
        <f>IF(AND(A570&lt;&gt;"",OR(ISNUMBER(W570),ISNUMBER(X570))),SUM(W570:X570,$AT$8)/$AT$2*100,"")</f>
        <v/>
      </c>
      <c r="AU570" s="24" t="str">
        <f t="shared" si="23"/>
        <v/>
      </c>
      <c r="AV570" s="71"/>
      <c r="AW570" s="27" t="str">
        <f>IF(A570&lt;&gt;"",AE570-AA570,"")</f>
        <v/>
      </c>
      <c r="AY570" s="27" t="b">
        <f t="shared" si="24"/>
        <v>0</v>
      </c>
      <c r="BA570" s="27" t="e">
        <f t="shared" si="25"/>
        <v>#VALUE!</v>
      </c>
      <c r="BB570" s="27" t="e">
        <f t="shared" si="26"/>
        <v>#VALUE!</v>
      </c>
      <c r="BC570" s="27" t="e">
        <f t="shared" si="27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3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1" t="str">
        <f>IF(A571&lt;&gt;"",OR(AI571&lt;&gt;AC571,AJ571&lt;&gt;AD571),"")</f>
        <v/>
      </c>
      <c r="AL571" s="86" t="str">
        <f>IF(AND(A571&lt;&gt;"",U571&lt;&gt;""),SUM(U571,$AL$8)/$AL$2*100,"")</f>
        <v/>
      </c>
      <c r="AM571" s="71" t="str">
        <f>IF(AND(A571&lt;&gt;"",V571&lt;&gt;""),SUM(V571,$AM$8)/$AM$2*100,"")</f>
        <v/>
      </c>
      <c r="AN571" s="71" t="str">
        <f>IF(AND(A571&lt;&gt;"",ISNUMBER(P571),P571&gt;=0),SUM(P571,$AN$8)/$AN$2*100,"")</f>
        <v/>
      </c>
      <c r="AO571" s="71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9" t="str">
        <f>IF(AND(A571&lt;&gt;"",OR(ISNUMBER(W571),ISNUMBER(X571))),SUM(W571:X571,$AT$8)/$AT$2*100,"")</f>
        <v/>
      </c>
      <c r="AU571" s="24" t="str">
        <f t="shared" si="23"/>
        <v/>
      </c>
      <c r="AV571" s="71"/>
      <c r="AW571" s="27" t="str">
        <f>IF(A571&lt;&gt;"",AE571-AA571,"")</f>
        <v/>
      </c>
      <c r="AY571" s="27" t="b">
        <f t="shared" si="24"/>
        <v>0</v>
      </c>
      <c r="BA571" s="27" t="e">
        <f t="shared" si="25"/>
        <v>#VALUE!</v>
      </c>
      <c r="BB571" s="27" t="e">
        <f t="shared" si="26"/>
        <v>#VALUE!</v>
      </c>
      <c r="BC571" s="27" t="e">
        <f t="shared" si="27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3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1" t="str">
        <f>IF(A572&lt;&gt;"",OR(AI572&lt;&gt;AC572,AJ572&lt;&gt;AD572),"")</f>
        <v/>
      </c>
      <c r="AL572" s="86" t="str">
        <f>IF(AND(A572&lt;&gt;"",U572&lt;&gt;""),SUM(U572,$AL$8)/$AL$2*100,"")</f>
        <v/>
      </c>
      <c r="AM572" s="71" t="str">
        <f>IF(AND(A572&lt;&gt;"",V572&lt;&gt;""),SUM(V572,$AM$8)/$AM$2*100,"")</f>
        <v/>
      </c>
      <c r="AN572" s="71" t="str">
        <f>IF(AND(A572&lt;&gt;"",ISNUMBER(P572),P572&gt;=0),SUM(P572,$AN$8)/$AN$2*100,"")</f>
        <v/>
      </c>
      <c r="AO572" s="71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9" t="str">
        <f>IF(AND(A572&lt;&gt;"",OR(ISNUMBER(W572),ISNUMBER(X572))),SUM(W572:X572,$AT$8)/$AT$2*100,"")</f>
        <v/>
      </c>
      <c r="AU572" s="24" t="str">
        <f t="shared" si="23"/>
        <v/>
      </c>
      <c r="AV572" s="71"/>
      <c r="AW572" s="27" t="str">
        <f>IF(A572&lt;&gt;"",AE572-AA572,"")</f>
        <v/>
      </c>
      <c r="AY572" s="27" t="b">
        <f t="shared" si="24"/>
        <v>0</v>
      </c>
      <c r="BA572" s="27" t="e">
        <f t="shared" si="25"/>
        <v>#VALUE!</v>
      </c>
      <c r="BB572" s="27" t="e">
        <f t="shared" si="26"/>
        <v>#VALUE!</v>
      </c>
      <c r="BC572" s="27" t="e">
        <f t="shared" si="27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3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1" t="str">
        <f>IF(A573&lt;&gt;"",OR(AI573&lt;&gt;AC573,AJ573&lt;&gt;AD573),"")</f>
        <v/>
      </c>
      <c r="AL573" s="86" t="str">
        <f>IF(AND(A573&lt;&gt;"",U573&lt;&gt;""),SUM(U573,$AL$8)/$AL$2*100,"")</f>
        <v/>
      </c>
      <c r="AM573" s="71" t="str">
        <f>IF(AND(A573&lt;&gt;"",V573&lt;&gt;""),SUM(V573,$AM$8)/$AM$2*100,"")</f>
        <v/>
      </c>
      <c r="AN573" s="71" t="str">
        <f>IF(AND(A573&lt;&gt;"",ISNUMBER(P573),P573&gt;=0),SUM(P573,$AN$8)/$AN$2*100,"")</f>
        <v/>
      </c>
      <c r="AO573" s="71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9" t="str">
        <f>IF(AND(A573&lt;&gt;"",OR(ISNUMBER(W573),ISNUMBER(X573))),SUM(W573:X573,$AT$8)/$AT$2*100,"")</f>
        <v/>
      </c>
      <c r="AU573" s="24" t="str">
        <f t="shared" si="23"/>
        <v/>
      </c>
      <c r="AV573" s="71"/>
      <c r="AW573" s="27" t="str">
        <f>IF(A573&lt;&gt;"",AE573-AA573,"")</f>
        <v/>
      </c>
      <c r="AY573" s="27" t="b">
        <f t="shared" si="24"/>
        <v>0</v>
      </c>
      <c r="BA573" s="27" t="e">
        <f t="shared" si="25"/>
        <v>#VALUE!</v>
      </c>
      <c r="BB573" s="27" t="e">
        <f t="shared" si="26"/>
        <v>#VALUE!</v>
      </c>
      <c r="BC573" s="27" t="e">
        <f t="shared" si="27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3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1" t="str">
        <f>IF(A574&lt;&gt;"",OR(AI574&lt;&gt;AC574,AJ574&lt;&gt;AD574),"")</f>
        <v/>
      </c>
      <c r="AL574" s="86" t="str">
        <f>IF(AND(A574&lt;&gt;"",U574&lt;&gt;""),SUM(U574,$AL$8)/$AL$2*100,"")</f>
        <v/>
      </c>
      <c r="AM574" s="71" t="str">
        <f>IF(AND(A574&lt;&gt;"",V574&lt;&gt;""),SUM(V574,$AM$8)/$AM$2*100,"")</f>
        <v/>
      </c>
      <c r="AN574" s="71" t="str">
        <f>IF(AND(A574&lt;&gt;"",ISNUMBER(P574),P574&gt;=0),SUM(P574,$AN$8)/$AN$2*100,"")</f>
        <v/>
      </c>
      <c r="AO574" s="71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9" t="str">
        <f>IF(AND(A574&lt;&gt;"",OR(ISNUMBER(W574),ISNUMBER(X574))),SUM(W574:X574,$AT$8)/$AT$2*100,"")</f>
        <v/>
      </c>
      <c r="AU574" s="24" t="str">
        <f t="shared" si="23"/>
        <v/>
      </c>
      <c r="AV574" s="71"/>
      <c r="AW574" s="27" t="str">
        <f>IF(A574&lt;&gt;"",AE574-AA574,"")</f>
        <v/>
      </c>
      <c r="AY574" s="27" t="b">
        <f t="shared" si="24"/>
        <v>0</v>
      </c>
      <c r="BA574" s="27" t="e">
        <f t="shared" si="25"/>
        <v>#VALUE!</v>
      </c>
      <c r="BB574" s="27" t="e">
        <f t="shared" si="26"/>
        <v>#VALUE!</v>
      </c>
      <c r="BC574" s="27" t="e">
        <f t="shared" si="27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3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1" t="str">
        <f>IF(A575&lt;&gt;"",OR(AI575&lt;&gt;AC575,AJ575&lt;&gt;AD575),"")</f>
        <v/>
      </c>
      <c r="AL575" s="86" t="str">
        <f>IF(AND(A575&lt;&gt;"",U575&lt;&gt;""),SUM(U575,$AL$8)/$AL$2*100,"")</f>
        <v/>
      </c>
      <c r="AM575" s="71" t="str">
        <f>IF(AND(A575&lt;&gt;"",V575&lt;&gt;""),SUM(V575,$AM$8)/$AM$2*100,"")</f>
        <v/>
      </c>
      <c r="AN575" s="71" t="str">
        <f>IF(AND(A575&lt;&gt;"",ISNUMBER(P575),P575&gt;=0),SUM(P575,$AN$8)/$AN$2*100,"")</f>
        <v/>
      </c>
      <c r="AO575" s="71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9" t="str">
        <f>IF(AND(A575&lt;&gt;"",OR(ISNUMBER(W575),ISNUMBER(X575))),SUM(W575:X575,$AT$8)/$AT$2*100,"")</f>
        <v/>
      </c>
      <c r="AU575" s="24" t="str">
        <f t="shared" si="23"/>
        <v/>
      </c>
      <c r="AV575" s="71"/>
      <c r="AW575" s="27" t="str">
        <f>IF(A575&lt;&gt;"",AE575-AA575,"")</f>
        <v/>
      </c>
      <c r="AY575" s="27" t="b">
        <f t="shared" si="24"/>
        <v>0</v>
      </c>
      <c r="BA575" s="27" t="e">
        <f t="shared" si="25"/>
        <v>#VALUE!</v>
      </c>
      <c r="BB575" s="27" t="e">
        <f t="shared" si="26"/>
        <v>#VALUE!</v>
      </c>
      <c r="BC575" s="27" t="e">
        <f t="shared" si="27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3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1" t="str">
        <f>IF(A576&lt;&gt;"",OR(AI576&lt;&gt;AC576,AJ576&lt;&gt;AD576),"")</f>
        <v/>
      </c>
      <c r="AL576" s="86" t="str">
        <f>IF(AND(A576&lt;&gt;"",U576&lt;&gt;""),SUM(U576,$AL$8)/$AL$2*100,"")</f>
        <v/>
      </c>
      <c r="AM576" s="71" t="str">
        <f>IF(AND(A576&lt;&gt;"",V576&lt;&gt;""),SUM(V576,$AM$8)/$AM$2*100,"")</f>
        <v/>
      </c>
      <c r="AN576" s="71" t="str">
        <f>IF(AND(A576&lt;&gt;"",ISNUMBER(P576),P576&gt;=0),SUM(P576,$AN$8)/$AN$2*100,"")</f>
        <v/>
      </c>
      <c r="AO576" s="71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9" t="str">
        <f>IF(AND(A576&lt;&gt;"",OR(ISNUMBER(W576),ISNUMBER(X576))),SUM(W576:X576,$AT$8)/$AT$2*100,"")</f>
        <v/>
      </c>
      <c r="AU576" s="24" t="str">
        <f t="shared" si="23"/>
        <v/>
      </c>
      <c r="AV576" s="71"/>
      <c r="AW576" s="27" t="str">
        <f>IF(A576&lt;&gt;"",AE576-AA576,"")</f>
        <v/>
      </c>
      <c r="AY576" s="27" t="b">
        <f t="shared" si="24"/>
        <v>0</v>
      </c>
      <c r="BA576" s="27" t="e">
        <f t="shared" si="25"/>
        <v>#VALUE!</v>
      </c>
      <c r="BB576" s="27" t="e">
        <f t="shared" si="26"/>
        <v>#VALUE!</v>
      </c>
      <c r="BC576" s="27" t="e">
        <f t="shared" si="27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3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1" t="str">
        <f>IF(A577&lt;&gt;"",OR(AI577&lt;&gt;AC577,AJ577&lt;&gt;AD577),"")</f>
        <v/>
      </c>
      <c r="AL577" s="86" t="str">
        <f>IF(AND(A577&lt;&gt;"",U577&lt;&gt;""),SUM(U577,$AL$8)/$AL$2*100,"")</f>
        <v/>
      </c>
      <c r="AM577" s="71" t="str">
        <f>IF(AND(A577&lt;&gt;"",V577&lt;&gt;""),SUM(V577,$AM$8)/$AM$2*100,"")</f>
        <v/>
      </c>
      <c r="AN577" s="71" t="str">
        <f>IF(AND(A577&lt;&gt;"",ISNUMBER(P577),P577&gt;=0),SUM(P577,$AN$8)/$AN$2*100,"")</f>
        <v/>
      </c>
      <c r="AO577" s="71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9" t="str">
        <f>IF(AND(A577&lt;&gt;"",OR(ISNUMBER(W577),ISNUMBER(X577))),SUM(W577:X577,$AT$8)/$AT$2*100,"")</f>
        <v/>
      </c>
      <c r="AU577" s="24" t="str">
        <f t="shared" si="23"/>
        <v/>
      </c>
      <c r="AV577" s="71"/>
      <c r="AW577" s="27" t="str">
        <f>IF(A577&lt;&gt;"",AE577-AA577,"")</f>
        <v/>
      </c>
      <c r="AY577" s="27" t="b">
        <f t="shared" si="24"/>
        <v>0</v>
      </c>
      <c r="BA577" s="27" t="e">
        <f t="shared" si="25"/>
        <v>#VALUE!</v>
      </c>
      <c r="BB577" s="27" t="e">
        <f t="shared" si="26"/>
        <v>#VALUE!</v>
      </c>
      <c r="BC577" s="27" t="e">
        <f t="shared" si="27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3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1" t="str">
        <f>IF(A578&lt;&gt;"",OR(AI578&lt;&gt;AC578,AJ578&lt;&gt;AD578),"")</f>
        <v/>
      </c>
      <c r="AL578" s="86" t="str">
        <f>IF(AND(A578&lt;&gt;"",U578&lt;&gt;""),SUM(U578,$AL$8)/$AL$2*100,"")</f>
        <v/>
      </c>
      <c r="AM578" s="71" t="str">
        <f>IF(AND(A578&lt;&gt;"",V578&lt;&gt;""),SUM(V578,$AM$8)/$AM$2*100,"")</f>
        <v/>
      </c>
      <c r="AN578" s="71" t="str">
        <f>IF(AND(A578&lt;&gt;"",ISNUMBER(P578),P578&gt;=0),SUM(P578,$AN$8)/$AN$2*100,"")</f>
        <v/>
      </c>
      <c r="AO578" s="71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9" t="str">
        <f>IF(AND(A578&lt;&gt;"",OR(ISNUMBER(W578),ISNUMBER(X578))),SUM(W578:X578,$AT$8)/$AT$2*100,"")</f>
        <v/>
      </c>
      <c r="AU578" s="24" t="str">
        <f t="shared" si="23"/>
        <v/>
      </c>
      <c r="AV578" s="71"/>
      <c r="AW578" s="27" t="str">
        <f>IF(A578&lt;&gt;"",AE578-AA578,"")</f>
        <v/>
      </c>
      <c r="AY578" s="27" t="b">
        <f t="shared" si="24"/>
        <v>0</v>
      </c>
      <c r="BA578" s="27" t="e">
        <f t="shared" si="25"/>
        <v>#VALUE!</v>
      </c>
      <c r="BB578" s="27" t="e">
        <f t="shared" si="26"/>
        <v>#VALUE!</v>
      </c>
      <c r="BC578" s="27" t="e">
        <f t="shared" si="27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3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1" t="str">
        <f>IF(A579&lt;&gt;"",OR(AI579&lt;&gt;AC579,AJ579&lt;&gt;AD579),"")</f>
        <v/>
      </c>
      <c r="AL579" s="86" t="str">
        <f>IF(AND(A579&lt;&gt;"",U579&lt;&gt;""),SUM(U579,$AL$8)/$AL$2*100,"")</f>
        <v/>
      </c>
      <c r="AM579" s="71" t="str">
        <f>IF(AND(A579&lt;&gt;"",V579&lt;&gt;""),SUM(V579,$AM$8)/$AM$2*100,"")</f>
        <v/>
      </c>
      <c r="AN579" s="71" t="str">
        <f>IF(AND(A579&lt;&gt;"",ISNUMBER(P579),P579&gt;=0),SUM(P579,$AN$8)/$AN$2*100,"")</f>
        <v/>
      </c>
      <c r="AO579" s="71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9" t="str">
        <f>IF(AND(A579&lt;&gt;"",OR(ISNUMBER(W579),ISNUMBER(X579))),SUM(W579:X579,$AT$8)/$AT$2*100,"")</f>
        <v/>
      </c>
      <c r="AU579" s="24" t="str">
        <f t="shared" si="23"/>
        <v/>
      </c>
      <c r="AV579" s="71"/>
      <c r="AW579" s="27" t="str">
        <f>IF(A579&lt;&gt;"",AE579-AA579,"")</f>
        <v/>
      </c>
      <c r="AY579" s="27" t="b">
        <f t="shared" si="24"/>
        <v>0</v>
      </c>
      <c r="BA579" s="27" t="e">
        <f t="shared" si="25"/>
        <v>#VALUE!</v>
      </c>
      <c r="BB579" s="27" t="e">
        <f t="shared" si="26"/>
        <v>#VALUE!</v>
      </c>
      <c r="BC579" s="27" t="e">
        <f t="shared" si="27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4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9" t="str">
        <f>IF(AND(A580&lt;&gt;"",OR(ISNUMBER(W580),ISNUMBER(X580))),SUM(W580:X580,$AT$8)/$AT$2*100,"")</f>
        <v/>
      </c>
      <c r="AU580" s="24" t="str">
        <f t="shared" si="23"/>
        <v/>
      </c>
      <c r="AV580" s="24"/>
      <c r="AW580" s="27" t="str">
        <f>IF(A580&lt;&gt;"",AE580-AA580,"")</f>
        <v/>
      </c>
      <c r="AY580" s="27" t="b">
        <f t="shared" si="24"/>
        <v>0</v>
      </c>
      <c r="BA580" s="27" t="e">
        <f t="shared" si="25"/>
        <v>#VALUE!</v>
      </c>
      <c r="BB580" s="27" t="e">
        <f t="shared" si="26"/>
        <v>#VALUE!</v>
      </c>
      <c r="BC580" s="27" t="e">
        <f t="shared" si="27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4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9" t="str">
        <f>IF(AND(A581&lt;&gt;"",OR(ISNUMBER(W581),ISNUMBER(X581))),SUM(W581:X581,$AT$8)/$AT$2*100,"")</f>
        <v/>
      </c>
      <c r="AU581" s="24" t="str">
        <f t="shared" si="23"/>
        <v/>
      </c>
      <c r="AV581" s="24"/>
      <c r="AW581" s="27" t="str">
        <f>IF(A581&lt;&gt;"",AE581-AA581,"")</f>
        <v/>
      </c>
      <c r="AY581" s="27" t="b">
        <f t="shared" si="24"/>
        <v>0</v>
      </c>
      <c r="BA581" s="27" t="e">
        <f t="shared" si="25"/>
        <v>#VALUE!</v>
      </c>
      <c r="BB581" s="27" t="e">
        <f t="shared" si="26"/>
        <v>#VALUE!</v>
      </c>
      <c r="BC581" s="27" t="e">
        <f t="shared" si="27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4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9" t="str">
        <f>IF(AND(A582&lt;&gt;"",OR(ISNUMBER(W582),ISNUMBER(X582))),SUM(W582:X582,$AT$8)/$AT$2*100,"")</f>
        <v/>
      </c>
      <c r="AU582" s="24" t="str">
        <f t="shared" si="23"/>
        <v/>
      </c>
      <c r="AV582" s="24"/>
      <c r="AW582" s="27" t="str">
        <f>IF(A582&lt;&gt;"",AE582-AA582,"")</f>
        <v/>
      </c>
      <c r="AY582" s="27" t="b">
        <f t="shared" si="24"/>
        <v>0</v>
      </c>
      <c r="BA582" s="27" t="e">
        <f t="shared" si="25"/>
        <v>#VALUE!</v>
      </c>
      <c r="BB582" s="27" t="e">
        <f t="shared" si="26"/>
        <v>#VALUE!</v>
      </c>
      <c r="BC582" s="27" t="e">
        <f t="shared" si="27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4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9" t="str">
        <f>IF(AND(A583&lt;&gt;"",OR(ISNUMBER(W583),ISNUMBER(X583))),SUM(W583:X583,$AT$8)/$AT$2*100,"")</f>
        <v/>
      </c>
      <c r="AU583" s="24" t="str">
        <f t="shared" si="23"/>
        <v/>
      </c>
      <c r="AV583" s="24"/>
      <c r="AW583" s="27" t="str">
        <f>IF(A583&lt;&gt;"",AE583-AA583,"")</f>
        <v/>
      </c>
      <c r="AY583" s="27" t="b">
        <f t="shared" si="24"/>
        <v>0</v>
      </c>
      <c r="BA583" s="27" t="e">
        <f t="shared" si="25"/>
        <v>#VALUE!</v>
      </c>
      <c r="BB583" s="27" t="e">
        <f t="shared" si="26"/>
        <v>#VALUE!</v>
      </c>
      <c r="BC583" s="27" t="e">
        <f t="shared" si="27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3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1" t="str">
        <f>IF(A584&lt;&gt;"",OR(AI584&lt;&gt;AC584,AJ584&lt;&gt;AD584),"")</f>
        <v/>
      </c>
      <c r="AL584" s="86" t="str">
        <f>IF(AND(A584&lt;&gt;"",U584&lt;&gt;""),SUM(U584,$AL$8)/$AL$2*100,"")</f>
        <v/>
      </c>
      <c r="AM584" s="71" t="str">
        <f>IF(AND(A584&lt;&gt;"",V584&lt;&gt;""),SUM(V584,$AM$8)/$AM$2*100,"")</f>
        <v/>
      </c>
      <c r="AN584" s="71" t="str">
        <f>IF(AND(A584&lt;&gt;"",ISNUMBER(P584),P584&gt;=0),SUM(P584,$AN$8)/$AN$2*100,"")</f>
        <v/>
      </c>
      <c r="AO584" s="71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9" t="str">
        <f>IF(AND(A584&lt;&gt;"",OR(ISNUMBER(W584),ISNUMBER(X584))),SUM(W584:X584,$AT$8)/$AT$2*100,"")</f>
        <v/>
      </c>
      <c r="AU584" s="24" t="str">
        <f t="shared" si="23"/>
        <v/>
      </c>
      <c r="AV584" s="71"/>
      <c r="AW584" s="27" t="str">
        <f>IF(A584&lt;&gt;"",AE584-AA584,"")</f>
        <v/>
      </c>
      <c r="AY584" s="27" t="b">
        <f t="shared" si="24"/>
        <v>0</v>
      </c>
      <c r="BA584" s="27" t="e">
        <f t="shared" si="25"/>
        <v>#VALUE!</v>
      </c>
      <c r="BB584" s="27" t="e">
        <f t="shared" si="26"/>
        <v>#VALUE!</v>
      </c>
      <c r="BC584" s="27" t="e">
        <f t="shared" si="27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3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1" t="str">
        <f>IF(A585&lt;&gt;"",OR(AI585&lt;&gt;AC585,AJ585&lt;&gt;AD585),"")</f>
        <v/>
      </c>
      <c r="AL585" s="86" t="str">
        <f>IF(AND(A585&lt;&gt;"",U585&lt;&gt;""),SUM(U585,$AL$8)/$AL$2*100,"")</f>
        <v/>
      </c>
      <c r="AM585" s="71" t="str">
        <f>IF(AND(A585&lt;&gt;"",V585&lt;&gt;""),SUM(V585,$AM$8)/$AM$2*100,"")</f>
        <v/>
      </c>
      <c r="AN585" s="71" t="str">
        <f>IF(AND(A585&lt;&gt;"",ISNUMBER(P585),P585&gt;=0),SUM(P585,$AN$8)/$AN$2*100,"")</f>
        <v/>
      </c>
      <c r="AO585" s="71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9" t="str">
        <f>IF(AND(A585&lt;&gt;"",OR(ISNUMBER(W585),ISNUMBER(X585))),SUM(W585:X585,$AT$8)/$AT$2*100,"")</f>
        <v/>
      </c>
      <c r="AU585" s="24" t="str">
        <f t="shared" si="23"/>
        <v/>
      </c>
      <c r="AV585" s="71"/>
      <c r="AW585" s="27" t="str">
        <f>IF(A585&lt;&gt;"",AE585-AA585,"")</f>
        <v/>
      </c>
      <c r="AY585" s="27" t="b">
        <f t="shared" si="24"/>
        <v>0</v>
      </c>
      <c r="BA585" s="27" t="e">
        <f t="shared" si="25"/>
        <v>#VALUE!</v>
      </c>
      <c r="BB585" s="27" t="e">
        <f t="shared" si="26"/>
        <v>#VALUE!</v>
      </c>
      <c r="BC585" s="27" t="e">
        <f t="shared" si="27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3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1" t="str">
        <f>IF(A586&lt;&gt;"",OR(AI586&lt;&gt;AC586,AJ586&lt;&gt;AD586),"")</f>
        <v/>
      </c>
      <c r="AL586" s="86" t="str">
        <f>IF(AND(A586&lt;&gt;"",U586&lt;&gt;""),SUM(U586,$AL$8)/$AL$2*100,"")</f>
        <v/>
      </c>
      <c r="AM586" s="71" t="str">
        <f>IF(AND(A586&lt;&gt;"",V586&lt;&gt;""),SUM(V586,$AM$8)/$AM$2*100,"")</f>
        <v/>
      </c>
      <c r="AN586" s="71" t="str">
        <f>IF(AND(A586&lt;&gt;"",ISNUMBER(P586),P586&gt;=0),SUM(P586,$AN$8)/$AN$2*100,"")</f>
        <v/>
      </c>
      <c r="AO586" s="71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9" t="str">
        <f>IF(AND(A586&lt;&gt;"",OR(ISNUMBER(W586),ISNUMBER(X586))),SUM(W586:X586,$AT$8)/$AT$2*100,"")</f>
        <v/>
      </c>
      <c r="AU586" s="24" t="str">
        <f t="shared" si="23"/>
        <v/>
      </c>
      <c r="AV586" s="71"/>
      <c r="AW586" s="27" t="str">
        <f>IF(A586&lt;&gt;"",AE586-AA586,"")</f>
        <v/>
      </c>
      <c r="AY586" s="27" t="b">
        <f t="shared" si="24"/>
        <v>0</v>
      </c>
      <c r="BA586" s="27" t="e">
        <f t="shared" si="25"/>
        <v>#VALUE!</v>
      </c>
      <c r="BB586" s="27" t="e">
        <f t="shared" si="26"/>
        <v>#VALUE!</v>
      </c>
      <c r="BC586" s="27" t="e">
        <f t="shared" si="27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3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1" t="str">
        <f>IF(A587&lt;&gt;"",OR(AI587&lt;&gt;AC587,AJ587&lt;&gt;AD587),"")</f>
        <v/>
      </c>
      <c r="AL587" s="86" t="str">
        <f>IF(AND(A587&lt;&gt;"",U587&lt;&gt;""),SUM(U587,$AL$8)/$AL$2*100,"")</f>
        <v/>
      </c>
      <c r="AM587" s="71" t="str">
        <f>IF(AND(A587&lt;&gt;"",V587&lt;&gt;""),SUM(V587,$AM$8)/$AM$2*100,"")</f>
        <v/>
      </c>
      <c r="AN587" s="71" t="str">
        <f>IF(AND(A587&lt;&gt;"",ISNUMBER(P587),P587&gt;=0),SUM(P587,$AN$8)/$AN$2*100,"")</f>
        <v/>
      </c>
      <c r="AO587" s="71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9" t="str">
        <f>IF(AND(A587&lt;&gt;"",OR(ISNUMBER(W587),ISNUMBER(X587))),SUM(W587:X587,$AT$8)/$AT$2*100,"")</f>
        <v/>
      </c>
      <c r="AU587" s="24" t="str">
        <f t="shared" si="23"/>
        <v/>
      </c>
      <c r="AV587" s="71"/>
      <c r="AW587" s="27" t="str">
        <f>IF(A587&lt;&gt;"",AE587-AA587,"")</f>
        <v/>
      </c>
      <c r="AY587" s="27" t="b">
        <f t="shared" si="24"/>
        <v>0</v>
      </c>
      <c r="BA587" s="27" t="e">
        <f t="shared" si="25"/>
        <v>#VALUE!</v>
      </c>
      <c r="BB587" s="27" t="e">
        <f t="shared" si="26"/>
        <v>#VALUE!</v>
      </c>
      <c r="BC587" s="27" t="e">
        <f t="shared" si="27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3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1" t="str">
        <f>IF(A588&lt;&gt;"",OR(AI588&lt;&gt;AC588,AJ588&lt;&gt;AD588),"")</f>
        <v/>
      </c>
      <c r="AL588" s="86" t="str">
        <f>IF(AND(A588&lt;&gt;"",U588&lt;&gt;""),SUM(U588,$AL$8)/$AL$2*100,"")</f>
        <v/>
      </c>
      <c r="AM588" s="71" t="str">
        <f>IF(AND(A588&lt;&gt;"",V588&lt;&gt;""),SUM(V588,$AM$8)/$AM$2*100,"")</f>
        <v/>
      </c>
      <c r="AN588" s="71" t="str">
        <f>IF(AND(A588&lt;&gt;"",ISNUMBER(P588),P588&gt;=0),SUM(P588,$AN$8)/$AN$2*100,"")</f>
        <v/>
      </c>
      <c r="AO588" s="71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9" t="str">
        <f>IF(AND(A588&lt;&gt;"",OR(ISNUMBER(W588),ISNUMBER(X588))),SUM(W588:X588,$AT$8)/$AT$2*100,"")</f>
        <v/>
      </c>
      <c r="AU588" s="24" t="str">
        <f t="shared" si="23"/>
        <v/>
      </c>
      <c r="AV588" s="71"/>
      <c r="AW588" s="27" t="str">
        <f>IF(A588&lt;&gt;"",AE588-AA588,"")</f>
        <v/>
      </c>
      <c r="AY588" s="27" t="b">
        <f t="shared" si="24"/>
        <v>0</v>
      </c>
      <c r="BA588" s="27" t="e">
        <f t="shared" si="25"/>
        <v>#VALUE!</v>
      </c>
      <c r="BB588" s="27" t="e">
        <f t="shared" si="26"/>
        <v>#VALUE!</v>
      </c>
      <c r="BC588" s="27" t="e">
        <f t="shared" si="27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3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1" t="str">
        <f>IF(A589&lt;&gt;"",OR(AI589&lt;&gt;AC589,AJ589&lt;&gt;AD589),"")</f>
        <v/>
      </c>
      <c r="AL589" s="86" t="str">
        <f>IF(AND(A589&lt;&gt;"",U589&lt;&gt;""),SUM(U589,$AL$8)/$AL$2*100,"")</f>
        <v/>
      </c>
      <c r="AM589" s="71" t="str">
        <f>IF(AND(A589&lt;&gt;"",V589&lt;&gt;""),SUM(V589,$AM$8)/$AM$2*100,"")</f>
        <v/>
      </c>
      <c r="AN589" s="71" t="str">
        <f>IF(AND(A589&lt;&gt;"",ISNUMBER(P589),P589&gt;=0),SUM(P589,$AN$8)/$AN$2*100,"")</f>
        <v/>
      </c>
      <c r="AO589" s="71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9" t="str">
        <f>IF(AND(A589&lt;&gt;"",OR(ISNUMBER(W589),ISNUMBER(X589))),SUM(W589:X589,$AT$8)/$AT$2*100,"")</f>
        <v/>
      </c>
      <c r="AU589" s="24" t="str">
        <f t="shared" si="23"/>
        <v/>
      </c>
      <c r="AV589" s="71"/>
      <c r="AW589" s="27" t="str">
        <f>IF(A589&lt;&gt;"",AE589-AA589,"")</f>
        <v/>
      </c>
      <c r="AY589" s="27" t="b">
        <f t="shared" si="24"/>
        <v>0</v>
      </c>
      <c r="BA589" s="27" t="e">
        <f t="shared" si="25"/>
        <v>#VALUE!</v>
      </c>
      <c r="BB589" s="27" t="e">
        <f t="shared" si="26"/>
        <v>#VALUE!</v>
      </c>
      <c r="BC589" s="27" t="e">
        <f t="shared" si="27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3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1" t="str">
        <f>IF(A590&lt;&gt;"",OR(AI590&lt;&gt;AC590,AJ590&lt;&gt;AD590),"")</f>
        <v/>
      </c>
      <c r="AL590" s="86" t="str">
        <f>IF(AND(A590&lt;&gt;"",U590&lt;&gt;""),SUM(U590,$AL$8)/$AL$2*100,"")</f>
        <v/>
      </c>
      <c r="AM590" s="71" t="str">
        <f>IF(AND(A590&lt;&gt;"",V590&lt;&gt;""),SUM(V590,$AM$8)/$AM$2*100,"")</f>
        <v/>
      </c>
      <c r="AN590" s="71" t="str">
        <f>IF(AND(A590&lt;&gt;"",ISNUMBER(P590),P590&gt;=0),SUM(P590,$AN$8)/$AN$2*100,"")</f>
        <v/>
      </c>
      <c r="AO590" s="71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9" t="str">
        <f>IF(AND(A590&lt;&gt;"",OR(ISNUMBER(W590),ISNUMBER(X590))),SUM(W590:X590,$AT$8)/$AT$2*100,"")</f>
        <v/>
      </c>
      <c r="AU590" s="24" t="str">
        <f t="shared" si="23"/>
        <v/>
      </c>
      <c r="AV590" s="71"/>
      <c r="AW590" s="27" t="str">
        <f>IF(A590&lt;&gt;"",AE590-AA590,"")</f>
        <v/>
      </c>
      <c r="AY590" s="27" t="b">
        <f t="shared" si="24"/>
        <v>0</v>
      </c>
      <c r="BA590" s="27" t="e">
        <f t="shared" si="25"/>
        <v>#VALUE!</v>
      </c>
      <c r="BB590" s="27" t="e">
        <f t="shared" si="26"/>
        <v>#VALUE!</v>
      </c>
      <c r="BC590" s="27" t="e">
        <f t="shared" si="27"/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3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1" t="str">
        <f>IF(A591&lt;&gt;"",OR(AI591&lt;&gt;AC591,AJ591&lt;&gt;AD591),"")</f>
        <v/>
      </c>
      <c r="AL591" s="86" t="str">
        <f>IF(AND(A591&lt;&gt;"",U591&lt;&gt;""),SUM(U591,$AL$8)/$AL$2*100,"")</f>
        <v/>
      </c>
      <c r="AM591" s="71" t="str">
        <f>IF(AND(A591&lt;&gt;"",V591&lt;&gt;""),SUM(V591,$AM$8)/$AM$2*100,"")</f>
        <v/>
      </c>
      <c r="AN591" s="71" t="str">
        <f>IF(AND(A591&lt;&gt;"",ISNUMBER(P591),P591&gt;=0),SUM(P591,$AN$8)/$AN$2*100,"")</f>
        <v/>
      </c>
      <c r="AO591" s="71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9" t="str">
        <f>IF(AND(A591&lt;&gt;"",OR(ISNUMBER(W591),ISNUMBER(X591))),SUM(W591:X591,$AT$8)/$AT$2*100,"")</f>
        <v/>
      </c>
      <c r="AU591" s="24" t="str">
        <f t="shared" si="23"/>
        <v/>
      </c>
      <c r="AV591" s="71"/>
      <c r="AW591" s="27" t="str">
        <f>IF(A591&lt;&gt;"",AE591-AA591,"")</f>
        <v/>
      </c>
      <c r="AY591" s="27" t="b">
        <f t="shared" si="24"/>
        <v>0</v>
      </c>
      <c r="BA591" s="27" t="e">
        <f t="shared" si="25"/>
        <v>#VALUE!</v>
      </c>
      <c r="BB591" s="27" t="e">
        <f t="shared" si="26"/>
        <v>#VALUE!</v>
      </c>
      <c r="BC591" s="27" t="e">
        <f t="shared" si="27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3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1" t="str">
        <f>IF(A592&lt;&gt;"",OR(AI592&lt;&gt;AC592,AJ592&lt;&gt;AD592),"")</f>
        <v/>
      </c>
      <c r="AL592" s="86" t="str">
        <f>IF(AND(A592&lt;&gt;"",U592&lt;&gt;""),SUM(U592,$AL$8)/$AL$2*100,"")</f>
        <v/>
      </c>
      <c r="AM592" s="71" t="str">
        <f>IF(AND(A592&lt;&gt;"",V592&lt;&gt;""),SUM(V592,$AM$8)/$AM$2*100,"")</f>
        <v/>
      </c>
      <c r="AN592" s="71" t="str">
        <f>IF(AND(A592&lt;&gt;"",ISNUMBER(P592),P592&gt;=0),SUM(P592,$AN$8)/$AN$2*100,"")</f>
        <v/>
      </c>
      <c r="AO592" s="71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9" t="str">
        <f>IF(AND(A592&lt;&gt;"",OR(ISNUMBER(W592),ISNUMBER(X592))),SUM(W592:X592,$AT$8)/$AT$2*100,"")</f>
        <v/>
      </c>
      <c r="AU592" s="24" t="str">
        <f t="shared" si="23"/>
        <v/>
      </c>
      <c r="AV592" s="71"/>
      <c r="AW592" s="27" t="str">
        <f>IF(A592&lt;&gt;"",AE592-AA592,"")</f>
        <v/>
      </c>
      <c r="AY592" s="27" t="b">
        <f t="shared" si="24"/>
        <v>0</v>
      </c>
      <c r="BA592" s="27" t="e">
        <f t="shared" si="25"/>
        <v>#VALUE!</v>
      </c>
      <c r="BB592" s="27" t="e">
        <f t="shared" si="26"/>
        <v>#VALUE!</v>
      </c>
      <c r="BC592" s="27" t="e">
        <f t="shared" si="27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3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1" t="str">
        <f>IF(A593&lt;&gt;"",OR(AI593&lt;&gt;AC593,AJ593&lt;&gt;AD593),"")</f>
        <v/>
      </c>
      <c r="AL593" s="86" t="str">
        <f>IF(AND(A593&lt;&gt;"",U593&lt;&gt;""),SUM(U593,$AL$8)/$AL$2*100,"")</f>
        <v/>
      </c>
      <c r="AM593" s="71" t="str">
        <f>IF(AND(A593&lt;&gt;"",V593&lt;&gt;""),SUM(V593,$AM$8)/$AM$2*100,"")</f>
        <v/>
      </c>
      <c r="AN593" s="71" t="str">
        <f>IF(AND(A593&lt;&gt;"",ISNUMBER(P593),P593&gt;=0),SUM(P593,$AN$8)/$AN$2*100,"")</f>
        <v/>
      </c>
      <c r="AO593" s="71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9" t="str">
        <f>IF(AND(A593&lt;&gt;"",OR(ISNUMBER(W593),ISNUMBER(X593))),SUM(W593:X593,$AT$8)/$AT$2*100,"")</f>
        <v/>
      </c>
      <c r="AU593" s="24" t="str">
        <f t="shared" si="23"/>
        <v/>
      </c>
      <c r="AV593" s="71"/>
      <c r="AW593" s="27" t="str">
        <f>IF(A593&lt;&gt;"",AE593-AA593,"")</f>
        <v/>
      </c>
      <c r="AY593" s="27" t="b">
        <f t="shared" si="24"/>
        <v>0</v>
      </c>
      <c r="BA593" s="27" t="e">
        <f t="shared" si="25"/>
        <v>#VALUE!</v>
      </c>
      <c r="BB593" s="27" t="e">
        <f t="shared" si="26"/>
        <v>#VALUE!</v>
      </c>
      <c r="BC593" s="27" t="e">
        <f t="shared" si="27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3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1" t="str">
        <f>IF(A594&lt;&gt;"",OR(AI594&lt;&gt;AC594,AJ594&lt;&gt;AD594),"")</f>
        <v/>
      </c>
      <c r="AL594" s="86" t="str">
        <f>IF(AND(A594&lt;&gt;"",U594&lt;&gt;""),SUM(U594,$AL$8)/$AL$2*100,"")</f>
        <v/>
      </c>
      <c r="AM594" s="71" t="str">
        <f>IF(AND(A594&lt;&gt;"",V594&lt;&gt;""),SUM(V594,$AM$8)/$AM$2*100,"")</f>
        <v/>
      </c>
      <c r="AN594" s="71" t="str">
        <f>IF(AND(A594&lt;&gt;"",ISNUMBER(P594),P594&gt;=0),SUM(P594,$AN$8)/$AN$2*100,"")</f>
        <v/>
      </c>
      <c r="AO594" s="71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9" t="str">
        <f>IF(AND(A594&lt;&gt;"",OR(ISNUMBER(W594),ISNUMBER(X594))),SUM(W594:X594,$AT$8)/$AT$2*100,"")</f>
        <v/>
      </c>
      <c r="AU594" s="24" t="str">
        <f t="shared" ref="AU594:AU607" si="28">AA594</f>
        <v/>
      </c>
      <c r="AV594" s="71"/>
      <c r="AW594" s="27" t="str">
        <f>IF(A594&lt;&gt;"",AE594-AA594,"")</f>
        <v/>
      </c>
      <c r="AY594" s="27" t="b">
        <f t="shared" ref="AY594:AY607" si="29">S594&gt;R594</f>
        <v>0</v>
      </c>
      <c r="BA594" s="27" t="e">
        <f t="shared" ref="BA594:BA607" si="30">AND(AA594&gt;$BA$3,(W594+$W$8)/$W$2&lt;$BB$3,(X594+$X$8)/$X$2&lt;$BB$3)</f>
        <v>#VALUE!</v>
      </c>
      <c r="BB594" s="27" t="e">
        <f t="shared" ref="BB594:BB607" si="31">AND(AA594&lt;$BA$3,AND(W594/$W$2&gt;$BB$3,X594/$X$2&gt;$BB$3))</f>
        <v>#VALUE!</v>
      </c>
      <c r="BC594" s="27" t="e">
        <f t="shared" ref="BC594:BC607" si="32">AND(AA594&lt;$BA$3,OR(W594/$W$2&gt;$BB$3,X594/$X$2&gt;$BB$3))</f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3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1" t="str">
        <f>IF(A595&lt;&gt;"",OR(AI595&lt;&gt;AC595,AJ595&lt;&gt;AD595),"")</f>
        <v/>
      </c>
      <c r="AL595" s="86" t="str">
        <f>IF(AND(A595&lt;&gt;"",U595&lt;&gt;""),SUM(U595,$AL$8)/$AL$2*100,"")</f>
        <v/>
      </c>
      <c r="AM595" s="71" t="str">
        <f>IF(AND(A595&lt;&gt;"",V595&lt;&gt;""),SUM(V595,$AM$8)/$AM$2*100,"")</f>
        <v/>
      </c>
      <c r="AN595" s="71" t="str">
        <f>IF(AND(A595&lt;&gt;"",ISNUMBER(P595),P595&gt;=0),SUM(P595,$AN$8)/$AN$2*100,"")</f>
        <v/>
      </c>
      <c r="AO595" s="71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9" t="str">
        <f>IF(AND(A595&lt;&gt;"",OR(ISNUMBER(W595),ISNUMBER(X595))),SUM(W595:X595,$AT$8)/$AT$2*100,"")</f>
        <v/>
      </c>
      <c r="AU595" s="24" t="str">
        <f t="shared" si="28"/>
        <v/>
      </c>
      <c r="AV595" s="71"/>
      <c r="AW595" s="27" t="str">
        <f>IF(A595&lt;&gt;"",AE595-AA595,"")</f>
        <v/>
      </c>
      <c r="AY595" s="27" t="b">
        <f t="shared" si="29"/>
        <v>0</v>
      </c>
      <c r="BA595" s="27" t="e">
        <f t="shared" si="30"/>
        <v>#VALUE!</v>
      </c>
      <c r="BB595" s="27" t="e">
        <f t="shared" si="31"/>
        <v>#VALUE!</v>
      </c>
      <c r="BC595" s="27" t="e">
        <f t="shared" si="32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3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1" t="str">
        <f>IF(A596&lt;&gt;"",OR(AI596&lt;&gt;AC596,AJ596&lt;&gt;AD596),"")</f>
        <v/>
      </c>
      <c r="AL596" s="86" t="str">
        <f>IF(AND(A596&lt;&gt;"",U596&lt;&gt;""),SUM(U596,$AL$8)/$AL$2*100,"")</f>
        <v/>
      </c>
      <c r="AM596" s="71" t="str">
        <f>IF(AND(A596&lt;&gt;"",V596&lt;&gt;""),SUM(V596,$AM$8)/$AM$2*100,"")</f>
        <v/>
      </c>
      <c r="AN596" s="71" t="str">
        <f>IF(AND(A596&lt;&gt;"",ISNUMBER(P596),P596&gt;=0),SUM(P596,$AN$8)/$AN$2*100,"")</f>
        <v/>
      </c>
      <c r="AO596" s="71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9" t="str">
        <f>IF(AND(A596&lt;&gt;"",OR(ISNUMBER(W596),ISNUMBER(X596))),SUM(W596:X596,$AT$8)/$AT$2*100,"")</f>
        <v/>
      </c>
      <c r="AU596" s="24" t="str">
        <f t="shared" si="28"/>
        <v/>
      </c>
      <c r="AV596" s="71"/>
      <c r="AW596" s="27" t="str">
        <f>IF(A596&lt;&gt;"",AE596-AA596,"")</f>
        <v/>
      </c>
      <c r="AY596" s="27" t="b">
        <f t="shared" si="29"/>
        <v>0</v>
      </c>
      <c r="BA596" s="27" t="e">
        <f t="shared" si="30"/>
        <v>#VALUE!</v>
      </c>
      <c r="BB596" s="27" t="e">
        <f t="shared" si="31"/>
        <v>#VALUE!</v>
      </c>
      <c r="BC596" s="27" t="e">
        <f t="shared" si="32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3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1" t="str">
        <f>IF(A597&lt;&gt;"",OR(AI597&lt;&gt;AC597,AJ597&lt;&gt;AD597),"")</f>
        <v/>
      </c>
      <c r="AL597" s="86" t="str">
        <f>IF(AND(A597&lt;&gt;"",U597&lt;&gt;""),SUM(U597,$AL$8)/$AL$2*100,"")</f>
        <v/>
      </c>
      <c r="AM597" s="71" t="str">
        <f>IF(AND(A597&lt;&gt;"",V597&lt;&gt;""),SUM(V597,$AM$8)/$AM$2*100,"")</f>
        <v/>
      </c>
      <c r="AN597" s="71" t="str">
        <f>IF(AND(A597&lt;&gt;"",ISNUMBER(P597),P597&gt;=0),SUM(P597,$AN$8)/$AN$2*100,"")</f>
        <v/>
      </c>
      <c r="AO597" s="71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9" t="str">
        <f>IF(AND(A597&lt;&gt;"",OR(ISNUMBER(W597),ISNUMBER(X597))),SUM(W597:X597,$AT$8)/$AT$2*100,"")</f>
        <v/>
      </c>
      <c r="AU597" s="24" t="str">
        <f t="shared" si="28"/>
        <v/>
      </c>
      <c r="AV597" s="71"/>
      <c r="AW597" s="27" t="str">
        <f>IF(A597&lt;&gt;"",AE597-AA597,"")</f>
        <v/>
      </c>
      <c r="AY597" s="27" t="b">
        <f t="shared" si="29"/>
        <v>0</v>
      </c>
      <c r="BA597" s="27" t="e">
        <f t="shared" si="30"/>
        <v>#VALUE!</v>
      </c>
      <c r="BB597" s="27" t="e">
        <f t="shared" si="31"/>
        <v>#VALUE!</v>
      </c>
      <c r="BC597" s="27" t="e">
        <f t="shared" si="32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3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1" t="str">
        <f>IF(A598&lt;&gt;"",OR(AI598&lt;&gt;AC598,AJ598&lt;&gt;AD598),"")</f>
        <v/>
      </c>
      <c r="AL598" s="86" t="str">
        <f>IF(AND(A598&lt;&gt;"",U598&lt;&gt;""),SUM(U598,$AL$8)/$AL$2*100,"")</f>
        <v/>
      </c>
      <c r="AM598" s="71" t="str">
        <f>IF(AND(A598&lt;&gt;"",V598&lt;&gt;""),SUM(V598,$AM$8)/$AM$2*100,"")</f>
        <v/>
      </c>
      <c r="AN598" s="71" t="str">
        <f>IF(AND(A598&lt;&gt;"",ISNUMBER(P598),P598&gt;=0),SUM(P598,$AN$8)/$AN$2*100,"")</f>
        <v/>
      </c>
      <c r="AO598" s="71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9" t="str">
        <f>IF(AND(A598&lt;&gt;"",OR(ISNUMBER(W598),ISNUMBER(X598))),SUM(W598:X598,$AT$8)/$AT$2*100,"")</f>
        <v/>
      </c>
      <c r="AU598" s="24" t="str">
        <f t="shared" si="28"/>
        <v/>
      </c>
      <c r="AV598" s="71"/>
      <c r="AW598" s="27" t="str">
        <f>IF(A598&lt;&gt;"",AE598-AA598,"")</f>
        <v/>
      </c>
      <c r="AY598" s="27" t="b">
        <f t="shared" si="29"/>
        <v>0</v>
      </c>
      <c r="BA598" s="27" t="e">
        <f t="shared" si="30"/>
        <v>#VALUE!</v>
      </c>
      <c r="BB598" s="27" t="e">
        <f t="shared" si="31"/>
        <v>#VALUE!</v>
      </c>
      <c r="BC598" s="27" t="e">
        <f t="shared" si="32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3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1" t="str">
        <f>IF(A599&lt;&gt;"",OR(AI599&lt;&gt;AC599,AJ599&lt;&gt;AD599),"")</f>
        <v/>
      </c>
      <c r="AL599" s="86" t="str">
        <f>IF(AND(A599&lt;&gt;"",U599&lt;&gt;""),SUM(U599,$AL$8)/$AL$2*100,"")</f>
        <v/>
      </c>
      <c r="AM599" s="71" t="str">
        <f>IF(AND(A599&lt;&gt;"",V599&lt;&gt;""),SUM(V599,$AM$8)/$AM$2*100,"")</f>
        <v/>
      </c>
      <c r="AN599" s="71" t="str">
        <f>IF(AND(A599&lt;&gt;"",ISNUMBER(P599),P599&gt;=0),SUM(P599,$AN$8)/$AN$2*100,"")</f>
        <v/>
      </c>
      <c r="AO599" s="71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9" t="str">
        <f>IF(AND(A599&lt;&gt;"",OR(ISNUMBER(W599),ISNUMBER(X599))),SUM(W599:X599,$AT$8)/$AT$2*100,"")</f>
        <v/>
      </c>
      <c r="AU599" s="24" t="str">
        <f t="shared" si="28"/>
        <v/>
      </c>
      <c r="AV599" s="71"/>
      <c r="AW599" s="27" t="str">
        <f>IF(A599&lt;&gt;"",AE599-AA599,"")</f>
        <v/>
      </c>
      <c r="AY599" s="27" t="b">
        <f t="shared" si="29"/>
        <v>0</v>
      </c>
      <c r="BA599" s="27" t="e">
        <f t="shared" si="30"/>
        <v>#VALUE!</v>
      </c>
      <c r="BB599" s="27" t="e">
        <f t="shared" si="31"/>
        <v>#VALUE!</v>
      </c>
      <c r="BC599" s="27" t="e">
        <f t="shared" si="32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3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1" t="str">
        <f>IF(A600&lt;&gt;"",OR(AI600&lt;&gt;AC600,AJ600&lt;&gt;AD600),"")</f>
        <v/>
      </c>
      <c r="AL600" s="86" t="str">
        <f>IF(AND(A600&lt;&gt;"",U600&lt;&gt;""),SUM(U600,$AL$8)/$AL$2*100,"")</f>
        <v/>
      </c>
      <c r="AM600" s="71" t="str">
        <f>IF(AND(A600&lt;&gt;"",V600&lt;&gt;""),SUM(V600,$AM$8)/$AM$2*100,"")</f>
        <v/>
      </c>
      <c r="AN600" s="71" t="str">
        <f>IF(AND(A600&lt;&gt;"",ISNUMBER(P600),P600&gt;=0),SUM(P600,$AN$8)/$AN$2*100,"")</f>
        <v/>
      </c>
      <c r="AO600" s="71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9" t="str">
        <f>IF(AND(A600&lt;&gt;"",OR(ISNUMBER(W600),ISNUMBER(X600))),SUM(W600:X600,$AT$8)/$AT$2*100,"")</f>
        <v/>
      </c>
      <c r="AU600" s="24" t="str">
        <f t="shared" si="28"/>
        <v/>
      </c>
      <c r="AV600" s="71"/>
      <c r="AW600" s="27" t="str">
        <f>IF(A600&lt;&gt;"",AE600-AA600,"")</f>
        <v/>
      </c>
      <c r="AY600" s="27" t="b">
        <f t="shared" si="29"/>
        <v>0</v>
      </c>
      <c r="BA600" s="27" t="e">
        <f t="shared" si="30"/>
        <v>#VALUE!</v>
      </c>
      <c r="BB600" s="27" t="e">
        <f t="shared" si="31"/>
        <v>#VALUE!</v>
      </c>
      <c r="BC600" s="27" t="e">
        <f t="shared" si="32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3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1" t="str">
        <f>IF(A601&lt;&gt;"",OR(AI601&lt;&gt;AC601,AJ601&lt;&gt;AD601),"")</f>
        <v/>
      </c>
      <c r="AL601" s="86" t="str">
        <f>IF(AND(A601&lt;&gt;"",U601&lt;&gt;""),SUM(U601,$AL$8)/$AL$2*100,"")</f>
        <v/>
      </c>
      <c r="AM601" s="71" t="str">
        <f>IF(AND(A601&lt;&gt;"",V601&lt;&gt;""),SUM(V601,$AM$8)/$AM$2*100,"")</f>
        <v/>
      </c>
      <c r="AN601" s="71" t="str">
        <f>IF(AND(A601&lt;&gt;"",ISNUMBER(P601),P601&gt;=0),SUM(P601,$AN$8)/$AN$2*100,"")</f>
        <v/>
      </c>
      <c r="AO601" s="71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9" t="str">
        <f>IF(AND(A601&lt;&gt;"",OR(ISNUMBER(W601),ISNUMBER(X601))),SUM(W601:X601,$AT$8)/$AT$2*100,"")</f>
        <v/>
      </c>
      <c r="AU601" s="24" t="str">
        <f t="shared" si="28"/>
        <v/>
      </c>
      <c r="AV601" s="71"/>
      <c r="AW601" s="27" t="str">
        <f>IF(A601&lt;&gt;"",AE601-AA601,"")</f>
        <v/>
      </c>
      <c r="AY601" s="27" t="b">
        <f t="shared" si="29"/>
        <v>0</v>
      </c>
      <c r="BA601" s="27" t="e">
        <f t="shared" si="30"/>
        <v>#VALUE!</v>
      </c>
      <c r="BB601" s="27" t="e">
        <f t="shared" si="31"/>
        <v>#VALUE!</v>
      </c>
      <c r="BC601" s="27" t="e">
        <f t="shared" si="32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3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1" t="str">
        <f>IF(A602&lt;&gt;"",OR(AI602&lt;&gt;AC602,AJ602&lt;&gt;AD602),"")</f>
        <v/>
      </c>
      <c r="AL602" s="86" t="str">
        <f>IF(AND(A602&lt;&gt;"",U602&lt;&gt;""),SUM(U602,$AL$8)/$AL$2*100,"")</f>
        <v/>
      </c>
      <c r="AM602" s="71" t="str">
        <f>IF(AND(A602&lt;&gt;"",V602&lt;&gt;""),SUM(V602,$AM$8)/$AM$2*100,"")</f>
        <v/>
      </c>
      <c r="AN602" s="71" t="str">
        <f>IF(AND(A602&lt;&gt;"",ISNUMBER(P602),P602&gt;=0),SUM(P602,$AN$8)/$AN$2*100,"")</f>
        <v/>
      </c>
      <c r="AO602" s="71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9" t="str">
        <f>IF(AND(A602&lt;&gt;"",OR(ISNUMBER(W602),ISNUMBER(X602))),SUM(W602:X602,$AT$8)/$AT$2*100,"")</f>
        <v/>
      </c>
      <c r="AU602" s="24" t="str">
        <f t="shared" si="28"/>
        <v/>
      </c>
      <c r="AV602" s="71"/>
      <c r="AW602" s="27" t="str">
        <f>IF(A602&lt;&gt;"",AE602-AA602,"")</f>
        <v/>
      </c>
      <c r="AY602" s="27" t="b">
        <f t="shared" si="29"/>
        <v>0</v>
      </c>
      <c r="BA602" s="27" t="e">
        <f t="shared" si="30"/>
        <v>#VALUE!</v>
      </c>
      <c r="BB602" s="27" t="e">
        <f t="shared" si="31"/>
        <v>#VALUE!</v>
      </c>
      <c r="BC602" s="27" t="e">
        <f t="shared" si="32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3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1" t="str">
        <f>IF(A603&lt;&gt;"",OR(AI603&lt;&gt;AC603,AJ603&lt;&gt;AD603),"")</f>
        <v/>
      </c>
      <c r="AL603" s="86" t="str">
        <f>IF(AND(A603&lt;&gt;"",U603&lt;&gt;""),SUM(U603,$AL$8)/$AL$2*100,"")</f>
        <v/>
      </c>
      <c r="AM603" s="71" t="str">
        <f>IF(AND(A603&lt;&gt;"",V603&lt;&gt;""),SUM(V603,$AM$8)/$AM$2*100,"")</f>
        <v/>
      </c>
      <c r="AN603" s="71" t="str">
        <f>IF(AND(A603&lt;&gt;"",ISNUMBER(P603),P603&gt;=0),SUM(P603,$AN$8)/$AN$2*100,"")</f>
        <v/>
      </c>
      <c r="AO603" s="71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9" t="str">
        <f>IF(AND(A603&lt;&gt;"",OR(ISNUMBER(W603),ISNUMBER(X603))),SUM(W603:X603,$AT$8)/$AT$2*100,"")</f>
        <v/>
      </c>
      <c r="AU603" s="24" t="str">
        <f t="shared" si="28"/>
        <v/>
      </c>
      <c r="AV603" s="71"/>
      <c r="AW603" s="27" t="str">
        <f>IF(A603&lt;&gt;"",AE603-AA603,"")</f>
        <v/>
      </c>
      <c r="AY603" s="27" t="b">
        <f t="shared" si="29"/>
        <v>0</v>
      </c>
      <c r="BA603" s="27" t="e">
        <f t="shared" si="30"/>
        <v>#VALUE!</v>
      </c>
      <c r="BB603" s="27" t="e">
        <f t="shared" si="31"/>
        <v>#VALUE!</v>
      </c>
      <c r="BC603" s="27" t="e">
        <f t="shared" si="32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3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1" t="str">
        <f>IF(A604&lt;&gt;"",OR(AI604&lt;&gt;AC604,AJ604&lt;&gt;AD604),"")</f>
        <v/>
      </c>
      <c r="AL604" s="86" t="str">
        <f>IF(AND(A604&lt;&gt;"",U604&lt;&gt;""),SUM(U604,$AL$8)/$AL$2*100,"")</f>
        <v/>
      </c>
      <c r="AM604" s="71" t="str">
        <f>IF(AND(A604&lt;&gt;"",V604&lt;&gt;""),SUM(V604,$AM$8)/$AM$2*100,"")</f>
        <v/>
      </c>
      <c r="AN604" s="71" t="str">
        <f>IF(AND(A604&lt;&gt;"",ISNUMBER(P604),P604&gt;=0),SUM(P604,$AN$8)/$AN$2*100,"")</f>
        <v/>
      </c>
      <c r="AO604" s="71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9" t="str">
        <f>IF(AND(A604&lt;&gt;"",OR(ISNUMBER(W604),ISNUMBER(X604))),SUM(W604:X604,$AT$8)/$AT$2*100,"")</f>
        <v/>
      </c>
      <c r="AU604" s="24" t="str">
        <f t="shared" si="28"/>
        <v/>
      </c>
      <c r="AV604" s="71"/>
      <c r="AW604" s="27" t="str">
        <f>IF(A604&lt;&gt;"",AE604-AA604,"")</f>
        <v/>
      </c>
      <c r="AY604" s="27" t="b">
        <f t="shared" si="29"/>
        <v>0</v>
      </c>
      <c r="BA604" s="27" t="e">
        <f t="shared" si="30"/>
        <v>#VALUE!</v>
      </c>
      <c r="BB604" s="27" t="e">
        <f t="shared" si="31"/>
        <v>#VALUE!</v>
      </c>
      <c r="BC604" s="27" t="e">
        <f t="shared" si="32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3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1" t="str">
        <f>IF(A605&lt;&gt;"",OR(AI605&lt;&gt;AC605,AJ605&lt;&gt;AD605),"")</f>
        <v/>
      </c>
      <c r="AL605" s="86" t="str">
        <f>IF(AND(A605&lt;&gt;"",U605&lt;&gt;""),SUM(U605,$AL$8)/$AL$2*100,"")</f>
        <v/>
      </c>
      <c r="AM605" s="71" t="str">
        <f>IF(AND(A605&lt;&gt;"",V605&lt;&gt;""),SUM(V605,$AM$8)/$AM$2*100,"")</f>
        <v/>
      </c>
      <c r="AN605" s="71" t="str">
        <f>IF(AND(A605&lt;&gt;"",ISNUMBER(P605),P605&gt;=0),SUM(P605,$AN$8)/$AN$2*100,"")</f>
        <v/>
      </c>
      <c r="AO605" s="71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9" t="str">
        <f>IF(AND(A605&lt;&gt;"",OR(ISNUMBER(W605),ISNUMBER(X605))),SUM(W605:X605,$AT$8)/$AT$2*100,"")</f>
        <v/>
      </c>
      <c r="AU605" s="24" t="str">
        <f t="shared" si="28"/>
        <v/>
      </c>
      <c r="AV605" s="71"/>
      <c r="AW605" s="27" t="str">
        <f>IF(A605&lt;&gt;"",AE605-AA605,"")</f>
        <v/>
      </c>
      <c r="AY605" s="27" t="b">
        <f t="shared" si="29"/>
        <v>0</v>
      </c>
      <c r="BA605" s="27" t="e">
        <f t="shared" si="30"/>
        <v>#VALUE!</v>
      </c>
      <c r="BB605" s="27" t="e">
        <f t="shared" si="31"/>
        <v>#VALUE!</v>
      </c>
      <c r="BC605" s="27" t="e">
        <f t="shared" si="32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3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1" t="str">
        <f>IF(A606&lt;&gt;"",OR(AI606&lt;&gt;AC606,AJ606&lt;&gt;AD606),"")</f>
        <v/>
      </c>
      <c r="AL606" s="86" t="str">
        <f>IF(AND(A606&lt;&gt;"",U606&lt;&gt;""),SUM(U606,$AL$8)/$AL$2*100,"")</f>
        <v/>
      </c>
      <c r="AM606" s="71" t="str">
        <f>IF(AND(A606&lt;&gt;"",V606&lt;&gt;""),SUM(V606,$AM$8)/$AM$2*100,"")</f>
        <v/>
      </c>
      <c r="AN606" s="71" t="str">
        <f>IF(AND(A606&lt;&gt;"",ISNUMBER(P606),P606&gt;=0),SUM(P606,$AN$8)/$AN$2*100,"")</f>
        <v/>
      </c>
      <c r="AO606" s="71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9" t="str">
        <f>IF(AND(A606&lt;&gt;"",OR(ISNUMBER(W606),ISNUMBER(X606))),SUM(W606:X606,$AT$8)/$AT$2*100,"")</f>
        <v/>
      </c>
      <c r="AU606" s="24" t="str">
        <f t="shared" si="28"/>
        <v/>
      </c>
      <c r="AV606" s="71"/>
      <c r="AW606" s="27" t="str">
        <f>IF(A606&lt;&gt;"",AE606-AA606,"")</f>
        <v/>
      </c>
      <c r="AY606" s="27" t="b">
        <f t="shared" si="29"/>
        <v>0</v>
      </c>
      <c r="BA606" s="27" t="e">
        <f t="shared" si="30"/>
        <v>#VALUE!</v>
      </c>
      <c r="BB606" s="27" t="e">
        <f t="shared" si="31"/>
        <v>#VALUE!</v>
      </c>
      <c r="BC606" s="27" t="e">
        <f t="shared" si="32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1"/>
      <c r="Q607" s="82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5" t="str">
        <f>IF(AND(A607&lt;&gt;"",U607&lt;&gt;""),SUM(U607,$AL$8)/$AL$2*100,"")</f>
        <v/>
      </c>
      <c r="AM607" s="68" t="str">
        <f>IF(AND(A607&lt;&gt;"",V607&lt;&gt;""),SUM(V607,$AM$8)/$AM$2*100,"")</f>
        <v/>
      </c>
      <c r="AN607" s="68" t="str">
        <f>IF(AND(A607&lt;&gt;"",ISNUMBER(P607),P607&gt;=0),SUM(P607,$AN$8)/$AN$2*100,"")</f>
        <v/>
      </c>
      <c r="AO607" s="68" t="str">
        <f>IF(AND(A607&lt;&gt;"",ISNUMBER(Q607),Q607&gt;=0),SUM(Q607,$AO$8)/$AO$2*100,"")</f>
        <v/>
      </c>
      <c r="AP607" s="68" t="str">
        <f>IF(AND(A607&lt;&gt;"",R607&lt;&gt;""),SUM(R607,$AP$8)/$AP$2*100,"")</f>
        <v/>
      </c>
      <c r="AQ607" s="68" t="str">
        <f>IF(AND(A607&lt;&gt;"",ISNUMBER(W607),W607&gt;=0),SUM(W607,$AQ$8)/$AQ$2*100,"")</f>
        <v/>
      </c>
      <c r="AR607" s="68" t="str">
        <f>IF(AND(A607&lt;&gt;"",T607&gt;0,ISNUMBER(T607)),SUM(T607,$AR$8)/$AR$2*100,"")</f>
        <v/>
      </c>
      <c r="AS607" s="68" t="str">
        <f>IF(AND(A607&lt;&gt;"",X607&lt;&gt;""),SUM(X607,$AS$8)/$AS$2*100,"")</f>
        <v/>
      </c>
      <c r="AT607" s="91" t="str">
        <f>IF(AND(A607&lt;&gt;"",OR(ISNUMBER(W607),ISNUMBER(X607))),SUM(W607:X607,$AT$8)/$AT$2*100,"")</f>
        <v/>
      </c>
      <c r="AU607" s="68" t="str">
        <f t="shared" si="28"/>
        <v/>
      </c>
      <c r="AV607" s="68"/>
      <c r="AW607" s="28" t="str">
        <f>IF(A607&lt;&gt;"",AE607-AA607,"")</f>
        <v/>
      </c>
      <c r="AY607" s="50" t="b">
        <f t="shared" si="29"/>
        <v>0</v>
      </c>
      <c r="BA607" s="50" t="e">
        <f t="shared" si="30"/>
        <v>#VALUE!</v>
      </c>
      <c r="BB607" s="50" t="e">
        <f t="shared" si="31"/>
        <v>#VALUE!</v>
      </c>
      <c r="BC607" s="50" t="e">
        <f t="shared" si="32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60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448" priority="1125" stopIfTrue="1">
      <formula>AND(AC9&lt;="C", T9&lt;$T$4*$AC$7)</formula>
    </cfRule>
  </conditionalFormatting>
  <conditionalFormatting sqref="X556:X584">
    <cfRule type="expression" dxfId="447" priority="1118" stopIfTrue="1">
      <formula>X556/$X$2&lt;(U556+V556)/($U$2+$V$2)-0.4</formula>
    </cfRule>
  </conditionalFormatting>
  <conditionalFormatting sqref="AC105:AC106">
    <cfRule type="expression" dxfId="446" priority="1033" stopIfTrue="1">
      <formula>AND(AC105&lt;="C", T105&lt;$T$4*$AC$7)</formula>
    </cfRule>
  </conditionalFormatting>
  <conditionalFormatting sqref="W556:W565 W567:W588 W602:W606">
    <cfRule type="expression" dxfId="445" priority="1026">
      <formula>W556/$W$2&lt;V556/$V$2-0.4</formula>
    </cfRule>
  </conditionalFormatting>
  <conditionalFormatting sqref="AC607">
    <cfRule type="expression" dxfId="444" priority="992" stopIfTrue="1">
      <formula>AND(AC607&lt;="C", T607&lt;$T$4*$AC$7)</formula>
    </cfRule>
  </conditionalFormatting>
  <conditionalFormatting sqref="W607">
    <cfRule type="expression" dxfId="443" priority="989">
      <formula>W607/$W$2&lt;V607/$V$2-0.4</formula>
    </cfRule>
  </conditionalFormatting>
  <conditionalFormatting sqref="AC73">
    <cfRule type="expression" dxfId="442" priority="896" stopIfTrue="1">
      <formula>AND(AC73&lt;="C", T73&lt;$T$4*$AC$7)</formula>
    </cfRule>
  </conditionalFormatting>
  <conditionalFormatting sqref="AC94">
    <cfRule type="expression" dxfId="440" priority="884" stopIfTrue="1">
      <formula>AND(AC94&lt;="C", T94&lt;$T$4*$AC$7)</formula>
    </cfRule>
  </conditionalFormatting>
  <conditionalFormatting sqref="AC110">
    <cfRule type="expression" dxfId="438" priority="821" stopIfTrue="1">
      <formula>AND(AC110&lt;="C", T110&lt;$T$4*$AC$7)</formula>
    </cfRule>
  </conditionalFormatting>
  <conditionalFormatting sqref="AC72">
    <cfRule type="expression" dxfId="436" priority="813" stopIfTrue="1">
      <formula>AND(AC72&lt;="C", T72&lt;$T$4*$AC$7)</formula>
    </cfRule>
  </conditionalFormatting>
  <conditionalFormatting sqref="S72 S118">
    <cfRule type="expression" dxfId="434" priority="809">
      <formula>S72/$S$2 &gt; R72/$R$2</formula>
    </cfRule>
  </conditionalFormatting>
  <conditionalFormatting sqref="AC92">
    <cfRule type="expression" dxfId="433" priority="762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431" priority="1196">
      <formula>AND(OR($AC9&lt;&gt;$AI9,$AD9&lt;&gt;$AJ9),$AH9&lt;$AA9)</formula>
    </cfRule>
    <cfRule type="expression" dxfId="430" priority="1197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429" priority="1199" stopIfTrue="1">
      <formula>AND(AT9&gt;AA9,OR(AC9&lt;&gt;#REF!,AD9&lt;&gt;#REF!))</formula>
    </cfRule>
  </conditionalFormatting>
  <conditionalFormatting sqref="AC37">
    <cfRule type="expression" dxfId="428" priority="651" stopIfTrue="1">
      <formula>AND(AC37&lt;="C", T37&lt;$T$4*$AC$7)</formula>
    </cfRule>
  </conditionalFormatting>
  <conditionalFormatting sqref="S37">
    <cfRule type="expression" dxfId="426" priority="648">
      <formula>S37/$S$2 &gt; R37/$R$2</formula>
    </cfRule>
  </conditionalFormatting>
  <conditionalFormatting sqref="AI37:AJ37">
    <cfRule type="expression" dxfId="425" priority="652">
      <formula>AND(OR($AC37&lt;&gt;$AI37,$AD37&lt;&gt;$AJ37),$AH37&lt;$AA37)</formula>
    </cfRule>
    <cfRule type="expression" dxfId="424" priority="653">
      <formula>AND(OR($AC37&lt;&gt;$AI37,$AD37&lt;&gt;$AJ37),$AH37&gt;$AA37)</formula>
    </cfRule>
  </conditionalFormatting>
  <conditionalFormatting sqref="AT37">
    <cfRule type="expression" dxfId="423" priority="654" stopIfTrue="1">
      <formula>AND(AT37&gt;AA37,OR(AC37&lt;&gt;#REF!,AD37&lt;&gt;#REF!))</formula>
    </cfRule>
  </conditionalFormatting>
  <conditionalFormatting sqref="AC113">
    <cfRule type="expression" dxfId="421" priority="626" stopIfTrue="1">
      <formula>AND(AC113&lt;="C", T113&lt;$T$4*$AC$7)</formula>
    </cfRule>
  </conditionalFormatting>
  <conditionalFormatting sqref="AI113:AJ113">
    <cfRule type="expression" dxfId="420" priority="627">
      <formula>AND(OR($AC113&lt;&gt;$AI113,$AD113&lt;&gt;$AJ113),$AH113&lt;$AA113)</formula>
    </cfRule>
    <cfRule type="expression" dxfId="419" priority="628">
      <formula>AND(OR($AC113&lt;&gt;$AI113,$AD113&lt;&gt;$AJ113),$AH113&gt;$AA113)</formula>
    </cfRule>
  </conditionalFormatting>
  <conditionalFormatting sqref="AT113">
    <cfRule type="expression" dxfId="418" priority="629" stopIfTrue="1">
      <formula>AND(AT113&gt;AA113,OR(AC113&lt;&gt;#REF!,AD113&lt;&gt;#REF!))</formula>
    </cfRule>
  </conditionalFormatting>
  <conditionalFormatting sqref="S9:S12 S207:S210 S606:S607 S365:S371 S50:S59 S171 S426:S432 S101:S119 S204:S205 S14:S22 S61:S77 S79:S99 S201:S202 S191:S199 S173:S189 S221:S286 S434:S448 S373:S424 S308:S363 S291:S306 S485:S514 S462:S483 S450:S460 S288:S289 S212:S218 S24:S33 S35:S47 S516:S518 S123:S169 S520:S588">
    <cfRule type="expression" dxfId="417" priority="613">
      <formula>S9&lt;&gt;R9</formula>
    </cfRule>
  </conditionalFormatting>
  <conditionalFormatting sqref="AC63">
    <cfRule type="expression" dxfId="416" priority="609" stopIfTrue="1">
      <formula>AND(AC63&lt;="C", T63&lt;$T$4*$AC$7)</formula>
    </cfRule>
  </conditionalFormatting>
  <conditionalFormatting sqref="AI63:AJ63">
    <cfRule type="expression" dxfId="414" priority="610">
      <formula>AND(OR($AC63&lt;&gt;$AI63,$AD63&lt;&gt;$AJ63),$AH63&lt;$AA63)</formula>
    </cfRule>
    <cfRule type="expression" dxfId="413" priority="611">
      <formula>AND(OR($AC63&lt;&gt;$AI63,$AD63&lt;&gt;$AJ63),$AH63&gt;$AA63)</formula>
    </cfRule>
  </conditionalFormatting>
  <conditionalFormatting sqref="AT63">
    <cfRule type="expression" dxfId="412" priority="612" stopIfTrue="1">
      <formula>AND(AT63&gt;AA63,OR(AC63&lt;&gt;#REF!,AD63&lt;&gt;#REF!))</formula>
    </cfRule>
  </conditionalFormatting>
  <conditionalFormatting sqref="AC96">
    <cfRule type="expression" dxfId="411" priority="583" stopIfTrue="1">
      <formula>AND(AC96&lt;="C", T96&lt;$T$4*$AC$7)</formula>
    </cfRule>
  </conditionalFormatting>
  <conditionalFormatting sqref="AI96:AJ96">
    <cfRule type="expression" dxfId="409" priority="584">
      <formula>AND(OR($AC96&lt;&gt;$AI96,$AD96&lt;&gt;$AJ96),$AH96&lt;$AA96)</formula>
    </cfRule>
    <cfRule type="expression" dxfId="408" priority="585">
      <formula>AND(OR($AC96&lt;&gt;$AI96,$AD96&lt;&gt;$AJ96),$AH96&gt;$AA96)</formula>
    </cfRule>
  </conditionalFormatting>
  <conditionalFormatting sqref="AT96">
    <cfRule type="expression" dxfId="407" priority="586" stopIfTrue="1">
      <formula>AND(AT96&gt;AA96,OR(AC96&lt;&gt;#REF!,AD96&lt;&gt;#REF!))</formula>
    </cfRule>
  </conditionalFormatting>
  <conditionalFormatting sqref="W613">
    <cfRule type="expression" dxfId="406" priority="579">
      <formula>W613/$W$2&lt;V613/$V$2-0.4</formula>
    </cfRule>
  </conditionalFormatting>
  <conditionalFormatting sqref="S613">
    <cfRule type="expression" dxfId="405" priority="578">
      <formula>S613/$S$2 &gt; R613/$R$2</formula>
    </cfRule>
  </conditionalFormatting>
  <conditionalFormatting sqref="S613">
    <cfRule type="expression" dxfId="404" priority="577">
      <formula>S613&lt;&gt;R613</formula>
    </cfRule>
  </conditionalFormatting>
  <conditionalFormatting sqref="AC111">
    <cfRule type="expression" dxfId="403" priority="573" stopIfTrue="1">
      <formula>AND(AC111&lt;="C", T111&lt;$T$4*$AC$7)</formula>
    </cfRule>
  </conditionalFormatting>
  <conditionalFormatting sqref="S111">
    <cfRule type="expression" dxfId="401" priority="570">
      <formula>S111/$S$2 &gt; R111/$R$2</formula>
    </cfRule>
  </conditionalFormatting>
  <conditionalFormatting sqref="AI111:AJ111">
    <cfRule type="expression" dxfId="400" priority="574">
      <formula>AND(OR($AC111&lt;&gt;$AI111,$AD111&lt;&gt;$AJ111),$AH111&lt;$AA111)</formula>
    </cfRule>
    <cfRule type="expression" dxfId="399" priority="575">
      <formula>AND(OR($AC111&lt;&gt;$AI111,$AD111&lt;&gt;$AJ111),$AH111&gt;$AA111)</formula>
    </cfRule>
  </conditionalFormatting>
  <conditionalFormatting sqref="AT111">
    <cfRule type="expression" dxfId="398" priority="576" stopIfTrue="1">
      <formula>AND(AT111&gt;AA111,OR(AC111&lt;&gt;#REF!,AD111&lt;&gt;#REF!))</formula>
    </cfRule>
  </conditionalFormatting>
  <conditionalFormatting sqref="S111">
    <cfRule type="expression" dxfId="397" priority="569">
      <formula>S111&lt;&gt;R111</formula>
    </cfRule>
  </conditionalFormatting>
  <conditionalFormatting sqref="AC118">
    <cfRule type="expression" dxfId="396" priority="565" stopIfTrue="1">
      <formula>AND(AC118&lt;="C", T118&lt;$T$4*$AC$7)</formula>
    </cfRule>
  </conditionalFormatting>
  <conditionalFormatting sqref="AI118:AJ118">
    <cfRule type="expression" dxfId="394" priority="566">
      <formula>AND(OR($AC118&lt;&gt;$AI118,$AD118&lt;&gt;$AJ118),$AH118&lt;$AA118)</formula>
    </cfRule>
    <cfRule type="expression" dxfId="393" priority="567">
      <formula>AND(OR($AC118&lt;&gt;$AI118,$AD118&lt;&gt;$AJ118),$AH118&gt;$AA118)</formula>
    </cfRule>
  </conditionalFormatting>
  <conditionalFormatting sqref="AT118">
    <cfRule type="expression" dxfId="392" priority="568" stopIfTrue="1">
      <formula>AND(AT118&gt;AA118,OR(AC118&lt;&gt;#REF!,AD118&lt;&gt;#REF!))</formula>
    </cfRule>
  </conditionalFormatting>
  <conditionalFormatting sqref="AC566">
    <cfRule type="expression" dxfId="391" priority="557" stopIfTrue="1">
      <formula>AND(AC566&lt;="C", T566&lt;$T$4*$AC$7)</formula>
    </cfRule>
  </conditionalFormatting>
  <conditionalFormatting sqref="X566">
    <cfRule type="expression" dxfId="390" priority="556" stopIfTrue="1">
      <formula>X566/$X$2&lt;$U566/$U$2-0.4</formula>
    </cfRule>
  </conditionalFormatting>
  <conditionalFormatting sqref="W566">
    <cfRule type="expression" dxfId="389" priority="555">
      <formula>W566/$W$2&lt;V566/$V$2-0.4</formula>
    </cfRule>
  </conditionalFormatting>
  <conditionalFormatting sqref="AI566:AJ566">
    <cfRule type="expression" dxfId="388" priority="558">
      <formula>AND(OR($AC566&lt;&gt;$AI566,$AD566&lt;&gt;$AJ566),$AH566&lt;$AA566)</formula>
    </cfRule>
    <cfRule type="expression" dxfId="387" priority="559">
      <formula>AND(OR($AC566&lt;&gt;$AI566,$AD566&lt;&gt;$AJ566),$AH566&gt;$AA566)</formula>
    </cfRule>
  </conditionalFormatting>
  <conditionalFormatting sqref="AT566">
    <cfRule type="expression" dxfId="386" priority="560" stopIfTrue="1">
      <formula>AND(AT566&gt;AA566,OR(AC566&lt;&gt;#REF!,AD566&lt;&gt;#REF!))</formula>
    </cfRule>
  </conditionalFormatting>
  <conditionalFormatting sqref="AC531">
    <cfRule type="expression" dxfId="385" priority="551" stopIfTrue="1">
      <formula>AND(AC531&lt;="C", T531&lt;$T$4*$AC$7)</formula>
    </cfRule>
  </conditionalFormatting>
  <conditionalFormatting sqref="AI531:AJ531">
    <cfRule type="expression" dxfId="383" priority="552">
      <formula>AND(OR($AC531&lt;&gt;$AI531,$AD531&lt;&gt;$AJ531),$AH531&lt;$AA531)</formula>
    </cfRule>
    <cfRule type="expression" dxfId="382" priority="553">
      <formula>AND(OR($AC531&lt;&gt;$AI531,$AD531&lt;&gt;$AJ531),$AH531&gt;$AA531)</formula>
    </cfRule>
  </conditionalFormatting>
  <conditionalFormatting sqref="AT531">
    <cfRule type="expression" dxfId="381" priority="554" stopIfTrue="1">
      <formula>AND(AT531&gt;AA531,OR(AC531&lt;&gt;#REF!,AD531&lt;&gt;#REF!))</formula>
    </cfRule>
  </conditionalFormatting>
  <conditionalFormatting sqref="AC123">
    <cfRule type="expression" dxfId="380" priority="545" stopIfTrue="1">
      <formula>AND(AC123&lt;="C", T123&lt;$T$4*$AC$7)</formula>
    </cfRule>
  </conditionalFormatting>
  <conditionalFormatting sqref="AI123:AJ123">
    <cfRule type="expression" dxfId="377" priority="546">
      <formula>AND(OR($AC123&lt;&gt;$AI123,$AD123&lt;&gt;$AJ123),$AH123&lt;$AA123)</formula>
    </cfRule>
    <cfRule type="expression" dxfId="376" priority="547">
      <formula>AND(OR($AC123&lt;&gt;$AI123,$AD123&lt;&gt;$AJ123),$AH123&gt;$AA123)</formula>
    </cfRule>
  </conditionalFormatting>
  <conditionalFormatting sqref="AT123">
    <cfRule type="expression" dxfId="375" priority="548" stopIfTrue="1">
      <formula>AND(AT123&gt;AA123,OR(AC123&lt;&gt;#REF!,AD123&lt;&gt;#REF!))</formula>
    </cfRule>
  </conditionalFormatting>
  <conditionalFormatting sqref="S60">
    <cfRule type="expression" dxfId="374" priority="542">
      <formula>S60&lt;&gt;R60</formula>
    </cfRule>
  </conditionalFormatting>
  <conditionalFormatting sqref="T8 K8 I8 O8">
    <cfRule type="expression" dxfId="373" priority="541">
      <formula>I8&gt;0</formula>
    </cfRule>
  </conditionalFormatting>
  <conditionalFormatting sqref="J8">
    <cfRule type="expression" dxfId="372" priority="540">
      <formula>J8&gt;0</formula>
    </cfRule>
  </conditionalFormatting>
  <conditionalFormatting sqref="AC21">
    <cfRule type="expression" dxfId="371" priority="536" stopIfTrue="1">
      <formula>AND(AC21&lt;="C", T21&lt;$T$4*$AC$7)</formula>
    </cfRule>
  </conditionalFormatting>
  <conditionalFormatting sqref="AI21:AJ21">
    <cfRule type="expression" dxfId="368" priority="537">
      <formula>AND(OR($AC21&lt;&gt;$AI21,$AD21&lt;&gt;$AJ21),$AH21&lt;$AA21)</formula>
    </cfRule>
    <cfRule type="expression" dxfId="367" priority="538">
      <formula>AND(OR($AC21&lt;&gt;$AI21,$AD21&lt;&gt;$AJ21),$AH21&gt;$AA21)</formula>
    </cfRule>
  </conditionalFormatting>
  <conditionalFormatting sqref="AT21">
    <cfRule type="expression" dxfId="366" priority="539" stopIfTrue="1">
      <formula>AND(AT21&gt;AA21,OR(AC21&lt;&gt;#REF!,AD21&lt;&gt;#REF!))</formula>
    </cfRule>
  </conditionalFormatting>
  <conditionalFormatting sqref="AC101">
    <cfRule type="expression" dxfId="364" priority="524" stopIfTrue="1">
      <formula>AND(AC101&lt;="C", T101&lt;$T$4*$AC$7)</formula>
    </cfRule>
  </conditionalFormatting>
  <conditionalFormatting sqref="AI101:AJ101">
    <cfRule type="expression" dxfId="362" priority="526">
      <formula>AND(OR($AC101&lt;&gt;$AI101,$AD101&lt;&gt;$AJ101),$AH101&lt;$AA101)</formula>
    </cfRule>
    <cfRule type="expression" dxfId="361" priority="527">
      <formula>AND(OR($AC101&lt;&gt;$AI101,$AD101&lt;&gt;$AJ101),$AH101&gt;$AA101)</formula>
    </cfRule>
  </conditionalFormatting>
  <conditionalFormatting sqref="AT101">
    <cfRule type="expression" dxfId="360" priority="528" stopIfTrue="1">
      <formula>AND(AT101&gt;AA101,OR(AC101&lt;&gt;#REF!,AD101&lt;&gt;#REF!))</formula>
    </cfRule>
  </conditionalFormatting>
  <conditionalFormatting sqref="AC162">
    <cfRule type="expression" dxfId="359" priority="519" stopIfTrue="1">
      <formula>AND(AC162&lt;="C", T162&lt;$T$4*$AC$7)</formula>
    </cfRule>
  </conditionalFormatting>
  <conditionalFormatting sqref="AI162:AJ162">
    <cfRule type="expression" dxfId="356" priority="520">
      <formula>AND(OR($AC162&lt;&gt;$AI162,$AD162&lt;&gt;$AJ162),$AH162&lt;$AA162)</formula>
    </cfRule>
    <cfRule type="expression" dxfId="355" priority="521">
      <formula>AND(OR($AC162&lt;&gt;$AI162,$AD162&lt;&gt;$AJ162),$AH162&gt;$AA162)</formula>
    </cfRule>
  </conditionalFormatting>
  <conditionalFormatting sqref="AT162">
    <cfRule type="expression" dxfId="354" priority="522" stopIfTrue="1">
      <formula>AND(AT162&gt;AA162,OR(AC162&lt;&gt;#REF!,AD162&lt;&gt;#REF!))</formula>
    </cfRule>
  </conditionalFormatting>
  <conditionalFormatting sqref="C8">
    <cfRule type="expression" dxfId="353" priority="516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352" priority="506">
      <formula>AND(P9&lt;&gt;"",Q9&lt;&gt;"",Q9&gt;P9)</formula>
    </cfRule>
  </conditionalFormatting>
  <conditionalFormatting sqref="Q466">
    <cfRule type="expression" dxfId="351" priority="498">
      <formula>Q466&gt;P466</formula>
    </cfRule>
  </conditionalFormatting>
  <conditionalFormatting sqref="AC187">
    <cfRule type="expression" dxfId="350" priority="494" stopIfTrue="1">
      <formula>AND(AC187&lt;="C", T187&lt;$T$4*$AC$7)</formula>
    </cfRule>
  </conditionalFormatting>
  <conditionalFormatting sqref="AI187:AJ187">
    <cfRule type="expression" dxfId="347" priority="495">
      <formula>AND(OR($AC187&lt;&gt;$AI187,$AD187&lt;&gt;$AJ187),$AH187&lt;$AA187)</formula>
    </cfRule>
    <cfRule type="expression" dxfId="346" priority="496">
      <formula>AND(OR($AC187&lt;&gt;$AI187,$AD187&lt;&gt;$AJ187),$AH187&gt;$AA187)</formula>
    </cfRule>
  </conditionalFormatting>
  <conditionalFormatting sqref="AT187">
    <cfRule type="expression" dxfId="345" priority="497" stopIfTrue="1">
      <formula>AND(AT187&gt;AA187,OR(AC187&lt;&gt;#REF!,AD187&lt;&gt;#REF!))</formula>
    </cfRule>
  </conditionalFormatting>
  <conditionalFormatting sqref="AC22">
    <cfRule type="expression" dxfId="344" priority="488" stopIfTrue="1">
      <formula>AND(AC22&lt;="C", T22&lt;$T$4*$AC$7)</formula>
    </cfRule>
  </conditionalFormatting>
  <conditionalFormatting sqref="AI22:AJ22">
    <cfRule type="expression" dxfId="341" priority="489">
      <formula>AND(OR($AC22&lt;&gt;$AI22,$AD22&lt;&gt;$AJ22),$AH22&lt;$AA22)</formula>
    </cfRule>
    <cfRule type="expression" dxfId="340" priority="490">
      <formula>AND(OR($AC22&lt;&gt;$AI22,$AD22&lt;&gt;$AJ22),$AH22&gt;$AA22)</formula>
    </cfRule>
  </conditionalFormatting>
  <conditionalFormatting sqref="AT22">
    <cfRule type="expression" dxfId="339" priority="491" stopIfTrue="1">
      <formula>AND(AT22&gt;AA22,OR(AC22&lt;&gt;#REF!,AD22&lt;&gt;#REF!))</formula>
    </cfRule>
  </conditionalFormatting>
  <conditionalFormatting sqref="AT23">
    <cfRule type="expression" dxfId="338" priority="484" stopIfTrue="1">
      <formula>AND(AT23&gt;AA23,OR(AC23&lt;&gt;#REF!,AD23&lt;&gt;#REF!))</formula>
    </cfRule>
  </conditionalFormatting>
  <conditionalFormatting sqref="AC31">
    <cfRule type="expression" dxfId="337" priority="478" stopIfTrue="1">
      <formula>AND(AC31&lt;="C", T31&lt;$T$4*$AC$7)</formula>
    </cfRule>
  </conditionalFormatting>
  <conditionalFormatting sqref="AI31:AJ31">
    <cfRule type="expression" dxfId="334" priority="479">
      <formula>AND(OR($AC31&lt;&gt;$AI31,$AD31&lt;&gt;$AJ31),$AH31&lt;$AA31)</formula>
    </cfRule>
    <cfRule type="expression" dxfId="333" priority="480">
      <formula>AND(OR($AC31&lt;&gt;$AI31,$AD31&lt;&gt;$AJ31),$AH31&gt;$AA31)</formula>
    </cfRule>
  </conditionalFormatting>
  <conditionalFormatting sqref="AT31">
    <cfRule type="expression" dxfId="332" priority="481" stopIfTrue="1">
      <formula>AND(AT31&gt;AA31,OR(AC31&lt;&gt;#REF!,AD31&lt;&gt;#REF!))</formula>
    </cfRule>
  </conditionalFormatting>
  <conditionalFormatting sqref="AC333">
    <cfRule type="expression" dxfId="331" priority="472" stopIfTrue="1">
      <formula>AND(AC333&lt;="C", T333&lt;$T$4*$AC$7)</formula>
    </cfRule>
  </conditionalFormatting>
  <conditionalFormatting sqref="AI333:AJ333">
    <cfRule type="expression" dxfId="328" priority="473">
      <formula>AND(OR($AC333&lt;&gt;$AI333,$AD333&lt;&gt;$AJ333),$AH333&lt;$AA333)</formula>
    </cfRule>
    <cfRule type="expression" dxfId="327" priority="474">
      <formula>AND(OR($AC333&lt;&gt;$AI333,$AD333&lt;&gt;$AJ333),$AH333&gt;$AA333)</formula>
    </cfRule>
  </conditionalFormatting>
  <conditionalFormatting sqref="AT333">
    <cfRule type="expression" dxfId="326" priority="475" stopIfTrue="1">
      <formula>AND(AT333&gt;AA333,OR(AC333&lt;&gt;#REF!,AD333&lt;&gt;#REF!))</formula>
    </cfRule>
  </conditionalFormatting>
  <conditionalFormatting sqref="Q8">
    <cfRule type="expression" dxfId="325" priority="461">
      <formula>Q8&gt;0</formula>
    </cfRule>
  </conditionalFormatting>
  <conditionalFormatting sqref="AC120">
    <cfRule type="expression" dxfId="324" priority="456" stopIfTrue="1">
      <formula>AND(AC120&lt;="C", T120&lt;$T$4*$AC$7)</formula>
    </cfRule>
  </conditionalFormatting>
  <conditionalFormatting sqref="AI120:AJ120">
    <cfRule type="expression" dxfId="321" priority="457">
      <formula>AND(OR($AC120&lt;&gt;$AI120,$AD120&lt;&gt;$AJ120),$AH120&lt;$AA120)</formula>
    </cfRule>
    <cfRule type="expression" dxfId="320" priority="458">
      <formula>AND(OR($AC120&lt;&gt;$AI120,$AD120&lt;&gt;$AJ120),$AH120&gt;$AA120)</formula>
    </cfRule>
  </conditionalFormatting>
  <conditionalFormatting sqref="AT120">
    <cfRule type="expression" dxfId="319" priority="459" stopIfTrue="1">
      <formula>AND(AT120&gt;AA120,OR(AC120&lt;&gt;#REF!,AD120&lt;&gt;#REF!))</formula>
    </cfRule>
  </conditionalFormatting>
  <conditionalFormatting sqref="AC102">
    <cfRule type="expression" dxfId="317" priority="450" stopIfTrue="1">
      <formula>AND(AC102&lt;="C", T102&lt;$T$4*$AC$7)</formula>
    </cfRule>
  </conditionalFormatting>
  <conditionalFormatting sqref="AI102:AJ102">
    <cfRule type="expression" dxfId="315" priority="452">
      <formula>AND(OR($AC102&lt;&gt;$AI102,$AD102&lt;&gt;$AJ102),$AH102&lt;$AA102)</formula>
    </cfRule>
    <cfRule type="expression" dxfId="314" priority="453">
      <formula>AND(OR($AC102&lt;&gt;$AI102,$AD102&lt;&gt;$AJ102),$AH102&gt;$AA102)</formula>
    </cfRule>
  </conditionalFormatting>
  <conditionalFormatting sqref="AT102">
    <cfRule type="expression" dxfId="313" priority="448" stopIfTrue="1">
      <formula>AND(AT102&gt;AA102,OR(AC102&lt;&gt;#REF!,AD102&lt;&gt;#REF!))</formula>
    </cfRule>
  </conditionalFormatting>
  <conditionalFormatting sqref="S23">
    <cfRule type="expression" dxfId="312" priority="437">
      <formula>S23&lt;&gt;R23</formula>
    </cfRule>
  </conditionalFormatting>
  <conditionalFormatting sqref="AC199">
    <cfRule type="expression" dxfId="309" priority="411" stopIfTrue="1">
      <formula>AND(AC199&lt;="C", T199&lt;$T$4*$AC$7)</formula>
    </cfRule>
  </conditionalFormatting>
  <conditionalFormatting sqref="AI199:AJ199">
    <cfRule type="expression" dxfId="306" priority="412">
      <formula>AND(OR($AC199&lt;&gt;$AI199,$AD199&lt;&gt;$AJ199),$AH199&lt;$AA199)</formula>
    </cfRule>
    <cfRule type="expression" dxfId="305" priority="413">
      <formula>AND(OR($AC199&lt;&gt;$AI199,$AD199&lt;&gt;$AJ199),$AH199&gt;$AA199)</formula>
    </cfRule>
  </conditionalFormatting>
  <conditionalFormatting sqref="AT199">
    <cfRule type="expression" dxfId="304" priority="414" stopIfTrue="1">
      <formula>AND(AT199&gt;AA199,OR(AC199&lt;&gt;#REF!,AD199&lt;&gt;#REF!))</formula>
    </cfRule>
  </conditionalFormatting>
  <conditionalFormatting sqref="AC207">
    <cfRule type="expression" dxfId="303" priority="405" stopIfTrue="1">
      <formula>AND(AC207&lt;="C", T207&lt;$T$4*$AC$7)</formula>
    </cfRule>
  </conditionalFormatting>
  <conditionalFormatting sqref="AI207:AJ207">
    <cfRule type="expression" dxfId="301" priority="406">
      <formula>AND(OR($AC207&lt;&gt;$AI207,$AD207&lt;&gt;$AJ207),$AH207&lt;$AA207)</formula>
    </cfRule>
    <cfRule type="expression" dxfId="300" priority="407">
      <formula>AND(OR($AC207&lt;&gt;$AI207,$AD207&lt;&gt;$AJ207),$AH207&gt;$AA207)</formula>
    </cfRule>
  </conditionalFormatting>
  <conditionalFormatting sqref="AT207">
    <cfRule type="expression" dxfId="299" priority="408" stopIfTrue="1">
      <formula>AND(AT207&gt;AA207,OR(AC207&lt;&gt;#REF!,AD207&lt;&gt;#REF!))</formula>
    </cfRule>
  </conditionalFormatting>
  <conditionalFormatting sqref="S78">
    <cfRule type="expression" dxfId="298" priority="402">
      <formula>S78&lt;&gt;R78</formula>
    </cfRule>
  </conditionalFormatting>
  <conditionalFormatting sqref="Q78">
    <cfRule type="expression" dxfId="297" priority="401">
      <formula>Q78&gt;P78</formula>
    </cfRule>
  </conditionalFormatting>
  <conditionalFormatting sqref="AC78">
    <cfRule type="expression" dxfId="296" priority="397" stopIfTrue="1">
      <formula>AND(AC78&lt;="C", T78&lt;$T$4*$AC$7)</formula>
    </cfRule>
  </conditionalFormatting>
  <conditionalFormatting sqref="AI78:AJ78">
    <cfRule type="expression" dxfId="294" priority="398">
      <formula>AND(OR($AC78&lt;&gt;$AI78,$AD78&lt;&gt;$AJ78),$AH78&lt;$AA78)</formula>
    </cfRule>
    <cfRule type="expression" dxfId="293" priority="399">
      <formula>AND(OR($AC78&lt;&gt;$AI78,$AD78&lt;&gt;$AJ78),$AH78&gt;$AA78)</formula>
    </cfRule>
  </conditionalFormatting>
  <conditionalFormatting sqref="AT78">
    <cfRule type="expression" dxfId="292" priority="400" stopIfTrue="1">
      <formula>AND(AT78&gt;AA78,OR(AC78&lt;&gt;#REF!,AD78&lt;&gt;#REF!))</formula>
    </cfRule>
  </conditionalFormatting>
  <conditionalFormatting sqref="AC49">
    <cfRule type="expression" dxfId="291" priority="383" stopIfTrue="1">
      <formula>AND(AC49&lt;="C", T49&lt;$T$4*$AC$7)</formula>
    </cfRule>
  </conditionalFormatting>
  <conditionalFormatting sqref="AI49:AJ49">
    <cfRule type="expression" dxfId="288" priority="384">
      <formula>AND(OR($AC49&lt;&gt;$AI49,$AD49&lt;&gt;$AJ49),$AH49&lt;$AA49)</formula>
    </cfRule>
    <cfRule type="expression" dxfId="287" priority="385">
      <formula>AND(OR($AC49&lt;&gt;$AI49,$AD49&lt;&gt;$AJ49),$AH49&gt;$AA49)</formula>
    </cfRule>
  </conditionalFormatting>
  <conditionalFormatting sqref="AT49">
    <cfRule type="expression" dxfId="286" priority="386" stopIfTrue="1">
      <formula>AND(AT49&gt;AA49,OR(AC49&lt;&gt;#REF!,AD49&lt;&gt;#REF!))</formula>
    </cfRule>
  </conditionalFormatting>
  <conditionalFormatting sqref="S49">
    <cfRule type="expression" dxfId="285" priority="380">
      <formula>S49&lt;&gt;R49</formula>
    </cfRule>
  </conditionalFormatting>
  <conditionalFormatting sqref="Q49">
    <cfRule type="expression" dxfId="284" priority="379">
      <formula>Q49&gt;P49</formula>
    </cfRule>
  </conditionalFormatting>
  <conditionalFormatting sqref="E8">
    <cfRule type="expression" dxfId="283" priority="376">
      <formula>E8&gt;0</formula>
    </cfRule>
  </conditionalFormatting>
  <conditionalFormatting sqref="S122">
    <cfRule type="expression" dxfId="282" priority="375">
      <formula>S122&lt;&gt;R122</formula>
    </cfRule>
  </conditionalFormatting>
  <conditionalFormatting sqref="S120">
    <cfRule type="expression" dxfId="281" priority="374">
      <formula>S120&lt;&gt;R120</formula>
    </cfRule>
  </conditionalFormatting>
  <conditionalFormatting sqref="AC206">
    <cfRule type="expression" dxfId="278" priority="364" stopIfTrue="1">
      <formula>AND(AC206&lt;="C", T206&lt;$T$4*$AC$7)</formula>
    </cfRule>
  </conditionalFormatting>
  <conditionalFormatting sqref="AI206:AJ206">
    <cfRule type="expression" dxfId="275" priority="365">
      <formula>AND(OR($AC206&lt;&gt;$AI206,$AD206&lt;&gt;$AJ206),$AH206&lt;$AA206)</formula>
    </cfRule>
    <cfRule type="expression" dxfId="274" priority="366">
      <formula>AND(OR($AC206&lt;&gt;$AI206,$AD206&lt;&gt;$AJ206),$AH206&gt;$AA206)</formula>
    </cfRule>
  </conditionalFormatting>
  <conditionalFormatting sqref="AT206">
    <cfRule type="expression" dxfId="273" priority="367" stopIfTrue="1">
      <formula>AND(AT206&gt;AA206,OR(AC206&lt;&gt;#REF!,AD206&lt;&gt;#REF!))</formula>
    </cfRule>
  </conditionalFormatting>
  <conditionalFormatting sqref="S206">
    <cfRule type="expression" dxfId="272" priority="361">
      <formula>S206&lt;&gt;R206</formula>
    </cfRule>
  </conditionalFormatting>
  <conditionalFormatting sqref="Q206">
    <cfRule type="expression" dxfId="271" priority="360">
      <formula>AND(P206&lt;&gt;"",Q206&lt;&gt;"",Q206&gt;P206)</formula>
    </cfRule>
  </conditionalFormatting>
  <conditionalFormatting sqref="B8">
    <cfRule type="expression" dxfId="270" priority="359">
      <formula>B8&gt;0</formula>
    </cfRule>
  </conditionalFormatting>
  <conditionalFormatting sqref="AC13">
    <cfRule type="expression" dxfId="269" priority="355" stopIfTrue="1">
      <formula>AND(AC13&lt;="C", T13&lt;$T$4*$AC$7)</formula>
    </cfRule>
  </conditionalFormatting>
  <conditionalFormatting sqref="AI13:AJ13">
    <cfRule type="expression" dxfId="266" priority="356">
      <formula>AND(OR($AC13&lt;&gt;$AI13,$AD13&lt;&gt;$AJ13),$AH13&lt;$AA13)</formula>
    </cfRule>
    <cfRule type="expression" dxfId="265" priority="357">
      <formula>AND(OR($AC13&lt;&gt;$AI13,$AD13&lt;&gt;$AJ13),$AH13&gt;$AA13)</formula>
    </cfRule>
  </conditionalFormatting>
  <conditionalFormatting sqref="AT13">
    <cfRule type="expression" dxfId="264" priority="358" stopIfTrue="1">
      <formula>AND(AT13&gt;AA13,OR(AC13&lt;&gt;#REF!,AD13&lt;&gt;#REF!))</formula>
    </cfRule>
  </conditionalFormatting>
  <conditionalFormatting sqref="S13">
    <cfRule type="expression" dxfId="263" priority="352">
      <formula>S13&lt;&gt;R13</formula>
    </cfRule>
  </conditionalFormatting>
  <conditionalFormatting sqref="Q13">
    <cfRule type="expression" dxfId="262" priority="351">
      <formula>AND(P13&lt;&gt;"",Q13&lt;&gt;"",Q13&gt;P13)</formula>
    </cfRule>
  </conditionalFormatting>
  <conditionalFormatting sqref="AC372">
    <cfRule type="expression" dxfId="261" priority="347" stopIfTrue="1">
      <formula>AND(AC372&lt;="C", T372&lt;$T$4*$AC$7)</formula>
    </cfRule>
  </conditionalFormatting>
  <conditionalFormatting sqref="AI372:AJ372">
    <cfRule type="expression" dxfId="258" priority="348">
      <formula>AND(OR($AC372&lt;&gt;$AI372,$AD372&lt;&gt;$AJ372),$AH372&lt;$AA372)</formula>
    </cfRule>
    <cfRule type="expression" dxfId="257" priority="349">
      <formula>AND(OR($AC372&lt;&gt;$AI372,$AD372&lt;&gt;$AJ372),$AH372&gt;$AA372)</formula>
    </cfRule>
  </conditionalFormatting>
  <conditionalFormatting sqref="AT372">
    <cfRule type="expression" dxfId="256" priority="350" stopIfTrue="1">
      <formula>AND(AT372&gt;AA372,OR(AC372&lt;&gt;#REF!,AD372&lt;&gt;#REF!))</formula>
    </cfRule>
  </conditionalFormatting>
  <conditionalFormatting sqref="S372">
    <cfRule type="expression" dxfId="255" priority="344">
      <formula>S372&lt;&gt;R372</formula>
    </cfRule>
  </conditionalFormatting>
  <conditionalFormatting sqref="Q372">
    <cfRule type="expression" dxfId="254" priority="343">
      <formula>AND(P372&lt;&gt;"",Q372&lt;&gt;"",Q372&gt;P372)</formula>
    </cfRule>
  </conditionalFormatting>
  <conditionalFormatting sqref="AC433">
    <cfRule type="expression" dxfId="253" priority="339" stopIfTrue="1">
      <formula>AND(AC433&lt;="C", T433&lt;$T$4*$AC$7)</formula>
    </cfRule>
  </conditionalFormatting>
  <conditionalFormatting sqref="AI433:AJ433">
    <cfRule type="expression" dxfId="250" priority="340">
      <formula>AND(OR($AC433&lt;&gt;$AI433,$AD433&lt;&gt;$AJ433),$AH433&lt;$AA433)</formula>
    </cfRule>
    <cfRule type="expression" dxfId="249" priority="341">
      <formula>AND(OR($AC433&lt;&gt;$AI433,$AD433&lt;&gt;$AJ433),$AH433&gt;$AA433)</formula>
    </cfRule>
  </conditionalFormatting>
  <conditionalFormatting sqref="AT433">
    <cfRule type="expression" dxfId="248" priority="342" stopIfTrue="1">
      <formula>AND(AT433&gt;AA433,OR(AC433&lt;&gt;#REF!,AD433&lt;&gt;#REF!))</formula>
    </cfRule>
  </conditionalFormatting>
  <conditionalFormatting sqref="S433">
    <cfRule type="expression" dxfId="247" priority="336">
      <formula>S433&lt;&gt;R433</formula>
    </cfRule>
  </conditionalFormatting>
  <conditionalFormatting sqref="Q433">
    <cfRule type="expression" dxfId="246" priority="335">
      <formula>AND(P433&lt;&gt;"",Q433&lt;&gt;"",Q433&gt;P433)</formula>
    </cfRule>
  </conditionalFormatting>
  <conditionalFormatting sqref="AC184">
    <cfRule type="expression" dxfId="245" priority="331" stopIfTrue="1">
      <formula>AND(AC184&lt;="C", T184&lt;$T$4*$AC$7)</formula>
    </cfRule>
  </conditionalFormatting>
  <conditionalFormatting sqref="AI184:AJ184">
    <cfRule type="expression" dxfId="242" priority="332">
      <formula>AND(OR($AC184&lt;&gt;$AI184,$AD184&lt;&gt;$AJ184),$AH184&lt;$AA184)</formula>
    </cfRule>
    <cfRule type="expression" dxfId="241" priority="333">
      <formula>AND(OR($AC184&lt;&gt;$AI184,$AD184&lt;&gt;$AJ184),$AH184&gt;$AA184)</formula>
    </cfRule>
  </conditionalFormatting>
  <conditionalFormatting sqref="AT184">
    <cfRule type="expression" dxfId="240" priority="334" stopIfTrue="1">
      <formula>AND(AT184&gt;AA184,OR(AC184&lt;&gt;#REF!,AD184&lt;&gt;#REF!))</formula>
    </cfRule>
  </conditionalFormatting>
  <conditionalFormatting sqref="R8">
    <cfRule type="expression" dxfId="239" priority="305">
      <formula>R8&gt;0</formula>
    </cfRule>
  </conditionalFormatting>
  <conditionalFormatting sqref="S190">
    <cfRule type="expression" dxfId="238" priority="304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237" priority="298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236" priority="297">
      <formula>BA9</formula>
    </cfRule>
  </conditionalFormatting>
  <conditionalFormatting sqref="AC290">
    <cfRule type="expression" dxfId="235" priority="283" stopIfTrue="1">
      <formula>AND(AC290&lt;="C", T290&lt;$T$4*$AC$7)</formula>
    </cfRule>
  </conditionalFormatting>
  <conditionalFormatting sqref="AI290:AJ290">
    <cfRule type="expression" dxfId="232" priority="284">
      <formula>AND(OR($AC290&lt;&gt;$AI290,$AD290&lt;&gt;$AJ290),$AH290&lt;$AA290)</formula>
    </cfRule>
    <cfRule type="expression" dxfId="231" priority="285">
      <formula>AND(OR($AC290&lt;&gt;$AI290,$AD290&lt;&gt;$AJ290),$AH290&gt;$AA290)</formula>
    </cfRule>
  </conditionalFormatting>
  <conditionalFormatting sqref="AT290">
    <cfRule type="expression" dxfId="230" priority="286" stopIfTrue="1">
      <formula>AND(AT290&gt;AA290,OR(AC290&lt;&gt;#REF!,AD290&lt;&gt;#REF!))</formula>
    </cfRule>
  </conditionalFormatting>
  <conditionalFormatting sqref="S290">
    <cfRule type="expression" dxfId="229" priority="280">
      <formula>S290&lt;&gt;R290</formula>
    </cfRule>
  </conditionalFormatting>
  <conditionalFormatting sqref="Q290">
    <cfRule type="expression" dxfId="228" priority="279">
      <formula>AND(P290&lt;&gt;"",Q290&lt;&gt;"",Q290&gt;P290)</formula>
    </cfRule>
  </conditionalFormatting>
  <conditionalFormatting sqref="AC290">
    <cfRule type="expression" dxfId="227" priority="278">
      <formula>BA290</formula>
    </cfRule>
  </conditionalFormatting>
  <conditionalFormatting sqref="AD290">
    <cfRule type="expression" dxfId="226" priority="277">
      <formula>BA290</formula>
    </cfRule>
  </conditionalFormatting>
  <conditionalFormatting sqref="AC172">
    <cfRule type="expression" dxfId="225" priority="273" stopIfTrue="1">
      <formula>AND(AC172&lt;="C", T172&lt;$T$4*$AC$7)</formula>
    </cfRule>
  </conditionalFormatting>
  <conditionalFormatting sqref="AI172:AJ172">
    <cfRule type="expression" dxfId="222" priority="274">
      <formula>AND(OR($AC172&lt;&gt;$AI172,$AD172&lt;&gt;$AJ172),$AH172&lt;$AA172)</formula>
    </cfRule>
    <cfRule type="expression" dxfId="221" priority="275">
      <formula>AND(OR($AC172&lt;&gt;$AI172,$AD172&lt;&gt;$AJ172),$AH172&gt;$AA172)</formula>
    </cfRule>
  </conditionalFormatting>
  <conditionalFormatting sqref="AT172">
    <cfRule type="expression" dxfId="220" priority="276" stopIfTrue="1">
      <formula>AND(AT172&gt;AA172,OR(AC172&lt;&gt;#REF!,AD172&lt;&gt;#REF!))</formula>
    </cfRule>
  </conditionalFormatting>
  <conditionalFormatting sqref="S172">
    <cfRule type="expression" dxfId="219" priority="270">
      <formula>S172&lt;&gt;R172</formula>
    </cfRule>
  </conditionalFormatting>
  <conditionalFormatting sqref="Q172">
    <cfRule type="expression" dxfId="218" priority="269">
      <formula>AND(P172&lt;&gt;"",Q172&lt;&gt;"",Q172&gt;P172)</formula>
    </cfRule>
  </conditionalFormatting>
  <conditionalFormatting sqref="AC172">
    <cfRule type="expression" dxfId="217" priority="268">
      <formula>BA172</formula>
    </cfRule>
  </conditionalFormatting>
  <conditionalFormatting sqref="AD172">
    <cfRule type="expression" dxfId="216" priority="267">
      <formula>BA172</formula>
    </cfRule>
  </conditionalFormatting>
  <conditionalFormatting sqref="AC307">
    <cfRule type="expression" dxfId="215" priority="263" stopIfTrue="1">
      <formula>AND(AC307&lt;="C", T307&lt;$T$4*$AC$7)</formula>
    </cfRule>
  </conditionalFormatting>
  <conditionalFormatting sqref="AI307:AJ307">
    <cfRule type="expression" dxfId="212" priority="264">
      <formula>AND(OR($AC307&lt;&gt;$AI307,$AD307&lt;&gt;$AJ307),$AH307&lt;$AA307)</formula>
    </cfRule>
    <cfRule type="expression" dxfId="211" priority="265">
      <formula>AND(OR($AC307&lt;&gt;$AI307,$AD307&lt;&gt;$AJ307),$AH307&gt;$AA307)</formula>
    </cfRule>
  </conditionalFormatting>
  <conditionalFormatting sqref="AT307">
    <cfRule type="expression" dxfId="210" priority="266" stopIfTrue="1">
      <formula>AND(AT307&gt;AA307,OR(AC307&lt;&gt;#REF!,AD307&lt;&gt;#REF!))</formula>
    </cfRule>
  </conditionalFormatting>
  <conditionalFormatting sqref="S307">
    <cfRule type="expression" dxfId="209" priority="260">
      <formula>S307&lt;&gt;R307</formula>
    </cfRule>
  </conditionalFormatting>
  <conditionalFormatting sqref="Q307">
    <cfRule type="expression" dxfId="208" priority="259">
      <formula>AND(P307&lt;&gt;"",Q307&lt;&gt;"",Q307&gt;P307)</formula>
    </cfRule>
  </conditionalFormatting>
  <conditionalFormatting sqref="AC307">
    <cfRule type="expression" dxfId="207" priority="258">
      <formula>BA307</formula>
    </cfRule>
  </conditionalFormatting>
  <conditionalFormatting sqref="AD307">
    <cfRule type="expression" dxfId="206" priority="257">
      <formula>BA307</formula>
    </cfRule>
  </conditionalFormatting>
  <conditionalFormatting sqref="AC589:AC596">
    <cfRule type="expression" dxfId="205" priority="253" stopIfTrue="1">
      <formula>AND(AC589&lt;="C", T589&lt;$T$4*$AC$7)</formula>
    </cfRule>
  </conditionalFormatting>
  <conditionalFormatting sqref="W589:W596">
    <cfRule type="expression" dxfId="204" priority="252">
      <formula>W589/$W$2&lt;V589/$V$2-0.4</formula>
    </cfRule>
  </conditionalFormatting>
  <conditionalFormatting sqref="AI589:AJ596">
    <cfRule type="expression" dxfId="203" priority="254">
      <formula>AND(OR($AC589&lt;&gt;$AI589,$AD589&lt;&gt;$AJ589),$AH589&lt;$AA589)</formula>
    </cfRule>
    <cfRule type="expression" dxfId="202" priority="255">
      <formula>AND(OR($AC589&lt;&gt;$AI589,$AD589&lt;&gt;$AJ589),$AH589&gt;$AA589)</formula>
    </cfRule>
  </conditionalFormatting>
  <conditionalFormatting sqref="AT589:AT596 AT602:AT605">
    <cfRule type="expression" dxfId="201" priority="256" stopIfTrue="1">
      <formula>AND(AT589&gt;AA589,OR(AC589&lt;&gt;#REF!,AD589&lt;&gt;#REF!))</formula>
    </cfRule>
  </conditionalFormatting>
  <conditionalFormatting sqref="S589:S596 S602:S605">
    <cfRule type="expression" dxfId="200" priority="251">
      <formula>S589&lt;&gt;R589</formula>
    </cfRule>
  </conditionalFormatting>
  <conditionalFormatting sqref="Q589:Q596 Q602:Q605">
    <cfRule type="expression" dxfId="199" priority="250">
      <formula>AND(P589&lt;&gt;"",Q589&lt;&gt;"",Q589&gt;P589)</formula>
    </cfRule>
  </conditionalFormatting>
  <conditionalFormatting sqref="AC589:AC596 AC602:AC605">
    <cfRule type="expression" dxfId="198" priority="249">
      <formula>BA589</formula>
    </cfRule>
  </conditionalFormatting>
  <conditionalFormatting sqref="AD589:AD596 AD602:AD605">
    <cfRule type="expression" dxfId="197" priority="248">
      <formula>BA589</formula>
    </cfRule>
  </conditionalFormatting>
  <conditionalFormatting sqref="AC597:AC601">
    <cfRule type="expression" dxfId="196" priority="244" stopIfTrue="1">
      <formula>AND(AC597&lt;="C", T597&lt;$T$4*$AC$7)</formula>
    </cfRule>
  </conditionalFormatting>
  <conditionalFormatting sqref="W597:W601">
    <cfRule type="expression" dxfId="195" priority="243">
      <formula>W597/$W$2&lt;V597/$V$2-0.4</formula>
    </cfRule>
  </conditionalFormatting>
  <conditionalFormatting sqref="AI597:AJ601">
    <cfRule type="expression" dxfId="194" priority="245">
      <formula>AND(OR($AC597&lt;&gt;$AI597,$AD597&lt;&gt;$AJ597),$AH597&lt;$AA597)</formula>
    </cfRule>
    <cfRule type="expression" dxfId="193" priority="246">
      <formula>AND(OR($AC597&lt;&gt;$AI597,$AD597&lt;&gt;$AJ597),$AH597&gt;$AA597)</formula>
    </cfRule>
  </conditionalFormatting>
  <conditionalFormatting sqref="AT597:AT601">
    <cfRule type="expression" dxfId="192" priority="247" stopIfTrue="1">
      <formula>AND(AT597&gt;AA597,OR(AC597&lt;&gt;#REF!,AD597&lt;&gt;#REF!))</formula>
    </cfRule>
  </conditionalFormatting>
  <conditionalFormatting sqref="S597:S601">
    <cfRule type="expression" dxfId="191" priority="242">
      <formula>S597&lt;&gt;R597</formula>
    </cfRule>
  </conditionalFormatting>
  <conditionalFormatting sqref="Q597:Q601">
    <cfRule type="expression" dxfId="190" priority="241">
      <formula>AND(P597&lt;&gt;"",Q597&lt;&gt;"",Q597&gt;P597)</formula>
    </cfRule>
  </conditionalFormatting>
  <conditionalFormatting sqref="AC597:AC601">
    <cfRule type="expression" dxfId="189" priority="240">
      <formula>BA597</formula>
    </cfRule>
  </conditionalFormatting>
  <conditionalFormatting sqref="AD597:AD601">
    <cfRule type="expression" dxfId="188" priority="239">
      <formula>BA597</formula>
    </cfRule>
  </conditionalFormatting>
  <conditionalFormatting sqref="AC121">
    <cfRule type="expression" dxfId="187" priority="220">
      <formula>BA121</formula>
    </cfRule>
  </conditionalFormatting>
  <conditionalFormatting sqref="AD121">
    <cfRule type="expression" dxfId="186" priority="219">
      <formula>BA121</formula>
    </cfRule>
  </conditionalFormatting>
  <conditionalFormatting sqref="AC121">
    <cfRule type="expression" dxfId="185" priority="225" stopIfTrue="1">
      <formula>AND(AC121&lt;="C", T121&lt;$T$4*$AC$7)</formula>
    </cfRule>
  </conditionalFormatting>
  <conditionalFormatting sqref="AI121:AJ121">
    <cfRule type="expression" dxfId="182" priority="226">
      <formula>AND(OR($AC121&lt;&gt;$AI121,$AD121&lt;&gt;$AJ121),$AH121&lt;$AA121)</formula>
    </cfRule>
    <cfRule type="expression" dxfId="181" priority="227">
      <formula>AND(OR($AC121&lt;&gt;$AI121,$AD121&lt;&gt;$AJ121),$AH121&gt;$AA121)</formula>
    </cfRule>
  </conditionalFormatting>
  <conditionalFormatting sqref="AT121">
    <cfRule type="expression" dxfId="180" priority="228" stopIfTrue="1">
      <formula>AND(AT121&gt;AA121,OR(AC121&lt;&gt;#REF!,AD121&lt;&gt;#REF!))</formula>
    </cfRule>
  </conditionalFormatting>
  <conditionalFormatting sqref="S121">
    <cfRule type="expression" dxfId="179" priority="222">
      <formula>S121&lt;&gt;R121</formula>
    </cfRule>
  </conditionalFormatting>
  <conditionalFormatting sqref="Q121">
    <cfRule type="expression" dxfId="178" priority="221">
      <formula>AND(P121&lt;&gt;"",Q121&lt;&gt;"",Q121&gt;P121)</formula>
    </cfRule>
  </conditionalFormatting>
  <conditionalFormatting sqref="M8">
    <cfRule type="expression" dxfId="177" priority="216">
      <formula>M8&gt;0</formula>
    </cfRule>
  </conditionalFormatting>
  <conditionalFormatting sqref="F8">
    <cfRule type="expression" dxfId="176" priority="215">
      <formula>F8&gt;0</formula>
    </cfRule>
  </conditionalFormatting>
  <conditionalFormatting sqref="G8">
    <cfRule type="expression" dxfId="175" priority="214">
      <formula>G8&gt;0</formula>
    </cfRule>
  </conditionalFormatting>
  <conditionalFormatting sqref="N8">
    <cfRule type="expression" dxfId="174" priority="213">
      <formula>N8&gt;0</formula>
    </cfRule>
  </conditionalFormatting>
  <conditionalFormatting sqref="H8">
    <cfRule type="expression" dxfId="173" priority="212">
      <formula>H8&gt;0</formula>
    </cfRule>
  </conditionalFormatting>
  <conditionalFormatting sqref="AC364">
    <cfRule type="expression" dxfId="172" priority="208" stopIfTrue="1">
      <formula>AND(AC364&lt;="C", T364&lt;$T$4*$AC$7)</formula>
    </cfRule>
  </conditionalFormatting>
  <conditionalFormatting sqref="AI364:AJ364">
    <cfRule type="expression" dxfId="169" priority="209">
      <formula>AND(OR($AC364&lt;&gt;$AI364,$AD364&lt;&gt;$AJ364),$AH364&lt;$AA364)</formula>
    </cfRule>
    <cfRule type="expression" dxfId="168" priority="210">
      <formula>AND(OR($AC364&lt;&gt;$AI364,$AD364&lt;&gt;$AJ364),$AH364&gt;$AA364)</formula>
    </cfRule>
  </conditionalFormatting>
  <conditionalFormatting sqref="AT364">
    <cfRule type="expression" dxfId="167" priority="211" stopIfTrue="1">
      <formula>AND(AT364&gt;AA364,OR(AC364&lt;&gt;#REF!,AD364&lt;&gt;#REF!))</formula>
    </cfRule>
  </conditionalFormatting>
  <conditionalFormatting sqref="S364">
    <cfRule type="expression" dxfId="166" priority="205">
      <formula>S364&lt;&gt;R364</formula>
    </cfRule>
  </conditionalFormatting>
  <conditionalFormatting sqref="Q364">
    <cfRule type="expression" dxfId="165" priority="204">
      <formula>AND(P364&lt;&gt;"",Q364&lt;&gt;"",Q364&gt;P364)</formula>
    </cfRule>
  </conditionalFormatting>
  <conditionalFormatting sqref="AC364">
    <cfRule type="expression" dxfId="164" priority="203">
      <formula>BA364</formula>
    </cfRule>
  </conditionalFormatting>
  <conditionalFormatting sqref="AD364">
    <cfRule type="expression" dxfId="163" priority="202">
      <formula>BA364</formula>
    </cfRule>
  </conditionalFormatting>
  <conditionalFormatting sqref="AC515">
    <cfRule type="expression" dxfId="162" priority="198" stopIfTrue="1">
      <formula>AND(AC515&lt;="C", T515&lt;$T$4*$AC$7)</formula>
    </cfRule>
  </conditionalFormatting>
  <conditionalFormatting sqref="AI515:AJ515">
    <cfRule type="expression" dxfId="159" priority="199">
      <formula>AND(OR($AC515&lt;&gt;$AI515,$AD515&lt;&gt;$AJ515),$AH515&lt;$AA515)</formula>
    </cfRule>
    <cfRule type="expression" dxfId="158" priority="200">
      <formula>AND(OR($AC515&lt;&gt;$AI515,$AD515&lt;&gt;$AJ515),$AH515&gt;$AA515)</formula>
    </cfRule>
  </conditionalFormatting>
  <conditionalFormatting sqref="AT515">
    <cfRule type="expression" dxfId="157" priority="201" stopIfTrue="1">
      <formula>AND(AT515&gt;AA515,OR(AC515&lt;&gt;#REF!,AD515&lt;&gt;#REF!))</formula>
    </cfRule>
  </conditionalFormatting>
  <conditionalFormatting sqref="S515">
    <cfRule type="expression" dxfId="156" priority="195">
      <formula>S515&lt;&gt;R515</formula>
    </cfRule>
  </conditionalFormatting>
  <conditionalFormatting sqref="Q515">
    <cfRule type="expression" dxfId="155" priority="194">
      <formula>AND(P515&lt;&gt;"",Q515&lt;&gt;"",Q515&gt;P515)</formula>
    </cfRule>
  </conditionalFormatting>
  <conditionalFormatting sqref="AC515">
    <cfRule type="expression" dxfId="154" priority="193">
      <formula>BA515</formula>
    </cfRule>
  </conditionalFormatting>
  <conditionalFormatting sqref="AD515">
    <cfRule type="expression" dxfId="153" priority="192">
      <formula>BA515</formula>
    </cfRule>
  </conditionalFormatting>
  <conditionalFormatting sqref="AC220">
    <cfRule type="expression" dxfId="152" priority="188" stopIfTrue="1">
      <formula>AND(AC220&lt;="C", T220&lt;$T$4*$AC$7)</formula>
    </cfRule>
  </conditionalFormatting>
  <conditionalFormatting sqref="AI220:AJ220">
    <cfRule type="expression" dxfId="149" priority="189">
      <formula>AND(OR($AC220&lt;&gt;$AI220,$AD220&lt;&gt;$AJ220),$AH220&lt;$AA220)</formula>
    </cfRule>
    <cfRule type="expression" dxfId="148" priority="190">
      <formula>AND(OR($AC220&lt;&gt;$AI220,$AD220&lt;&gt;$AJ220),$AH220&gt;$AA220)</formula>
    </cfRule>
  </conditionalFormatting>
  <conditionalFormatting sqref="AT220">
    <cfRule type="expression" dxfId="147" priority="191" stopIfTrue="1">
      <formula>AND(AT220&gt;AA220,OR(AC220&lt;&gt;#REF!,AD220&lt;&gt;#REF!))</formula>
    </cfRule>
  </conditionalFormatting>
  <conditionalFormatting sqref="S220">
    <cfRule type="expression" dxfId="146" priority="185">
      <formula>S220&lt;&gt;R220</formula>
    </cfRule>
  </conditionalFormatting>
  <conditionalFormatting sqref="Q220">
    <cfRule type="expression" dxfId="145" priority="184">
      <formula>AND(P220&lt;&gt;"",Q220&lt;&gt;"",Q220&gt;P220)</formula>
    </cfRule>
  </conditionalFormatting>
  <conditionalFormatting sqref="AC220">
    <cfRule type="expression" dxfId="144" priority="183">
      <formula>BA220</formula>
    </cfRule>
  </conditionalFormatting>
  <conditionalFormatting sqref="AD220">
    <cfRule type="expression" dxfId="143" priority="182">
      <formula>BA220</formula>
    </cfRule>
  </conditionalFormatting>
  <conditionalFormatting sqref="AC484">
    <cfRule type="expression" dxfId="142" priority="178" stopIfTrue="1">
      <formula>AND(AC484&lt;="C", T484&lt;$T$4*$AC$7)</formula>
    </cfRule>
  </conditionalFormatting>
  <conditionalFormatting sqref="AI484:AJ484">
    <cfRule type="expression" dxfId="139" priority="179">
      <formula>AND(OR($AC484&lt;&gt;$AI484,$AD484&lt;&gt;$AJ484),$AH484&lt;$AA484)</formula>
    </cfRule>
    <cfRule type="expression" dxfId="138" priority="180">
      <formula>AND(OR($AC484&lt;&gt;$AI484,$AD484&lt;&gt;$AJ484),$AH484&gt;$AA484)</formula>
    </cfRule>
  </conditionalFormatting>
  <conditionalFormatting sqref="AT484">
    <cfRule type="expression" dxfId="137" priority="181" stopIfTrue="1">
      <formula>AND(AT484&gt;AA484,OR(AC484&lt;&gt;#REF!,AD484&lt;&gt;#REF!))</formula>
    </cfRule>
  </conditionalFormatting>
  <conditionalFormatting sqref="S484">
    <cfRule type="expression" dxfId="136" priority="175">
      <formula>S484&lt;&gt;R484</formula>
    </cfRule>
  </conditionalFormatting>
  <conditionalFormatting sqref="Q484">
    <cfRule type="expression" dxfId="135" priority="174">
      <formula>AND(P484&lt;&gt;"",Q484&lt;&gt;"",Q484&gt;P484)</formula>
    </cfRule>
  </conditionalFormatting>
  <conditionalFormatting sqref="AC484">
    <cfRule type="expression" dxfId="134" priority="173">
      <formula>BA484</formula>
    </cfRule>
  </conditionalFormatting>
  <conditionalFormatting sqref="AD484">
    <cfRule type="expression" dxfId="133" priority="172">
      <formula>BA484</formula>
    </cfRule>
  </conditionalFormatting>
  <conditionalFormatting sqref="AC449">
    <cfRule type="expression" dxfId="132" priority="168" stopIfTrue="1">
      <formula>AND(AC449&lt;="C", T449&lt;$T$4*$AC$7)</formula>
    </cfRule>
  </conditionalFormatting>
  <conditionalFormatting sqref="AI449:AJ449">
    <cfRule type="expression" dxfId="129" priority="169">
      <formula>AND(OR($AC449&lt;&gt;$AI449,$AD449&lt;&gt;$AJ449),$AH449&lt;$AA449)</formula>
    </cfRule>
    <cfRule type="expression" dxfId="128" priority="170">
      <formula>AND(OR($AC449&lt;&gt;$AI449,$AD449&lt;&gt;$AJ449),$AH449&gt;$AA449)</formula>
    </cfRule>
  </conditionalFormatting>
  <conditionalFormatting sqref="AT449">
    <cfRule type="expression" dxfId="127" priority="171" stopIfTrue="1">
      <formula>AND(AT449&gt;AA449,OR(AC449&lt;&gt;#REF!,AD449&lt;&gt;#REF!))</formula>
    </cfRule>
  </conditionalFormatting>
  <conditionalFormatting sqref="S449">
    <cfRule type="expression" dxfId="126" priority="165">
      <formula>S449&lt;&gt;R449</formula>
    </cfRule>
  </conditionalFormatting>
  <conditionalFormatting sqref="Q449">
    <cfRule type="expression" dxfId="125" priority="164">
      <formula>AND(P449&lt;&gt;"",Q449&lt;&gt;"",Q449&gt;P449)</formula>
    </cfRule>
  </conditionalFormatting>
  <conditionalFormatting sqref="AC449">
    <cfRule type="expression" dxfId="124" priority="163">
      <formula>BA449</formula>
    </cfRule>
  </conditionalFormatting>
  <conditionalFormatting sqref="AD449">
    <cfRule type="expression" dxfId="123" priority="162">
      <formula>BA449</formula>
    </cfRule>
  </conditionalFormatting>
  <conditionalFormatting sqref="AC219">
    <cfRule type="expression" dxfId="121" priority="157" stopIfTrue="1">
      <formula>AND(AC219&lt;="C", T219&lt;$T$4*$AC$7)</formula>
    </cfRule>
  </conditionalFormatting>
  <conditionalFormatting sqref="AI219:AJ219">
    <cfRule type="expression" dxfId="119" priority="159">
      <formula>AND(OR($AC219&lt;&gt;$AI219,$AD219&lt;&gt;$AJ219),$AH219&lt;$AA219)</formula>
    </cfRule>
    <cfRule type="expression" dxfId="118" priority="160">
      <formula>AND(OR($AC219&lt;&gt;$AI219,$AD219&lt;&gt;$AJ219),$AH219&gt;$AA219)</formula>
    </cfRule>
  </conditionalFormatting>
  <conditionalFormatting sqref="AT219">
    <cfRule type="expression" dxfId="117" priority="161" stopIfTrue="1">
      <formula>AND(AT219&gt;AA219,OR(AC219&lt;&gt;#REF!,AD219&lt;&gt;#REF!))</formula>
    </cfRule>
  </conditionalFormatting>
  <conditionalFormatting sqref="S219">
    <cfRule type="expression" dxfId="116" priority="155">
      <formula>S219&lt;&gt;R219</formula>
    </cfRule>
  </conditionalFormatting>
  <conditionalFormatting sqref="Q219">
    <cfRule type="expression" dxfId="115" priority="154">
      <formula>AND(P219&lt;&gt;"",Q219&lt;&gt;"",Q219&gt;P219)</formula>
    </cfRule>
  </conditionalFormatting>
  <conditionalFormatting sqref="AC219">
    <cfRule type="expression" dxfId="114" priority="153">
      <formula>BA219</formula>
    </cfRule>
  </conditionalFormatting>
  <conditionalFormatting sqref="AD219">
    <cfRule type="expression" dxfId="113" priority="152">
      <formula>BA219</formula>
    </cfRule>
  </conditionalFormatting>
  <conditionalFormatting sqref="AC425">
    <cfRule type="expression" dxfId="112" priority="110" stopIfTrue="1">
      <formula>AND(AC425&lt;="C", T425&lt;$T$4*$AC$7)</formula>
    </cfRule>
  </conditionalFormatting>
  <conditionalFormatting sqref="AI425:AJ425">
    <cfRule type="expression" dxfId="109" priority="111">
      <formula>AND(OR($AC425&lt;&gt;$AI425,$AD425&lt;&gt;$AJ425),$AH425&lt;$AA425)</formula>
    </cfRule>
    <cfRule type="expression" dxfId="108" priority="112">
      <formula>AND(OR($AC425&lt;&gt;$AI425,$AD425&lt;&gt;$AJ425),$AH425&gt;$AA425)</formula>
    </cfRule>
  </conditionalFormatting>
  <conditionalFormatting sqref="AT425">
    <cfRule type="expression" dxfId="107" priority="113" stopIfTrue="1">
      <formula>AND(AT425&gt;AA425,OR(AC425&lt;&gt;#REF!,AD425&lt;&gt;#REF!))</formula>
    </cfRule>
  </conditionalFormatting>
  <conditionalFormatting sqref="S461">
    <cfRule type="expression" dxfId="106" priority="135">
      <formula>S461&lt;&gt;R461</formula>
    </cfRule>
  </conditionalFormatting>
  <conditionalFormatting sqref="Q461">
    <cfRule type="expression" dxfId="105" priority="134">
      <formula>AND(P461&lt;&gt;"",Q461&lt;&gt;"",Q461&gt;P461)</formula>
    </cfRule>
  </conditionalFormatting>
  <conditionalFormatting sqref="AC461">
    <cfRule type="expression" dxfId="104" priority="115">
      <formula>BA461</formula>
    </cfRule>
  </conditionalFormatting>
  <conditionalFormatting sqref="AD461">
    <cfRule type="expression" dxfId="103" priority="114">
      <formula>BA461</formula>
    </cfRule>
  </conditionalFormatting>
  <conditionalFormatting sqref="AC170">
    <cfRule type="expression" dxfId="102" priority="128" stopIfTrue="1">
      <formula>AND(AC170&lt;="C", T170&lt;$T$4*$AC$7)</formula>
    </cfRule>
  </conditionalFormatting>
  <conditionalFormatting sqref="AI170:AJ170">
    <cfRule type="expression" dxfId="99" priority="129">
      <formula>AND(OR($AC170&lt;&gt;$AI170,$AD170&lt;&gt;$AJ170),$AH170&lt;$AA170)</formula>
    </cfRule>
    <cfRule type="expression" dxfId="98" priority="130">
      <formula>AND(OR($AC170&lt;&gt;$AI170,$AD170&lt;&gt;$AJ170),$AH170&gt;$AA170)</formula>
    </cfRule>
  </conditionalFormatting>
  <conditionalFormatting sqref="AT170">
    <cfRule type="expression" dxfId="97" priority="131" stopIfTrue="1">
      <formula>AND(AT170&gt;AA170,OR(AC170&lt;&gt;#REF!,AD170&lt;&gt;#REF!))</formula>
    </cfRule>
  </conditionalFormatting>
  <conditionalFormatting sqref="S170">
    <cfRule type="expression" dxfId="96" priority="125">
      <formula>S170&lt;&gt;R170</formula>
    </cfRule>
  </conditionalFormatting>
  <conditionalFormatting sqref="Q170">
    <cfRule type="expression" dxfId="95" priority="124">
      <formula>AND(P170&lt;&gt;"",Q170&lt;&gt;"",Q170&gt;P170)</formula>
    </cfRule>
  </conditionalFormatting>
  <conditionalFormatting sqref="AC170">
    <cfRule type="expression" dxfId="94" priority="123">
      <formula>BA170</formula>
    </cfRule>
  </conditionalFormatting>
  <conditionalFormatting sqref="AD170">
    <cfRule type="expression" dxfId="93" priority="122">
      <formula>BA170</formula>
    </cfRule>
  </conditionalFormatting>
  <conditionalFormatting sqref="AC461">
    <cfRule type="expression" dxfId="92" priority="118" stopIfTrue="1">
      <formula>AND(AC461&lt;="C", T461&lt;$T$4*$AC$7)</formula>
    </cfRule>
  </conditionalFormatting>
  <conditionalFormatting sqref="AI461:AJ461">
    <cfRule type="expression" dxfId="89" priority="119">
      <formula>AND(OR($AC461&lt;&gt;$AI461,$AD461&lt;&gt;$AJ461),$AH461&lt;$AA461)</formula>
    </cfRule>
    <cfRule type="expression" dxfId="88" priority="120">
      <formula>AND(OR($AC461&lt;&gt;$AI461,$AD461&lt;&gt;$AJ461),$AH461&gt;$AA461)</formula>
    </cfRule>
  </conditionalFormatting>
  <conditionalFormatting sqref="AT461">
    <cfRule type="expression" dxfId="87" priority="121" stopIfTrue="1">
      <formula>AND(AT461&gt;AA461,OR(AC461&lt;&gt;#REF!,AD461&lt;&gt;#REF!))</formula>
    </cfRule>
  </conditionalFormatting>
  <conditionalFormatting sqref="AC425">
    <cfRule type="expression" dxfId="86" priority="105">
      <formula>BA425</formula>
    </cfRule>
  </conditionalFormatting>
  <conditionalFormatting sqref="AD425">
    <cfRule type="expression" dxfId="85" priority="104">
      <formula>BA425</formula>
    </cfRule>
  </conditionalFormatting>
  <conditionalFormatting sqref="AC200">
    <cfRule type="expression" dxfId="84" priority="100" stopIfTrue="1">
      <formula>AND(AC200&lt;="C", T200&lt;$T$4*$AC$7)</formula>
    </cfRule>
  </conditionalFormatting>
  <conditionalFormatting sqref="AI200:AJ200">
    <cfRule type="expression" dxfId="81" priority="101">
      <formula>AND(OR($AC200&lt;&gt;$AI200,$AD200&lt;&gt;$AJ200),$AH200&lt;$AA200)</formula>
    </cfRule>
    <cfRule type="expression" dxfId="80" priority="102">
      <formula>AND(OR($AC200&lt;&gt;$AI200,$AD200&lt;&gt;$AJ200),$AH200&gt;$AA200)</formula>
    </cfRule>
  </conditionalFormatting>
  <conditionalFormatting sqref="AT200">
    <cfRule type="expression" dxfId="79" priority="103" stopIfTrue="1">
      <formula>AND(AT200&gt;AA200,OR(AC200&lt;&gt;#REF!,AD200&lt;&gt;#REF!))</formula>
    </cfRule>
  </conditionalFormatting>
  <conditionalFormatting sqref="S425">
    <cfRule type="expression" dxfId="78" priority="107">
      <formula>S425&lt;&gt;R425</formula>
    </cfRule>
  </conditionalFormatting>
  <conditionalFormatting sqref="Q425">
    <cfRule type="expression" dxfId="77" priority="106">
      <formula>AND(P425&lt;&gt;"",Q425&lt;&gt;"",Q425&gt;P425)</formula>
    </cfRule>
  </conditionalFormatting>
  <conditionalFormatting sqref="AC200">
    <cfRule type="expression" dxfId="76" priority="95">
      <formula>BA200</formula>
    </cfRule>
  </conditionalFormatting>
  <conditionalFormatting sqref="AD200">
    <cfRule type="expression" dxfId="75" priority="94">
      <formula>BA200</formula>
    </cfRule>
  </conditionalFormatting>
  <conditionalFormatting sqref="S200">
    <cfRule type="expression" dxfId="74" priority="97">
      <formula>S200&lt;&gt;R200</formula>
    </cfRule>
  </conditionalFormatting>
  <conditionalFormatting sqref="Q200">
    <cfRule type="expression" dxfId="73" priority="96">
      <formula>AND(P200&lt;&gt;"",Q200&lt;&gt;"",Q200&gt;P200)</formula>
    </cfRule>
  </conditionalFormatting>
  <conditionalFormatting sqref="AC100">
    <cfRule type="expression" dxfId="72" priority="90" stopIfTrue="1">
      <formula>AND(AC100&lt;="C", T100&lt;$T$4*$AC$7)</formula>
    </cfRule>
  </conditionalFormatting>
  <conditionalFormatting sqref="AI100:AJ100">
    <cfRule type="expression" dxfId="69" priority="91">
      <formula>AND(OR($AC100&lt;&gt;$AI100,$AD100&lt;&gt;$AJ100),$AH100&lt;$AA100)</formula>
    </cfRule>
    <cfRule type="expression" dxfId="68" priority="92">
      <formula>AND(OR($AC100&lt;&gt;$AI100,$AD100&lt;&gt;$AJ100),$AH100&gt;$AA100)</formula>
    </cfRule>
  </conditionalFormatting>
  <conditionalFormatting sqref="AT100">
    <cfRule type="expression" dxfId="67" priority="93" stopIfTrue="1">
      <formula>AND(AT100&gt;AA100,OR(AC100&lt;&gt;#REF!,AD100&lt;&gt;#REF!))</formula>
    </cfRule>
  </conditionalFormatting>
  <conditionalFormatting sqref="S100">
    <cfRule type="expression" dxfId="66" priority="87">
      <formula>S100&lt;&gt;R100</formula>
    </cfRule>
  </conditionalFormatting>
  <conditionalFormatting sqref="Q100">
    <cfRule type="expression" dxfId="65" priority="86">
      <formula>AND(P100&lt;&gt;"",Q100&lt;&gt;"",Q100&gt;P100)</formula>
    </cfRule>
  </conditionalFormatting>
  <conditionalFormatting sqref="AC100">
    <cfRule type="expression" dxfId="64" priority="85">
      <formula>BA100</formula>
    </cfRule>
  </conditionalFormatting>
  <conditionalFormatting sqref="AD100">
    <cfRule type="expression" dxfId="63" priority="84">
      <formula>BA100</formula>
    </cfRule>
  </conditionalFormatting>
  <conditionalFormatting sqref="AC203">
    <cfRule type="expression" dxfId="62" priority="72" stopIfTrue="1">
      <formula>AND(AC203&lt;="C", T203&lt;$T$4*$AC$7)</formula>
    </cfRule>
  </conditionalFormatting>
  <conditionalFormatting sqref="AI203:AJ203">
    <cfRule type="expression" dxfId="59" priority="73">
      <formula>AND(OR($AC203&lt;&gt;$AI203,$AD203&lt;&gt;$AJ203),$AH203&lt;$AA203)</formula>
    </cfRule>
    <cfRule type="expression" dxfId="58" priority="74">
      <formula>AND(OR($AC203&lt;&gt;$AI203,$AD203&lt;&gt;$AJ203),$AH203&gt;$AA203)</formula>
    </cfRule>
  </conditionalFormatting>
  <conditionalFormatting sqref="AT203">
    <cfRule type="expression" dxfId="57" priority="75" stopIfTrue="1">
      <formula>AND(AT203&gt;AA203,OR(AC203&lt;&gt;#REF!,AD203&lt;&gt;#REF!))</formula>
    </cfRule>
  </conditionalFormatting>
  <conditionalFormatting sqref="S203">
    <cfRule type="expression" dxfId="56" priority="69">
      <formula>S203&lt;&gt;R203</formula>
    </cfRule>
  </conditionalFormatting>
  <conditionalFormatting sqref="Q203">
    <cfRule type="expression" dxfId="55" priority="68">
      <formula>AND(P203&lt;&gt;"",Q203&lt;&gt;"",Q203&gt;P203)</formula>
    </cfRule>
  </conditionalFormatting>
  <conditionalFormatting sqref="AC203">
    <cfRule type="expression" dxfId="54" priority="67">
      <formula>BA203</formula>
    </cfRule>
  </conditionalFormatting>
  <conditionalFormatting sqref="AD203">
    <cfRule type="expression" dxfId="53" priority="66">
      <formula>BA203</formula>
    </cfRule>
  </conditionalFormatting>
  <conditionalFormatting sqref="AC287">
    <cfRule type="expression" dxfId="52" priority="52" stopIfTrue="1">
      <formula>AND(AC287&lt;="C", T287&lt;$T$4*$AC$7)</formula>
    </cfRule>
  </conditionalFormatting>
  <conditionalFormatting sqref="AI287:AJ287">
    <cfRule type="expression" dxfId="49" priority="53">
      <formula>AND(OR($AC287&lt;&gt;$AI287,$AD287&lt;&gt;$AJ287),$AH287&lt;$AA287)</formula>
    </cfRule>
    <cfRule type="expression" dxfId="48" priority="54">
      <formula>AND(OR($AC287&lt;&gt;$AI287,$AD287&lt;&gt;$AJ287),$AH287&gt;$AA287)</formula>
    </cfRule>
  </conditionalFormatting>
  <conditionalFormatting sqref="AT287">
    <cfRule type="expression" dxfId="47" priority="55" stopIfTrue="1">
      <formula>AND(AT287&gt;AA287,OR(AC287&lt;&gt;#REF!,AD287&lt;&gt;#REF!))</formula>
    </cfRule>
  </conditionalFormatting>
  <conditionalFormatting sqref="S287">
    <cfRule type="expression" dxfId="46" priority="49">
      <formula>S287&lt;&gt;R287</formula>
    </cfRule>
  </conditionalFormatting>
  <conditionalFormatting sqref="Q287">
    <cfRule type="expression" dxfId="45" priority="48">
      <formula>AND(P287&lt;&gt;"",Q287&lt;&gt;"",Q287&gt;P287)</formula>
    </cfRule>
  </conditionalFormatting>
  <conditionalFormatting sqref="AC287">
    <cfRule type="expression" dxfId="44" priority="47">
      <formula>BA287</formula>
    </cfRule>
  </conditionalFormatting>
  <conditionalFormatting sqref="AD287">
    <cfRule type="expression" dxfId="43" priority="46">
      <formula>BA287</formula>
    </cfRule>
  </conditionalFormatting>
  <conditionalFormatting sqref="S48">
    <cfRule type="expression" dxfId="42" priority="45">
      <formula>S48&lt;&gt;R48</formula>
    </cfRule>
  </conditionalFormatting>
  <conditionalFormatting sqref="Q48">
    <cfRule type="expression" dxfId="41" priority="44">
      <formula>AND(P48&lt;&gt;"",Q48&lt;&gt;"",Q48&gt;P48)</formula>
    </cfRule>
  </conditionalFormatting>
  <conditionalFormatting sqref="AC48">
    <cfRule type="expression" dxfId="40" priority="40" stopIfTrue="1">
      <formula>AND(AC48&lt;="C", T48&lt;$T$4*$AC$7)</formula>
    </cfRule>
  </conditionalFormatting>
  <conditionalFormatting sqref="AI48:AJ48">
    <cfRule type="expression" dxfId="39" priority="41">
      <formula>AND(OR($AC48&lt;&gt;$AI48,$AD48&lt;&gt;$AJ48),$AH48&lt;$AA48)</formula>
    </cfRule>
    <cfRule type="expression" dxfId="38" priority="42">
      <formula>AND(OR($AC48&lt;&gt;$AI48,$AD48&lt;&gt;$AJ48),$AH48&gt;$AA48)</formula>
    </cfRule>
  </conditionalFormatting>
  <conditionalFormatting sqref="AT48">
    <cfRule type="expression" dxfId="37" priority="43" stopIfTrue="1">
      <formula>AND(AT48&gt;AA48,OR(AC48&lt;&gt;#REF!,AD48&lt;&gt;#REF!))</formula>
    </cfRule>
  </conditionalFormatting>
  <conditionalFormatting sqref="AC48">
    <cfRule type="expression" dxfId="36" priority="37">
      <formula>BA48</formula>
    </cfRule>
  </conditionalFormatting>
  <conditionalFormatting sqref="AD48">
    <cfRule type="expression" dxfId="35" priority="36">
      <formula>BA48</formula>
    </cfRule>
  </conditionalFormatting>
  <conditionalFormatting sqref="S211">
    <cfRule type="expression" dxfId="32" priority="33">
      <formula>S211&lt;&gt;R211</formula>
    </cfRule>
  </conditionalFormatting>
  <conditionalFormatting sqref="Q211">
    <cfRule type="expression" dxfId="31" priority="32">
      <formula>AND(P211&lt;&gt;"",Q211&lt;&gt;"",Q211&gt;P211)</formula>
    </cfRule>
  </conditionalFormatting>
  <conditionalFormatting sqref="AC211">
    <cfRule type="expression" dxfId="30" priority="28" stopIfTrue="1">
      <formula>AND(AC211&lt;="C", T211&lt;$T$4*$AC$7)</formula>
    </cfRule>
  </conditionalFormatting>
  <conditionalFormatting sqref="AI211:AJ211">
    <cfRule type="expression" dxfId="27" priority="29">
      <formula>AND(OR($AC211&lt;&gt;$AI211,$AD211&lt;&gt;$AJ211),$AH211&lt;$AA211)</formula>
    </cfRule>
    <cfRule type="expression" dxfId="26" priority="30">
      <formula>AND(OR($AC211&lt;&gt;$AI211,$AD211&lt;&gt;$AJ211),$AH211&gt;$AA211)</formula>
    </cfRule>
  </conditionalFormatting>
  <conditionalFormatting sqref="AT211">
    <cfRule type="expression" dxfId="25" priority="31" stopIfTrue="1">
      <formula>AND(AT211&gt;AA211,OR(AC211&lt;&gt;#REF!,AD211&lt;&gt;#REF!))</formula>
    </cfRule>
  </conditionalFormatting>
  <conditionalFormatting sqref="AC211">
    <cfRule type="expression" dxfId="24" priority="25">
      <formula>BA211</formula>
    </cfRule>
  </conditionalFormatting>
  <conditionalFormatting sqref="AD211">
    <cfRule type="expression" dxfId="23" priority="24">
      <formula>BA211</formula>
    </cfRule>
  </conditionalFormatting>
  <conditionalFormatting sqref="AC34">
    <cfRule type="expression" dxfId="22" priority="20" stopIfTrue="1">
      <formula>AND(AC34&lt;="C", T34&lt;$T$4*$AC$7)</formula>
    </cfRule>
  </conditionalFormatting>
  <conditionalFormatting sqref="AI34:AJ34">
    <cfRule type="expression" dxfId="19" priority="21">
      <formula>AND(OR($AC34&lt;&gt;$AI34,$AD34&lt;&gt;$AJ34),$AH34&lt;$AA34)</formula>
    </cfRule>
    <cfRule type="expression" dxfId="18" priority="22">
      <formula>AND(OR($AC34&lt;&gt;$AI34,$AD34&lt;&gt;$AJ34),$AH34&gt;$AA34)</formula>
    </cfRule>
  </conditionalFormatting>
  <conditionalFormatting sqref="AT34">
    <cfRule type="expression" dxfId="17" priority="23" stopIfTrue="1">
      <formula>AND(AT34&gt;AA34,OR(AC34&lt;&gt;#REF!,AD34&lt;&gt;#REF!))</formula>
    </cfRule>
  </conditionalFormatting>
  <conditionalFormatting sqref="S34">
    <cfRule type="expression" dxfId="16" priority="17">
      <formula>S34&lt;&gt;R34</formula>
    </cfRule>
  </conditionalFormatting>
  <conditionalFormatting sqref="Q34">
    <cfRule type="expression" dxfId="15" priority="16">
      <formula>AND(P34&lt;&gt;"",Q34&lt;&gt;"",Q34&gt;P34)</formula>
    </cfRule>
  </conditionalFormatting>
  <conditionalFormatting sqref="AC34">
    <cfRule type="expression" dxfId="14" priority="15">
      <formula>BA34</formula>
    </cfRule>
  </conditionalFormatting>
  <conditionalFormatting sqref="AD34">
    <cfRule type="expression" dxfId="13" priority="14">
      <formula>BA34</formula>
    </cfRule>
  </conditionalFormatting>
  <conditionalFormatting sqref="P8">
    <cfRule type="expression" dxfId="12" priority="13">
      <formula>P8&gt;0</formula>
    </cfRule>
  </conditionalFormatting>
  <conditionalFormatting sqref="AC519">
    <cfRule type="expression" dxfId="11" priority="9" stopIfTrue="1">
      <formula>AND(AC519&lt;="C", T519&lt;$T$4*$AC$7)</formula>
    </cfRule>
  </conditionalFormatting>
  <conditionalFormatting sqref="AI519:AJ519">
    <cfRule type="expression" dxfId="8" priority="10">
      <formula>AND(OR($AC519&lt;&gt;$AI519,$AD519&lt;&gt;$AJ519),$AH519&lt;$AA519)</formula>
    </cfRule>
    <cfRule type="expression" dxfId="7" priority="11">
      <formula>AND(OR($AC519&lt;&gt;$AI519,$AD519&lt;&gt;$AJ519),$AH519&gt;$AA519)</formula>
    </cfRule>
  </conditionalFormatting>
  <conditionalFormatting sqref="AT519">
    <cfRule type="expression" dxfId="6" priority="12" stopIfTrue="1">
      <formula>AND(AT519&gt;AA519,OR(AC519&lt;&gt;#REF!,AD519&lt;&gt;#REF!))</formula>
    </cfRule>
  </conditionalFormatting>
  <conditionalFormatting sqref="S519">
    <cfRule type="expression" dxfId="5" priority="6">
      <formula>S519&lt;&gt;R519</formula>
    </cfRule>
  </conditionalFormatting>
  <conditionalFormatting sqref="Q519">
    <cfRule type="expression" dxfId="4" priority="5">
      <formula>AND(P519&lt;&gt;"",Q519&lt;&gt;"",Q519&gt;P519)</formula>
    </cfRule>
  </conditionalFormatting>
  <conditionalFormatting sqref="AC519">
    <cfRule type="expression" dxfId="3" priority="4">
      <formula>BA519</formula>
    </cfRule>
  </conditionalFormatting>
  <conditionalFormatting sqref="AD519">
    <cfRule type="expression" dxfId="2" priority="3">
      <formula>BA519</formula>
    </cfRule>
  </conditionalFormatting>
  <conditionalFormatting sqref="D8">
    <cfRule type="expression" dxfId="1" priority="2">
      <formula>D8&gt;0</formula>
    </cfRule>
  </conditionalFormatting>
  <conditionalFormatting sqref="L8">
    <cfRule type="expression" dxfId="0" priority="1">
      <formula>L8&gt;0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255" zoomScale="90" workbookViewId="0">
      <selection activeCell="N296" sqref="N296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3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5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17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10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61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504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45.436507936507937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19.246031746031747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21.825396825396826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83.297405189620761</v>
      </c>
      <c r="F70" s="54" t="s">
        <v>18</v>
      </c>
      <c r="G70" s="3">
        <f>SUM(B51:B52)/B65*100</f>
        <v>1.3888888888888888</v>
      </c>
    </row>
    <row r="71" spans="1:8" x14ac:dyDescent="0.2">
      <c r="A71" s="54" t="s">
        <v>70</v>
      </c>
      <c r="B71" s="30">
        <f t="array" ref="B71">SUM(G67:G71*{4;3;2;1;0})/100</f>
        <v>2.8452380952380958</v>
      </c>
      <c r="F71" s="54" t="s">
        <v>27</v>
      </c>
      <c r="G71" s="3">
        <f>SUM(B39:B50)/B65*100</f>
        <v>12.103174603174603</v>
      </c>
      <c r="H71" s="3">
        <f>SUM(G67:G71)</f>
        <v>100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2</v>
      </c>
      <c r="C76">
        <v>5</v>
      </c>
    </row>
    <row r="77" spans="1:8" x14ac:dyDescent="0.2">
      <c r="A77" s="30">
        <f>1.25+A76</f>
        <v>2.5</v>
      </c>
      <c r="B77">
        <v>2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2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4</v>
      </c>
      <c r="C79">
        <f t="shared" si="6"/>
        <v>20</v>
      </c>
    </row>
    <row r="80" spans="1:8" x14ac:dyDescent="0.2">
      <c r="A80" s="30">
        <f t="shared" si="5"/>
        <v>6.25</v>
      </c>
      <c r="B80">
        <v>2</v>
      </c>
      <c r="C80">
        <f t="shared" si="6"/>
        <v>25</v>
      </c>
    </row>
    <row r="81" spans="1:3" x14ac:dyDescent="0.2">
      <c r="A81" s="30">
        <f t="shared" si="5"/>
        <v>7.5</v>
      </c>
      <c r="B81">
        <v>1</v>
      </c>
      <c r="C81">
        <f t="shared" si="6"/>
        <v>30</v>
      </c>
    </row>
    <row r="82" spans="1:3" x14ac:dyDescent="0.2">
      <c r="A82" s="30">
        <f t="shared" si="5"/>
        <v>8.75</v>
      </c>
      <c r="B82">
        <v>3</v>
      </c>
      <c r="C82">
        <f t="shared" si="6"/>
        <v>35</v>
      </c>
    </row>
    <row r="83" spans="1:3" x14ac:dyDescent="0.2">
      <c r="A83" s="30">
        <f t="shared" si="5"/>
        <v>10</v>
      </c>
      <c r="B83">
        <v>2</v>
      </c>
      <c r="C83">
        <f t="shared" si="6"/>
        <v>40</v>
      </c>
    </row>
    <row r="84" spans="1:3" x14ac:dyDescent="0.2">
      <c r="A84" s="30">
        <f t="shared" si="5"/>
        <v>11.25</v>
      </c>
      <c r="B84">
        <v>1</v>
      </c>
      <c r="C84">
        <f t="shared" si="6"/>
        <v>45</v>
      </c>
    </row>
    <row r="85" spans="1:3" x14ac:dyDescent="0.2">
      <c r="A85" s="30">
        <f t="shared" si="5"/>
        <v>12.5</v>
      </c>
      <c r="B85">
        <v>5</v>
      </c>
      <c r="C85">
        <f t="shared" si="6"/>
        <v>50</v>
      </c>
    </row>
    <row r="86" spans="1:3" x14ac:dyDescent="0.2">
      <c r="A86" s="30">
        <f t="shared" si="5"/>
        <v>13.75</v>
      </c>
      <c r="B86">
        <v>2</v>
      </c>
      <c r="C86">
        <f>5+C85</f>
        <v>55</v>
      </c>
    </row>
    <row r="87" spans="1:3" x14ac:dyDescent="0.2">
      <c r="A87" s="30">
        <f t="shared" si="5"/>
        <v>15</v>
      </c>
      <c r="B87">
        <v>6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10</v>
      </c>
      <c r="C88">
        <f t="shared" si="7"/>
        <v>65</v>
      </c>
    </row>
    <row r="89" spans="1:3" x14ac:dyDescent="0.2">
      <c r="A89" s="30">
        <f t="shared" si="5"/>
        <v>17.5</v>
      </c>
      <c r="B89">
        <v>7</v>
      </c>
      <c r="C89">
        <f t="shared" si="7"/>
        <v>70</v>
      </c>
    </row>
    <row r="90" spans="1:3" x14ac:dyDescent="0.2">
      <c r="A90" s="30">
        <f t="shared" si="5"/>
        <v>18.75</v>
      </c>
      <c r="B90">
        <v>11</v>
      </c>
      <c r="C90">
        <f t="shared" si="7"/>
        <v>75</v>
      </c>
    </row>
    <row r="91" spans="1:3" x14ac:dyDescent="0.2">
      <c r="A91" s="30">
        <f t="shared" si="5"/>
        <v>20</v>
      </c>
      <c r="B91">
        <v>38</v>
      </c>
      <c r="C91">
        <f t="shared" si="7"/>
        <v>80</v>
      </c>
    </row>
    <row r="92" spans="1:3" x14ac:dyDescent="0.2">
      <c r="A92" s="30">
        <f t="shared" si="5"/>
        <v>21.25</v>
      </c>
      <c r="B92">
        <v>12</v>
      </c>
      <c r="C92">
        <f t="shared" si="7"/>
        <v>85</v>
      </c>
    </row>
    <row r="93" spans="1:3" x14ac:dyDescent="0.2">
      <c r="A93" s="30">
        <f t="shared" si="5"/>
        <v>22.5</v>
      </c>
      <c r="B93">
        <v>57</v>
      </c>
      <c r="C93">
        <f t="shared" si="7"/>
        <v>90</v>
      </c>
    </row>
    <row r="94" spans="1:3" x14ac:dyDescent="0.2">
      <c r="A94" s="30">
        <f t="shared" si="5"/>
        <v>23.75</v>
      </c>
      <c r="B94">
        <v>10</v>
      </c>
      <c r="C94">
        <f t="shared" si="7"/>
        <v>95</v>
      </c>
    </row>
    <row r="95" spans="1:3" x14ac:dyDescent="0.2">
      <c r="A95" s="30">
        <f t="shared" si="5"/>
        <v>25</v>
      </c>
      <c r="B95">
        <v>319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496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4</v>
      </c>
      <c r="F104" s="54" t="s">
        <v>14</v>
      </c>
      <c r="G104" s="3">
        <f>SUM(B94:B95)/B102*100</f>
        <v>66.33064516129032</v>
      </c>
    </row>
    <row r="105" spans="1:8" x14ac:dyDescent="0.2">
      <c r="A105" t="s">
        <v>21</v>
      </c>
      <c r="B105">
        <f>MAX('Winter 2018'!$D$9:'Winter 2018'!$D$607)/25*100</f>
        <v>100</v>
      </c>
      <c r="F105" s="54" t="s">
        <v>15</v>
      </c>
      <c r="G105" s="3">
        <f>SUM(B92:B93)/B102*100</f>
        <v>13.911290322580644</v>
      </c>
    </row>
    <row r="106" spans="1:8" x14ac:dyDescent="0.2">
      <c r="A106" t="s">
        <v>22</v>
      </c>
      <c r="B106">
        <f>MEDIAN('Winter 2018'!$D$9:'Winter 2018'!$D$607)/25*100</f>
        <v>100</v>
      </c>
      <c r="F106" s="54" t="s">
        <v>16</v>
      </c>
      <c r="G106" s="3">
        <f>SUM(B90:B91)/B102*100</f>
        <v>9.879032258064516</v>
      </c>
    </row>
    <row r="107" spans="1:8" x14ac:dyDescent="0.2">
      <c r="A107" t="s">
        <v>30</v>
      </c>
      <c r="B107" s="3">
        <f>SUMIF('Winter 2018'!$D$9:'Winter 2018'!$D$607,"&gt;0")/COUNTIF('Winter 2018'!$D$9:'Winter 2018'!$D$607,"&gt;0")/25*100</f>
        <v>90.290322580645167</v>
      </c>
      <c r="F107" s="54" t="s">
        <v>18</v>
      </c>
      <c r="G107" s="3">
        <f>SUM(B88:B89)/B102*100</f>
        <v>3.4274193548387095</v>
      </c>
    </row>
    <row r="108" spans="1:8" x14ac:dyDescent="0.2">
      <c r="A108" s="54" t="s">
        <v>70</v>
      </c>
      <c r="B108" s="30">
        <f t="array" ref="B108">SUM(G104:G108*{4;3;2;1;0})/100</f>
        <v>3.30241935483871</v>
      </c>
      <c r="F108" s="54" t="s">
        <v>27</v>
      </c>
      <c r="G108" s="3">
        <f>SUM(B76:B87)/B102*100</f>
        <v>6.4516129032258061</v>
      </c>
      <c r="H108" s="3">
        <f>SUM(G104:G108)</f>
        <v>99.999999999999986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0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0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0</v>
      </c>
      <c r="C120">
        <f t="shared" si="9"/>
        <v>40</v>
      </c>
    </row>
    <row r="121" spans="1:3" x14ac:dyDescent="0.2">
      <c r="A121" s="30">
        <f t="shared" si="8"/>
        <v>11.25</v>
      </c>
      <c r="B121">
        <v>0</v>
      </c>
      <c r="C121">
        <f t="shared" si="9"/>
        <v>45</v>
      </c>
    </row>
    <row r="122" spans="1:3" x14ac:dyDescent="0.2">
      <c r="A122" s="30">
        <f t="shared" si="8"/>
        <v>12.5</v>
      </c>
      <c r="B122">
        <v>0</v>
      </c>
      <c r="C122">
        <f t="shared" si="9"/>
        <v>50</v>
      </c>
    </row>
    <row r="123" spans="1:3" x14ac:dyDescent="0.2">
      <c r="A123" s="30">
        <f t="shared" si="8"/>
        <v>13.75</v>
      </c>
      <c r="B123">
        <v>0</v>
      </c>
      <c r="C123">
        <f>5+C122</f>
        <v>55</v>
      </c>
    </row>
    <row r="124" spans="1:3" x14ac:dyDescent="0.2">
      <c r="A124" s="30">
        <f t="shared" si="8"/>
        <v>15</v>
      </c>
      <c r="B124">
        <v>0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0</v>
      </c>
      <c r="C125">
        <f t="shared" si="10"/>
        <v>65</v>
      </c>
    </row>
    <row r="126" spans="1:3" x14ac:dyDescent="0.2">
      <c r="A126" s="30">
        <f t="shared" si="8"/>
        <v>17.5</v>
      </c>
      <c r="B126">
        <v>0</v>
      </c>
      <c r="C126">
        <f t="shared" si="10"/>
        <v>70</v>
      </c>
    </row>
    <row r="127" spans="1:3" x14ac:dyDescent="0.2">
      <c r="A127" s="30">
        <f t="shared" si="8"/>
        <v>18.75</v>
      </c>
      <c r="B127">
        <v>0</v>
      </c>
      <c r="C127">
        <f t="shared" si="10"/>
        <v>75</v>
      </c>
    </row>
    <row r="128" spans="1:3" x14ac:dyDescent="0.2">
      <c r="A128" s="30">
        <f t="shared" si="8"/>
        <v>20</v>
      </c>
      <c r="B128">
        <v>0</v>
      </c>
      <c r="C128">
        <f t="shared" si="10"/>
        <v>80</v>
      </c>
    </row>
    <row r="129" spans="1:7" x14ac:dyDescent="0.2">
      <c r="A129" s="30">
        <f t="shared" si="8"/>
        <v>21.25</v>
      </c>
      <c r="B129">
        <v>0</v>
      </c>
      <c r="C129">
        <f t="shared" si="10"/>
        <v>85</v>
      </c>
    </row>
    <row r="130" spans="1:7" x14ac:dyDescent="0.2">
      <c r="A130" s="30">
        <f t="shared" si="8"/>
        <v>22.5</v>
      </c>
      <c r="B130">
        <v>0</v>
      </c>
      <c r="C130">
        <f t="shared" si="10"/>
        <v>90</v>
      </c>
    </row>
    <row r="131" spans="1:7" x14ac:dyDescent="0.2">
      <c r="A131" s="30">
        <f t="shared" si="8"/>
        <v>23.75</v>
      </c>
      <c r="B131">
        <v>0</v>
      </c>
      <c r="C131">
        <f t="shared" si="10"/>
        <v>95</v>
      </c>
    </row>
    <row r="132" spans="1:7" x14ac:dyDescent="0.2">
      <c r="A132" s="30">
        <f t="shared" si="8"/>
        <v>25</v>
      </c>
      <c r="B132">
        <v>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0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 t="e">
        <f>SUM(B131:B132)/B139*100</f>
        <v>#DIV/0!</v>
      </c>
    </row>
    <row r="142" spans="1:7" x14ac:dyDescent="0.2">
      <c r="A142" t="s">
        <v>21</v>
      </c>
      <c r="B142">
        <f>MAX('Winter 2018'!$E$9:'Winter 2018'!$E$607)/25*100</f>
        <v>0</v>
      </c>
      <c r="F142" s="54" t="s">
        <v>15</v>
      </c>
      <c r="G142" s="3" t="e">
        <f>SUM(B129:B130)/B139*100</f>
        <v>#DIV/0!</v>
      </c>
    </row>
    <row r="143" spans="1:7" x14ac:dyDescent="0.2">
      <c r="A143" t="s">
        <v>22</v>
      </c>
      <c r="B143" t="e">
        <f>MEDIAN('Winter 2018'!$E$9:'Winter 2018'!$E$607)/25*100</f>
        <v>#NUM!</v>
      </c>
      <c r="F143" s="54" t="s">
        <v>16</v>
      </c>
      <c r="G143" s="3" t="e">
        <f>SUM(B127:B128)/B139*100</f>
        <v>#DIV/0!</v>
      </c>
    </row>
    <row r="144" spans="1:7" x14ac:dyDescent="0.2">
      <c r="A144" t="s">
        <v>30</v>
      </c>
      <c r="B144" s="3" t="e">
        <f>SUMIF('Winter 2018'!$E$9:'Winter 2018'!$E$607,"&gt;0")/COUNTIF('Winter 2018'!$E$9:'Winter 2018'!$E$607,"&gt;0")/25*100</f>
        <v>#DIV/0!</v>
      </c>
      <c r="F144" s="54" t="s">
        <v>18</v>
      </c>
      <c r="G144" s="3" t="e">
        <f>SUM(B125:B126)/B139*100</f>
        <v>#DIV/0!</v>
      </c>
    </row>
    <row r="145" spans="1:8" x14ac:dyDescent="0.2">
      <c r="A145" s="54" t="s">
        <v>70</v>
      </c>
      <c r="B145" s="30" t="e">
        <f t="array" ref="B145">SUM(G141:G145*{4;3;2;1;0})/100</f>
        <v>#DIV/0!</v>
      </c>
      <c r="F145" s="54" t="s">
        <v>27</v>
      </c>
      <c r="G145" s="3" t="e">
        <f>SUM(B113:B124)/B139*100</f>
        <v>#DIV/0!</v>
      </c>
      <c r="H145" s="3" t="e">
        <f>SUM(G141:G145)</f>
        <v>#DIV/0!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2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1</v>
      </c>
      <c r="C302" s="3"/>
    </row>
    <row r="303" spans="1:8" x14ac:dyDescent="0.2">
      <c r="A303">
        <f t="shared" si="23"/>
        <v>15</v>
      </c>
      <c r="B303">
        <v>2</v>
      </c>
      <c r="C303" s="3"/>
    </row>
    <row r="304" spans="1:8" x14ac:dyDescent="0.2">
      <c r="A304">
        <f t="shared" si="23"/>
        <v>20</v>
      </c>
      <c r="B304">
        <v>1</v>
      </c>
      <c r="C304" s="3"/>
    </row>
    <row r="305" spans="1:3" x14ac:dyDescent="0.2">
      <c r="A305">
        <f t="shared" si="23"/>
        <v>25</v>
      </c>
      <c r="B305">
        <v>6</v>
      </c>
      <c r="C305" s="3"/>
    </row>
    <row r="306" spans="1:3" x14ac:dyDescent="0.2">
      <c r="A306">
        <f t="shared" si="23"/>
        <v>30</v>
      </c>
      <c r="B306">
        <v>4</v>
      </c>
      <c r="C306" s="3"/>
    </row>
    <row r="307" spans="1:3" x14ac:dyDescent="0.2">
      <c r="A307">
        <f t="shared" si="23"/>
        <v>35</v>
      </c>
      <c r="B307">
        <v>5</v>
      </c>
      <c r="C307" s="3"/>
    </row>
    <row r="308" spans="1:3" x14ac:dyDescent="0.2">
      <c r="A308">
        <f t="shared" si="23"/>
        <v>40</v>
      </c>
      <c r="B308">
        <v>6</v>
      </c>
      <c r="C308" s="3"/>
    </row>
    <row r="309" spans="1:3" x14ac:dyDescent="0.2">
      <c r="A309">
        <f t="shared" si="23"/>
        <v>45</v>
      </c>
      <c r="B309">
        <v>4</v>
      </c>
      <c r="C309" s="3"/>
    </row>
    <row r="310" spans="1:3" x14ac:dyDescent="0.2">
      <c r="A310">
        <f t="shared" si="23"/>
        <v>50</v>
      </c>
      <c r="B310">
        <v>6</v>
      </c>
      <c r="C310" s="3"/>
    </row>
    <row r="311" spans="1:3" x14ac:dyDescent="0.2">
      <c r="A311">
        <f t="shared" si="23"/>
        <v>55</v>
      </c>
      <c r="B311">
        <v>12</v>
      </c>
      <c r="C311" s="3"/>
    </row>
    <row r="312" spans="1:3" x14ac:dyDescent="0.2">
      <c r="A312">
        <f t="shared" si="23"/>
        <v>60</v>
      </c>
      <c r="B312">
        <v>11</v>
      </c>
      <c r="C312" s="3"/>
    </row>
    <row r="313" spans="1:3" x14ac:dyDescent="0.2">
      <c r="A313">
        <f t="shared" si="23"/>
        <v>65</v>
      </c>
      <c r="B313">
        <v>12</v>
      </c>
      <c r="C313" s="3"/>
    </row>
    <row r="314" spans="1:3" x14ac:dyDescent="0.2">
      <c r="A314">
        <f t="shared" si="23"/>
        <v>70</v>
      </c>
      <c r="B314">
        <v>25</v>
      </c>
      <c r="C314" s="3"/>
    </row>
    <row r="315" spans="1:3" x14ac:dyDescent="0.2">
      <c r="A315">
        <f t="shared" si="23"/>
        <v>75</v>
      </c>
      <c r="B315">
        <v>30</v>
      </c>
      <c r="C315" s="3"/>
    </row>
    <row r="316" spans="1:3" x14ac:dyDescent="0.2">
      <c r="A316">
        <f t="shared" si="23"/>
        <v>80</v>
      </c>
      <c r="B316">
        <v>33</v>
      </c>
      <c r="C316" s="3"/>
    </row>
    <row r="317" spans="1:3" x14ac:dyDescent="0.2">
      <c r="A317">
        <f t="shared" si="23"/>
        <v>85</v>
      </c>
      <c r="B317">
        <v>33</v>
      </c>
      <c r="C317" s="3"/>
    </row>
    <row r="318" spans="1:3" x14ac:dyDescent="0.2">
      <c r="A318">
        <f t="shared" si="23"/>
        <v>90</v>
      </c>
      <c r="B318">
        <v>69</v>
      </c>
      <c r="C318" s="3"/>
    </row>
    <row r="319" spans="1:3" x14ac:dyDescent="0.2">
      <c r="A319">
        <f t="shared" si="23"/>
        <v>95</v>
      </c>
      <c r="B319">
        <v>125</v>
      </c>
      <c r="C319" s="3"/>
    </row>
    <row r="320" spans="1:3" ht="13.5" thickBot="1" x14ac:dyDescent="0.25">
      <c r="A320" s="54">
        <f>5+A319</f>
        <v>100</v>
      </c>
      <c r="B320">
        <v>125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3">
        <f>MIN('Winter 2018'!$AL$9:'Winter 2018'!$AL$607)</f>
        <v>-2.666666666666667</v>
      </c>
      <c r="F323" s="54" t="s">
        <v>14</v>
      </c>
      <c r="G323" s="3">
        <f>SUM(B319:B320)/B321*100</f>
        <v>48.732943469785575</v>
      </c>
    </row>
    <row r="324" spans="1:8" x14ac:dyDescent="0.2">
      <c r="A324" t="s">
        <v>21</v>
      </c>
      <c r="B324" s="83">
        <f>MAX('Winter 2018'!$AL$9:'Winter 2018'!$AL$607)</f>
        <v>100</v>
      </c>
      <c r="F324" s="54" t="s">
        <v>15</v>
      </c>
      <c r="G324" s="3">
        <f>SUM(B317:B318)/B321*100</f>
        <v>19.883040935672515</v>
      </c>
    </row>
    <row r="325" spans="1:8" x14ac:dyDescent="0.2">
      <c r="A325" t="s">
        <v>22</v>
      </c>
      <c r="B325" s="83">
        <f>MEDIAN('Winter 2018'!$AL$9:'Winter 2018'!$AL$607)</f>
        <v>89.333333333333329</v>
      </c>
      <c r="F325" s="54" t="s">
        <v>16</v>
      </c>
      <c r="G325" s="3">
        <f>SUM(B315:B316)/B321*100</f>
        <v>12.280701754385964</v>
      </c>
    </row>
    <row r="326" spans="1:8" x14ac:dyDescent="0.2">
      <c r="A326" t="s">
        <v>30</v>
      </c>
      <c r="B326" s="83">
        <f>SUMIF('Winter 2018'!$AL$9:'Winter 2018'!$AL$607,"&gt;0")/COUNTIF('Winter 2018'!$AL$9:'Winter 2018'!$AL$607,"&gt;0")</f>
        <v>82.575342465753437</v>
      </c>
      <c r="F326" s="54" t="s">
        <v>18</v>
      </c>
      <c r="G326" s="3">
        <f>SUM(B313:B314)/B321*100</f>
        <v>7.2124756335282649</v>
      </c>
    </row>
    <row r="327" spans="1:8" x14ac:dyDescent="0.2">
      <c r="A327" s="54" t="s">
        <v>70</v>
      </c>
      <c r="B327" s="30">
        <f t="array" ref="B327">SUM(G323:G327*{4;3;2;1;0})/100</f>
        <v>2.8635477582846005</v>
      </c>
      <c r="F327" s="54" t="s">
        <v>27</v>
      </c>
      <c r="G327" s="3">
        <f>SUM(B300:B312)/B321*100</f>
        <v>11.890838206627679</v>
      </c>
      <c r="H327" s="3">
        <f>SUM(G323:G327)</f>
        <v>100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B2" sqref="B2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9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9">
        <f>1.5+A2</f>
        <v>3</v>
      </c>
      <c r="B3" s="17">
        <v>2</v>
      </c>
      <c r="C3">
        <f>5+C2</f>
        <v>10</v>
      </c>
    </row>
    <row r="4" spans="1:3" x14ac:dyDescent="0.2">
      <c r="A4" s="69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9">
        <f t="shared" si="0"/>
        <v>6</v>
      </c>
      <c r="B5" s="17">
        <v>0</v>
      </c>
      <c r="C5">
        <f t="shared" si="1"/>
        <v>20</v>
      </c>
    </row>
    <row r="6" spans="1:3" x14ac:dyDescent="0.2">
      <c r="A6" s="69">
        <f t="shared" si="0"/>
        <v>7.5</v>
      </c>
      <c r="B6" s="17">
        <v>0</v>
      </c>
      <c r="C6">
        <f t="shared" si="1"/>
        <v>25</v>
      </c>
    </row>
    <row r="7" spans="1:3" x14ac:dyDescent="0.2">
      <c r="A7" s="69">
        <f t="shared" si="0"/>
        <v>9</v>
      </c>
      <c r="B7" s="17">
        <v>3</v>
      </c>
      <c r="C7">
        <f t="shared" si="1"/>
        <v>30</v>
      </c>
    </row>
    <row r="8" spans="1:3" x14ac:dyDescent="0.2">
      <c r="A8" s="69">
        <f t="shared" si="0"/>
        <v>10.5</v>
      </c>
      <c r="B8" s="17">
        <v>3</v>
      </c>
      <c r="C8">
        <f t="shared" si="1"/>
        <v>35</v>
      </c>
    </row>
    <row r="9" spans="1:3" x14ac:dyDescent="0.2">
      <c r="A9" s="69">
        <f t="shared" si="0"/>
        <v>12</v>
      </c>
      <c r="B9" s="17">
        <v>2</v>
      </c>
      <c r="C9">
        <f t="shared" si="1"/>
        <v>40</v>
      </c>
    </row>
    <row r="10" spans="1:3" x14ac:dyDescent="0.2">
      <c r="A10" s="69">
        <f t="shared" si="0"/>
        <v>13.5</v>
      </c>
      <c r="B10" s="17">
        <v>1</v>
      </c>
      <c r="C10">
        <f t="shared" si="1"/>
        <v>45</v>
      </c>
    </row>
    <row r="11" spans="1:3" x14ac:dyDescent="0.2">
      <c r="A11" s="69">
        <f t="shared" si="0"/>
        <v>15</v>
      </c>
      <c r="B11" s="17">
        <v>0</v>
      </c>
      <c r="C11">
        <f t="shared" si="1"/>
        <v>50</v>
      </c>
    </row>
    <row r="12" spans="1:3" x14ac:dyDescent="0.2">
      <c r="A12" s="69">
        <f t="shared" si="0"/>
        <v>16.5</v>
      </c>
      <c r="B12" s="17">
        <v>0</v>
      </c>
      <c r="C12">
        <f t="shared" si="1"/>
        <v>55</v>
      </c>
    </row>
    <row r="13" spans="1:3" x14ac:dyDescent="0.2">
      <c r="A13" s="69">
        <f t="shared" si="0"/>
        <v>18</v>
      </c>
      <c r="B13" s="17">
        <v>6</v>
      </c>
      <c r="C13">
        <f t="shared" si="1"/>
        <v>60</v>
      </c>
    </row>
    <row r="14" spans="1:3" x14ac:dyDescent="0.2">
      <c r="A14" s="69">
        <f t="shared" si="0"/>
        <v>19.5</v>
      </c>
      <c r="B14" s="17">
        <v>3</v>
      </c>
      <c r="C14">
        <f t="shared" si="1"/>
        <v>65</v>
      </c>
    </row>
    <row r="15" spans="1:3" x14ac:dyDescent="0.2">
      <c r="A15" s="69">
        <f t="shared" si="0"/>
        <v>21</v>
      </c>
      <c r="B15" s="17">
        <v>6</v>
      </c>
      <c r="C15">
        <f t="shared" si="1"/>
        <v>70</v>
      </c>
    </row>
    <row r="16" spans="1:3" x14ac:dyDescent="0.2">
      <c r="A16" s="69">
        <f t="shared" si="0"/>
        <v>22.5</v>
      </c>
      <c r="B16" s="17">
        <v>4</v>
      </c>
      <c r="C16">
        <f t="shared" si="1"/>
        <v>75</v>
      </c>
    </row>
    <row r="17" spans="1:8" x14ac:dyDescent="0.2">
      <c r="A17" s="69">
        <f t="shared" si="0"/>
        <v>24</v>
      </c>
      <c r="B17" s="17">
        <v>10</v>
      </c>
      <c r="C17">
        <f t="shared" si="1"/>
        <v>80</v>
      </c>
    </row>
    <row r="18" spans="1:8" x14ac:dyDescent="0.2">
      <c r="A18" s="69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9">
        <f t="shared" si="0"/>
        <v>27</v>
      </c>
      <c r="B19" s="17">
        <v>60</v>
      </c>
      <c r="C19">
        <f t="shared" si="1"/>
        <v>90</v>
      </c>
    </row>
    <row r="20" spans="1:8" x14ac:dyDescent="0.2">
      <c r="A20" s="69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9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9">
        <v>32</v>
      </c>
      <c r="B22" s="17">
        <v>150</v>
      </c>
      <c r="C22" s="75" t="s">
        <v>69</v>
      </c>
    </row>
    <row r="23" spans="1:8" x14ac:dyDescent="0.2">
      <c r="A23" s="69"/>
      <c r="C23" s="75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9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9">
        <f>2.5+A36</f>
        <v>5</v>
      </c>
      <c r="B37" s="17">
        <v>8</v>
      </c>
      <c r="C37">
        <f>5+C36</f>
        <v>10</v>
      </c>
    </row>
    <row r="38" spans="1:3" x14ac:dyDescent="0.2">
      <c r="A38" s="69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9">
        <f t="shared" si="2"/>
        <v>10</v>
      </c>
      <c r="B39" s="17">
        <v>7</v>
      </c>
      <c r="C39">
        <f t="shared" si="3"/>
        <v>20</v>
      </c>
    </row>
    <row r="40" spans="1:3" x14ac:dyDescent="0.2">
      <c r="A40" s="69">
        <f t="shared" si="2"/>
        <v>12.5</v>
      </c>
      <c r="B40" s="17">
        <v>3</v>
      </c>
      <c r="C40">
        <f t="shared" si="3"/>
        <v>25</v>
      </c>
    </row>
    <row r="41" spans="1:3" x14ac:dyDescent="0.2">
      <c r="A41" s="69">
        <f t="shared" si="2"/>
        <v>15</v>
      </c>
      <c r="B41" s="17">
        <v>4</v>
      </c>
      <c r="C41">
        <f t="shared" si="3"/>
        <v>30</v>
      </c>
    </row>
    <row r="42" spans="1:3" x14ac:dyDescent="0.2">
      <c r="A42" s="69">
        <f t="shared" si="2"/>
        <v>17.5</v>
      </c>
      <c r="B42" s="17">
        <v>3</v>
      </c>
      <c r="C42">
        <f t="shared" si="3"/>
        <v>35</v>
      </c>
    </row>
    <row r="43" spans="1:3" x14ac:dyDescent="0.2">
      <c r="A43" s="69">
        <f t="shared" si="2"/>
        <v>20</v>
      </c>
      <c r="B43" s="17">
        <v>8</v>
      </c>
      <c r="C43">
        <f t="shared" si="3"/>
        <v>40</v>
      </c>
    </row>
    <row r="44" spans="1:3" x14ac:dyDescent="0.2">
      <c r="A44" s="69">
        <f t="shared" si="2"/>
        <v>22.5</v>
      </c>
      <c r="B44" s="17">
        <v>5</v>
      </c>
      <c r="C44">
        <f t="shared" si="3"/>
        <v>45</v>
      </c>
    </row>
    <row r="45" spans="1:3" x14ac:dyDescent="0.2">
      <c r="A45" s="69">
        <f t="shared" si="2"/>
        <v>25</v>
      </c>
      <c r="B45" s="17">
        <v>9</v>
      </c>
      <c r="C45">
        <f t="shared" si="3"/>
        <v>50</v>
      </c>
    </row>
    <row r="46" spans="1:3" x14ac:dyDescent="0.2">
      <c r="A46" s="69">
        <f t="shared" si="2"/>
        <v>27.5</v>
      </c>
      <c r="B46" s="17">
        <v>5</v>
      </c>
      <c r="C46">
        <f t="shared" si="3"/>
        <v>55</v>
      </c>
    </row>
    <row r="47" spans="1:3" x14ac:dyDescent="0.2">
      <c r="A47" s="69">
        <f t="shared" si="2"/>
        <v>30</v>
      </c>
      <c r="B47" s="17">
        <v>8</v>
      </c>
      <c r="C47">
        <f t="shared" si="3"/>
        <v>60</v>
      </c>
    </row>
    <row r="48" spans="1:3" x14ac:dyDescent="0.2">
      <c r="A48" s="69">
        <f t="shared" si="2"/>
        <v>32.5</v>
      </c>
      <c r="B48" s="17">
        <v>4</v>
      </c>
      <c r="C48">
        <f t="shared" si="3"/>
        <v>65</v>
      </c>
    </row>
    <row r="49" spans="1:7" x14ac:dyDescent="0.2">
      <c r="A49" s="69">
        <f t="shared" si="2"/>
        <v>35</v>
      </c>
      <c r="B49" s="17">
        <v>16</v>
      </c>
      <c r="C49">
        <f t="shared" si="3"/>
        <v>70</v>
      </c>
    </row>
    <row r="50" spans="1:7" x14ac:dyDescent="0.2">
      <c r="A50" s="69">
        <f t="shared" si="2"/>
        <v>37.5</v>
      </c>
      <c r="B50" s="17">
        <v>9</v>
      </c>
      <c r="C50">
        <f t="shared" si="3"/>
        <v>75</v>
      </c>
    </row>
    <row r="51" spans="1:7" x14ac:dyDescent="0.2">
      <c r="A51" s="69">
        <f t="shared" si="2"/>
        <v>40</v>
      </c>
      <c r="B51" s="17">
        <v>28</v>
      </c>
      <c r="C51">
        <f t="shared" si="3"/>
        <v>80</v>
      </c>
    </row>
    <row r="52" spans="1:7" x14ac:dyDescent="0.2">
      <c r="A52" s="69">
        <f t="shared" si="2"/>
        <v>42.5</v>
      </c>
      <c r="B52" s="17">
        <v>8</v>
      </c>
      <c r="C52">
        <f t="shared" si="3"/>
        <v>85</v>
      </c>
    </row>
    <row r="53" spans="1:7" x14ac:dyDescent="0.2">
      <c r="A53" s="69">
        <f t="shared" si="2"/>
        <v>45</v>
      </c>
      <c r="B53" s="17">
        <v>40</v>
      </c>
      <c r="C53">
        <f t="shared" si="3"/>
        <v>90</v>
      </c>
    </row>
    <row r="54" spans="1:7" x14ac:dyDescent="0.2">
      <c r="A54" s="69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9">
        <f t="shared" si="2"/>
        <v>50</v>
      </c>
      <c r="B55" s="17">
        <v>93</v>
      </c>
      <c r="C55">
        <f t="shared" si="3"/>
        <v>100</v>
      </c>
    </row>
    <row r="56" spans="1:7" x14ac:dyDescent="0.2">
      <c r="A56" s="69">
        <v>55</v>
      </c>
      <c r="B56" s="17">
        <v>216</v>
      </c>
      <c r="C56" s="75" t="s">
        <v>69</v>
      </c>
    </row>
    <row r="57" spans="1:7" x14ac:dyDescent="0.2">
      <c r="A57" s="3"/>
      <c r="C57" s="75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497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66.197183098591552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9.6579476861166995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7.2434607645875246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87.675456389452336</v>
      </c>
      <c r="F64" s="54" t="s">
        <v>18</v>
      </c>
      <c r="G64" s="3">
        <f>COUNTIF('Winter 2018'!$K$9:$K$607,"&gt;="&amp;0.6*50)/Programs!$B$59*100-SUM($G$61:G63)</f>
        <v>3.4205231388329906</v>
      </c>
    </row>
    <row r="65" spans="1:8" x14ac:dyDescent="0.2">
      <c r="A65" s="54" t="s">
        <v>70</v>
      </c>
      <c r="B65" s="30">
        <f t="array" ref="B65">SUM(G61:G65*{4;3;2;1;0})/100</f>
        <v>3.1167002012072436</v>
      </c>
      <c r="F65" s="54" t="s">
        <v>27</v>
      </c>
      <c r="G65" s="3">
        <f>COUNTIF('Winter 2018'!$K$9:$K$607,"&gt;=0")/Programs!$B$59*100-SUM($G$61:G64)</f>
        <v>13.078470824949704</v>
      </c>
      <c r="H65" s="3">
        <f>SUM(G61:G65)</f>
        <v>99.597585513078471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9">
        <v>2.5</v>
      </c>
      <c r="B70" s="17">
        <f t="array" ref="B70:B90">FREQUENCY('Winter 2018'!$L$9:$L$607,Programs!A70:A92)</f>
        <v>3</v>
      </c>
      <c r="C70">
        <v>5</v>
      </c>
    </row>
    <row r="71" spans="1:8" x14ac:dyDescent="0.2">
      <c r="A71" s="69">
        <v>5</v>
      </c>
      <c r="B71" s="17">
        <v>0</v>
      </c>
      <c r="C71">
        <f>5+C70</f>
        <v>10</v>
      </c>
    </row>
    <row r="72" spans="1:8" x14ac:dyDescent="0.2">
      <c r="A72" s="69">
        <v>7.5</v>
      </c>
      <c r="B72" s="17">
        <v>1</v>
      </c>
      <c r="C72">
        <f t="shared" ref="C72:C89" si="4">5+C71</f>
        <v>15</v>
      </c>
    </row>
    <row r="73" spans="1:8" x14ac:dyDescent="0.2">
      <c r="A73" s="69">
        <v>10</v>
      </c>
      <c r="B73" s="17">
        <v>0</v>
      </c>
      <c r="C73">
        <f t="shared" si="4"/>
        <v>20</v>
      </c>
    </row>
    <row r="74" spans="1:8" x14ac:dyDescent="0.2">
      <c r="A74" s="69">
        <v>12.5</v>
      </c>
      <c r="B74" s="17">
        <v>0</v>
      </c>
      <c r="C74">
        <f t="shared" si="4"/>
        <v>25</v>
      </c>
    </row>
    <row r="75" spans="1:8" x14ac:dyDescent="0.2">
      <c r="A75" s="69">
        <v>15</v>
      </c>
      <c r="B75" s="17">
        <v>2</v>
      </c>
      <c r="C75">
        <f t="shared" si="4"/>
        <v>30</v>
      </c>
    </row>
    <row r="76" spans="1:8" x14ac:dyDescent="0.2">
      <c r="A76" s="69">
        <v>17.5</v>
      </c>
      <c r="B76" s="17">
        <v>2</v>
      </c>
      <c r="C76">
        <f t="shared" si="4"/>
        <v>35</v>
      </c>
    </row>
    <row r="77" spans="1:8" x14ac:dyDescent="0.2">
      <c r="A77" s="69">
        <v>20</v>
      </c>
      <c r="B77" s="17">
        <v>4</v>
      </c>
      <c r="C77">
        <f t="shared" si="4"/>
        <v>40</v>
      </c>
    </row>
    <row r="78" spans="1:8" x14ac:dyDescent="0.2">
      <c r="A78" s="69">
        <v>22.5</v>
      </c>
      <c r="B78" s="17">
        <v>1</v>
      </c>
      <c r="C78">
        <f t="shared" si="4"/>
        <v>45</v>
      </c>
    </row>
    <row r="79" spans="1:8" x14ac:dyDescent="0.2">
      <c r="A79" s="69">
        <v>25</v>
      </c>
      <c r="B79" s="17">
        <v>3</v>
      </c>
      <c r="C79">
        <f t="shared" si="4"/>
        <v>50</v>
      </c>
    </row>
    <row r="80" spans="1:8" x14ac:dyDescent="0.2">
      <c r="A80" s="69">
        <v>27.5</v>
      </c>
      <c r="B80" s="17">
        <v>5</v>
      </c>
      <c r="C80">
        <f t="shared" si="4"/>
        <v>55</v>
      </c>
    </row>
    <row r="81" spans="1:7" x14ac:dyDescent="0.2">
      <c r="A81" s="69">
        <v>30</v>
      </c>
      <c r="B81" s="17">
        <v>5</v>
      </c>
      <c r="C81">
        <f t="shared" si="4"/>
        <v>60</v>
      </c>
    </row>
    <row r="82" spans="1:7" x14ac:dyDescent="0.2">
      <c r="A82" s="69">
        <v>32.5</v>
      </c>
      <c r="B82" s="17">
        <v>3</v>
      </c>
      <c r="C82">
        <f t="shared" si="4"/>
        <v>65</v>
      </c>
    </row>
    <row r="83" spans="1:7" x14ac:dyDescent="0.2">
      <c r="A83" s="69">
        <v>35</v>
      </c>
      <c r="B83" s="17">
        <v>12</v>
      </c>
      <c r="C83">
        <f t="shared" si="4"/>
        <v>70</v>
      </c>
    </row>
    <row r="84" spans="1:7" x14ac:dyDescent="0.2">
      <c r="A84" s="69">
        <v>37.5</v>
      </c>
      <c r="B84" s="17">
        <v>5</v>
      </c>
      <c r="C84">
        <f t="shared" si="4"/>
        <v>75</v>
      </c>
    </row>
    <row r="85" spans="1:7" x14ac:dyDescent="0.2">
      <c r="A85" s="69">
        <v>40</v>
      </c>
      <c r="B85" s="17">
        <v>13</v>
      </c>
      <c r="C85">
        <f t="shared" si="4"/>
        <v>80</v>
      </c>
    </row>
    <row r="86" spans="1:7" x14ac:dyDescent="0.2">
      <c r="A86" s="69">
        <v>42.5</v>
      </c>
      <c r="B86" s="17">
        <v>6</v>
      </c>
      <c r="C86">
        <f t="shared" si="4"/>
        <v>85</v>
      </c>
    </row>
    <row r="87" spans="1:7" x14ac:dyDescent="0.2">
      <c r="A87" s="69">
        <v>45</v>
      </c>
      <c r="B87" s="17">
        <v>17</v>
      </c>
      <c r="C87">
        <f t="shared" si="4"/>
        <v>90</v>
      </c>
    </row>
    <row r="88" spans="1:7" x14ac:dyDescent="0.2">
      <c r="A88" s="69">
        <v>47.5</v>
      </c>
      <c r="B88" s="17">
        <v>16</v>
      </c>
      <c r="C88">
        <f t="shared" si="4"/>
        <v>95</v>
      </c>
    </row>
    <row r="89" spans="1:7" x14ac:dyDescent="0.2">
      <c r="A89" s="69">
        <v>50</v>
      </c>
      <c r="B89" s="17">
        <v>183</v>
      </c>
      <c r="C89">
        <f t="shared" si="4"/>
        <v>100</v>
      </c>
    </row>
    <row r="90" spans="1:7" x14ac:dyDescent="0.2">
      <c r="A90" s="69">
        <v>55</v>
      </c>
      <c r="B90" s="17">
        <v>219</v>
      </c>
      <c r="C90" s="75" t="s">
        <v>69</v>
      </c>
    </row>
    <row r="91" spans="1:7" x14ac:dyDescent="0.2">
      <c r="A91" s="3"/>
      <c r="C91" s="75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500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>
        <f>MIN('Winter 2018'!$L$9:'Winter 2018'!$L$607)/'Winter 2018'!$L$2*100</f>
        <v>0</v>
      </c>
      <c r="F95" s="54" t="s">
        <v>14</v>
      </c>
      <c r="G95" s="3">
        <f>COUNTIF('Winter 2018'!$L$9:$L$607,"&gt;="&amp;0.9*50)/Programs!$B$93*100</f>
        <v>84.8</v>
      </c>
    </row>
    <row r="96" spans="1:7" x14ac:dyDescent="0.2">
      <c r="A96" t="s">
        <v>21</v>
      </c>
      <c r="B96" s="26">
        <f>MAX('Winter 2018'!$L$9:'Winter 2018'!$L$607)/'Winter 2018'!$L$2*100</f>
        <v>104</v>
      </c>
      <c r="F96" s="54" t="s">
        <v>15</v>
      </c>
      <c r="G96" s="3">
        <f>COUNTIF('Winter 2018'!$L$9:$L$607,"&gt;="&amp;0.8*50)/Programs!$B$93*100-SUM($G$95:G95)</f>
        <v>4.4000000000000057</v>
      </c>
    </row>
    <row r="97" spans="1:8" x14ac:dyDescent="0.2">
      <c r="A97" t="s">
        <v>22</v>
      </c>
      <c r="B97" s="26">
        <f>MEDIAN('Winter 2018'!$L$9:'Winter 2018'!$L$607)/'Winter 2018'!$L$2*100</f>
        <v>100</v>
      </c>
      <c r="F97" s="54" t="s">
        <v>16</v>
      </c>
      <c r="G97" s="3">
        <f>COUNTIF('Winter 2018'!$L$9:$L$607,"&gt;="&amp;0.7*50)/Programs!$B$93*100-SUM($G$95:G96)</f>
        <v>3.6000000000000085</v>
      </c>
    </row>
    <row r="98" spans="1:8" x14ac:dyDescent="0.2">
      <c r="A98" t="s">
        <v>30</v>
      </c>
      <c r="B98" s="3">
        <f>SUMIF('Winter 2018'!$L$9:'Winter 2018'!$L$607,"&gt;0")/COUNTIF('Winter 2018'!$L$9:'Winter 2018'!$L$607,"&gt;0")/'Winter 2018'!$L$2*100</f>
        <v>95.54618473895583</v>
      </c>
      <c r="F98" s="54" t="s">
        <v>18</v>
      </c>
      <c r="G98" s="3">
        <f>COUNTIF('Winter 2018'!$L$9:$L$607,"&gt;="&amp;0.6*50)/Programs!$B$93*100-SUM($G$95:G97)</f>
        <v>2.3999999999999773</v>
      </c>
    </row>
    <row r="99" spans="1:8" x14ac:dyDescent="0.2">
      <c r="A99" s="54" t="s">
        <v>70</v>
      </c>
      <c r="B99" s="30">
        <f t="array" ref="B99">SUM(G95:G99*{4;3;2;1;0})/100</f>
        <v>3.62</v>
      </c>
      <c r="F99" s="54" t="s">
        <v>27</v>
      </c>
      <c r="G99" s="3">
        <f>COUNTIF('Winter 2018'!$L$9:$L$607,"&gt;=0")/Programs!$B$93*100-SUM($G$95:G98)</f>
        <v>4.8000000000000114</v>
      </c>
      <c r="H99" s="3">
        <f>SUM(G95:G99)</f>
        <v>100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9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9">
        <v>5</v>
      </c>
      <c r="B105" s="17">
        <v>0</v>
      </c>
      <c r="C105">
        <f>5+C104</f>
        <v>10</v>
      </c>
    </row>
    <row r="106" spans="1:8" x14ac:dyDescent="0.2">
      <c r="A106" s="69">
        <v>7.5</v>
      </c>
      <c r="B106" s="17">
        <v>0</v>
      </c>
      <c r="C106">
        <f t="shared" ref="C106:C123" si="5">5+C105</f>
        <v>15</v>
      </c>
    </row>
    <row r="107" spans="1:8" x14ac:dyDescent="0.2">
      <c r="A107" s="69">
        <v>10</v>
      </c>
      <c r="B107" s="17">
        <v>0</v>
      </c>
      <c r="C107">
        <f t="shared" si="5"/>
        <v>20</v>
      </c>
    </row>
    <row r="108" spans="1:8" x14ac:dyDescent="0.2">
      <c r="A108" s="69">
        <v>12.5</v>
      </c>
      <c r="B108" s="17">
        <v>0</v>
      </c>
      <c r="C108">
        <f t="shared" si="5"/>
        <v>25</v>
      </c>
    </row>
    <row r="109" spans="1:8" x14ac:dyDescent="0.2">
      <c r="A109" s="69">
        <v>15</v>
      </c>
      <c r="B109" s="17">
        <v>0</v>
      </c>
      <c r="C109">
        <f t="shared" si="5"/>
        <v>30</v>
      </c>
    </row>
    <row r="110" spans="1:8" x14ac:dyDescent="0.2">
      <c r="A110" s="69">
        <v>17.5</v>
      </c>
      <c r="B110" s="17">
        <v>0</v>
      </c>
      <c r="C110">
        <f t="shared" si="5"/>
        <v>35</v>
      </c>
    </row>
    <row r="111" spans="1:8" x14ac:dyDescent="0.2">
      <c r="A111" s="69">
        <v>20</v>
      </c>
      <c r="B111" s="17">
        <v>0</v>
      </c>
      <c r="C111">
        <f t="shared" si="5"/>
        <v>40</v>
      </c>
    </row>
    <row r="112" spans="1:8" x14ac:dyDescent="0.2">
      <c r="A112" s="69">
        <v>22.5</v>
      </c>
      <c r="B112" s="17">
        <v>0</v>
      </c>
      <c r="C112">
        <f t="shared" si="5"/>
        <v>45</v>
      </c>
    </row>
    <row r="113" spans="1:7" x14ac:dyDescent="0.2">
      <c r="A113" s="69">
        <v>25</v>
      </c>
      <c r="B113" s="17">
        <v>0</v>
      </c>
      <c r="C113">
        <f t="shared" si="5"/>
        <v>50</v>
      </c>
    </row>
    <row r="114" spans="1:7" x14ac:dyDescent="0.2">
      <c r="A114" s="69">
        <v>27.5</v>
      </c>
      <c r="B114" s="17">
        <v>0</v>
      </c>
      <c r="C114">
        <f t="shared" si="5"/>
        <v>55</v>
      </c>
    </row>
    <row r="115" spans="1:7" x14ac:dyDescent="0.2">
      <c r="A115" s="69">
        <v>30</v>
      </c>
      <c r="B115" s="17">
        <v>0</v>
      </c>
      <c r="C115">
        <f t="shared" si="5"/>
        <v>60</v>
      </c>
    </row>
    <row r="116" spans="1:7" x14ac:dyDescent="0.2">
      <c r="A116" s="69">
        <v>32.5</v>
      </c>
      <c r="B116" s="17">
        <v>0</v>
      </c>
      <c r="C116">
        <f t="shared" si="5"/>
        <v>65</v>
      </c>
    </row>
    <row r="117" spans="1:7" x14ac:dyDescent="0.2">
      <c r="A117" s="69">
        <v>35</v>
      </c>
      <c r="B117" s="17">
        <v>0</v>
      </c>
      <c r="C117">
        <f t="shared" si="5"/>
        <v>70</v>
      </c>
    </row>
    <row r="118" spans="1:7" x14ac:dyDescent="0.2">
      <c r="A118" s="69">
        <v>37.5</v>
      </c>
      <c r="B118" s="17">
        <v>0</v>
      </c>
      <c r="C118">
        <f t="shared" si="5"/>
        <v>75</v>
      </c>
    </row>
    <row r="119" spans="1:7" x14ac:dyDescent="0.2">
      <c r="A119" s="69">
        <v>40</v>
      </c>
      <c r="B119" s="17">
        <v>0</v>
      </c>
      <c r="C119">
        <f t="shared" si="5"/>
        <v>80</v>
      </c>
    </row>
    <row r="120" spans="1:7" x14ac:dyDescent="0.2">
      <c r="A120" s="69">
        <v>42.5</v>
      </c>
      <c r="B120" s="17">
        <v>0</v>
      </c>
      <c r="C120">
        <f t="shared" si="5"/>
        <v>85</v>
      </c>
    </row>
    <row r="121" spans="1:7" x14ac:dyDescent="0.2">
      <c r="A121" s="69">
        <v>45</v>
      </c>
      <c r="B121" s="17">
        <v>0</v>
      </c>
      <c r="C121">
        <f t="shared" si="5"/>
        <v>90</v>
      </c>
    </row>
    <row r="122" spans="1:7" x14ac:dyDescent="0.2">
      <c r="A122" s="69">
        <v>47.5</v>
      </c>
      <c r="B122" s="17">
        <v>0</v>
      </c>
      <c r="C122">
        <f t="shared" si="5"/>
        <v>95</v>
      </c>
    </row>
    <row r="123" spans="1:7" x14ac:dyDescent="0.2">
      <c r="A123" s="69">
        <v>50</v>
      </c>
      <c r="B123" s="17">
        <v>0</v>
      </c>
      <c r="C123">
        <f t="shared" si="5"/>
        <v>100</v>
      </c>
    </row>
    <row r="124" spans="1:7" x14ac:dyDescent="0.2">
      <c r="A124" s="69">
        <v>55</v>
      </c>
      <c r="B124" s="17">
        <v>0</v>
      </c>
      <c r="C124" s="75" t="s">
        <v>69</v>
      </c>
    </row>
    <row r="125" spans="1:7" x14ac:dyDescent="0.2">
      <c r="A125" s="3"/>
      <c r="C125" s="75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7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9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9">
        <v>5</v>
      </c>
      <c r="B139" s="17">
        <v>0</v>
      </c>
      <c r="C139">
        <f>5+C138</f>
        <v>10</v>
      </c>
    </row>
    <row r="140" spans="1:8" x14ac:dyDescent="0.2">
      <c r="A140" s="69">
        <v>7.5</v>
      </c>
      <c r="B140" s="17">
        <v>0</v>
      </c>
      <c r="C140">
        <f t="shared" ref="C140:C157" si="6">5+C139</f>
        <v>15</v>
      </c>
    </row>
    <row r="141" spans="1:8" x14ac:dyDescent="0.2">
      <c r="A141" s="69">
        <v>10</v>
      </c>
      <c r="B141" s="17">
        <v>0</v>
      </c>
      <c r="C141">
        <f t="shared" si="6"/>
        <v>20</v>
      </c>
    </row>
    <row r="142" spans="1:8" x14ac:dyDescent="0.2">
      <c r="A142" s="69">
        <v>12.5</v>
      </c>
      <c r="B142" s="17">
        <v>0</v>
      </c>
      <c r="C142">
        <f t="shared" si="6"/>
        <v>25</v>
      </c>
    </row>
    <row r="143" spans="1:8" x14ac:dyDescent="0.2">
      <c r="A143" s="69">
        <v>15</v>
      </c>
      <c r="B143" s="17">
        <v>0</v>
      </c>
      <c r="C143">
        <f t="shared" si="6"/>
        <v>30</v>
      </c>
    </row>
    <row r="144" spans="1:8" x14ac:dyDescent="0.2">
      <c r="A144" s="69">
        <v>17.5</v>
      </c>
      <c r="B144" s="17">
        <v>0</v>
      </c>
      <c r="C144">
        <f t="shared" si="6"/>
        <v>35</v>
      </c>
    </row>
    <row r="145" spans="1:3" x14ac:dyDescent="0.2">
      <c r="A145" s="69">
        <v>20</v>
      </c>
      <c r="B145" s="17">
        <v>0</v>
      </c>
      <c r="C145">
        <f t="shared" si="6"/>
        <v>40</v>
      </c>
    </row>
    <row r="146" spans="1:3" x14ac:dyDescent="0.2">
      <c r="A146" s="69">
        <v>22.5</v>
      </c>
      <c r="B146" s="17">
        <v>0</v>
      </c>
      <c r="C146">
        <f t="shared" si="6"/>
        <v>45</v>
      </c>
    </row>
    <row r="147" spans="1:3" x14ac:dyDescent="0.2">
      <c r="A147" s="69">
        <v>25</v>
      </c>
      <c r="B147" s="17">
        <v>0</v>
      </c>
      <c r="C147">
        <f t="shared" si="6"/>
        <v>50</v>
      </c>
    </row>
    <row r="148" spans="1:3" x14ac:dyDescent="0.2">
      <c r="A148" s="69">
        <v>27.5</v>
      </c>
      <c r="B148" s="17">
        <v>0</v>
      </c>
      <c r="C148">
        <f t="shared" si="6"/>
        <v>55</v>
      </c>
    </row>
    <row r="149" spans="1:3" x14ac:dyDescent="0.2">
      <c r="A149" s="69">
        <v>30</v>
      </c>
      <c r="B149" s="17">
        <v>0</v>
      </c>
      <c r="C149">
        <f t="shared" si="6"/>
        <v>60</v>
      </c>
    </row>
    <row r="150" spans="1:3" x14ac:dyDescent="0.2">
      <c r="A150" s="69">
        <v>32.5</v>
      </c>
      <c r="B150" s="17">
        <v>0</v>
      </c>
      <c r="C150">
        <f t="shared" si="6"/>
        <v>65</v>
      </c>
    </row>
    <row r="151" spans="1:3" x14ac:dyDescent="0.2">
      <c r="A151" s="69">
        <v>35</v>
      </c>
      <c r="B151" s="17">
        <v>0</v>
      </c>
      <c r="C151">
        <f t="shared" si="6"/>
        <v>70</v>
      </c>
    </row>
    <row r="152" spans="1:3" x14ac:dyDescent="0.2">
      <c r="A152" s="69">
        <v>37.5</v>
      </c>
      <c r="B152" s="17">
        <v>0</v>
      </c>
      <c r="C152">
        <f t="shared" si="6"/>
        <v>75</v>
      </c>
    </row>
    <row r="153" spans="1:3" x14ac:dyDescent="0.2">
      <c r="A153" s="69">
        <v>40</v>
      </c>
      <c r="B153" s="17">
        <v>0</v>
      </c>
      <c r="C153">
        <f t="shared" si="6"/>
        <v>80</v>
      </c>
    </row>
    <row r="154" spans="1:3" x14ac:dyDescent="0.2">
      <c r="A154" s="69">
        <v>42.5</v>
      </c>
      <c r="B154" s="17">
        <v>0</v>
      </c>
      <c r="C154">
        <f t="shared" si="6"/>
        <v>85</v>
      </c>
    </row>
    <row r="155" spans="1:3" x14ac:dyDescent="0.2">
      <c r="A155" s="69">
        <v>45</v>
      </c>
      <c r="B155" s="17">
        <v>0</v>
      </c>
      <c r="C155">
        <f t="shared" si="6"/>
        <v>90</v>
      </c>
    </row>
    <row r="156" spans="1:3" x14ac:dyDescent="0.2">
      <c r="A156" s="69">
        <v>47.5</v>
      </c>
      <c r="B156" s="17">
        <v>0</v>
      </c>
      <c r="C156">
        <f t="shared" si="6"/>
        <v>95</v>
      </c>
    </row>
    <row r="157" spans="1:3" x14ac:dyDescent="0.2">
      <c r="A157" s="69">
        <v>50</v>
      </c>
      <c r="B157" s="17">
        <v>0</v>
      </c>
      <c r="C157">
        <f t="shared" si="6"/>
        <v>100</v>
      </c>
    </row>
    <row r="158" spans="1:3" x14ac:dyDescent="0.2">
      <c r="A158" s="69">
        <v>55</v>
      </c>
      <c r="B158" s="17">
        <v>0</v>
      </c>
      <c r="C158" s="75" t="s">
        <v>69</v>
      </c>
    </row>
    <row r="159" spans="1:3" x14ac:dyDescent="0.2">
      <c r="A159" s="3"/>
      <c r="C159" s="75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7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9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9">
        <v>5</v>
      </c>
      <c r="B173" s="17">
        <v>0</v>
      </c>
      <c r="C173">
        <f>5+C172</f>
        <v>10</v>
      </c>
    </row>
    <row r="174" spans="1:8" x14ac:dyDescent="0.2">
      <c r="A174" s="69">
        <v>7.5</v>
      </c>
      <c r="B174" s="17">
        <v>0</v>
      </c>
      <c r="C174">
        <f t="shared" ref="C174:C191" si="7">5+C173</f>
        <v>15</v>
      </c>
    </row>
    <row r="175" spans="1:8" x14ac:dyDescent="0.2">
      <c r="A175" s="69">
        <v>10</v>
      </c>
      <c r="B175" s="17">
        <v>0</v>
      </c>
      <c r="C175">
        <f t="shared" si="7"/>
        <v>20</v>
      </c>
    </row>
    <row r="176" spans="1:8" x14ac:dyDescent="0.2">
      <c r="A176" s="69">
        <v>12.5</v>
      </c>
      <c r="B176" s="17">
        <v>0</v>
      </c>
      <c r="C176">
        <f t="shared" si="7"/>
        <v>25</v>
      </c>
    </row>
    <row r="177" spans="1:3" x14ac:dyDescent="0.2">
      <c r="A177" s="69">
        <v>15</v>
      </c>
      <c r="B177" s="17">
        <v>0</v>
      </c>
      <c r="C177">
        <f t="shared" si="7"/>
        <v>30</v>
      </c>
    </row>
    <row r="178" spans="1:3" x14ac:dyDescent="0.2">
      <c r="A178" s="69">
        <v>17.5</v>
      </c>
      <c r="B178" s="17">
        <v>0</v>
      </c>
      <c r="C178">
        <f t="shared" si="7"/>
        <v>35</v>
      </c>
    </row>
    <row r="179" spans="1:3" x14ac:dyDescent="0.2">
      <c r="A179" s="69">
        <v>20</v>
      </c>
      <c r="B179" s="17">
        <v>0</v>
      </c>
      <c r="C179">
        <f t="shared" si="7"/>
        <v>40</v>
      </c>
    </row>
    <row r="180" spans="1:3" x14ac:dyDescent="0.2">
      <c r="A180" s="69">
        <v>22.5</v>
      </c>
      <c r="B180" s="17">
        <v>0</v>
      </c>
      <c r="C180">
        <f t="shared" si="7"/>
        <v>45</v>
      </c>
    </row>
    <row r="181" spans="1:3" x14ac:dyDescent="0.2">
      <c r="A181" s="69">
        <v>25</v>
      </c>
      <c r="B181" s="17">
        <v>0</v>
      </c>
      <c r="C181">
        <f t="shared" si="7"/>
        <v>50</v>
      </c>
    </row>
    <row r="182" spans="1:3" x14ac:dyDescent="0.2">
      <c r="A182" s="69">
        <v>27.5</v>
      </c>
      <c r="B182" s="17">
        <v>0</v>
      </c>
      <c r="C182">
        <f t="shared" si="7"/>
        <v>55</v>
      </c>
    </row>
    <row r="183" spans="1:3" x14ac:dyDescent="0.2">
      <c r="A183" s="69">
        <v>30</v>
      </c>
      <c r="B183" s="17">
        <v>0</v>
      </c>
      <c r="C183">
        <f t="shared" si="7"/>
        <v>60</v>
      </c>
    </row>
    <row r="184" spans="1:3" x14ac:dyDescent="0.2">
      <c r="A184" s="69">
        <v>32.5</v>
      </c>
      <c r="B184" s="17">
        <v>0</v>
      </c>
      <c r="C184">
        <f t="shared" si="7"/>
        <v>65</v>
      </c>
    </row>
    <row r="185" spans="1:3" x14ac:dyDescent="0.2">
      <c r="A185" s="69">
        <v>35</v>
      </c>
      <c r="B185" s="17">
        <v>0</v>
      </c>
      <c r="C185">
        <f t="shared" si="7"/>
        <v>70</v>
      </c>
    </row>
    <row r="186" spans="1:3" x14ac:dyDescent="0.2">
      <c r="A186" s="69">
        <v>37.5</v>
      </c>
      <c r="B186" s="17">
        <v>0</v>
      </c>
      <c r="C186">
        <f t="shared" si="7"/>
        <v>75</v>
      </c>
    </row>
    <row r="187" spans="1:3" x14ac:dyDescent="0.2">
      <c r="A187" s="69">
        <v>40</v>
      </c>
      <c r="B187" s="17">
        <v>0</v>
      </c>
      <c r="C187">
        <f t="shared" si="7"/>
        <v>80</v>
      </c>
    </row>
    <row r="188" spans="1:3" x14ac:dyDescent="0.2">
      <c r="A188" s="69">
        <v>42.5</v>
      </c>
      <c r="B188" s="17">
        <v>0</v>
      </c>
      <c r="C188">
        <f t="shared" si="7"/>
        <v>85</v>
      </c>
    </row>
    <row r="189" spans="1:3" x14ac:dyDescent="0.2">
      <c r="A189" s="69">
        <v>45</v>
      </c>
      <c r="B189" s="17">
        <v>0</v>
      </c>
      <c r="C189">
        <f t="shared" si="7"/>
        <v>90</v>
      </c>
    </row>
    <row r="190" spans="1:3" x14ac:dyDescent="0.2">
      <c r="A190" s="69">
        <v>47.5</v>
      </c>
      <c r="B190" s="17">
        <v>0</v>
      </c>
      <c r="C190">
        <f t="shared" si="7"/>
        <v>95</v>
      </c>
    </row>
    <row r="191" spans="1:3" x14ac:dyDescent="0.2">
      <c r="A191" s="69">
        <v>50</v>
      </c>
      <c r="B191" s="17">
        <v>0</v>
      </c>
      <c r="C191">
        <f t="shared" si="7"/>
        <v>100</v>
      </c>
    </row>
    <row r="192" spans="1:3" x14ac:dyDescent="0.2">
      <c r="A192" s="69">
        <v>55</v>
      </c>
      <c r="B192" s="17">
        <v>0</v>
      </c>
      <c r="C192" s="75" t="s">
        <v>69</v>
      </c>
    </row>
    <row r="193" spans="1:8" x14ac:dyDescent="0.2">
      <c r="A193" s="3"/>
      <c r="C193" s="75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7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0</v>
      </c>
      <c r="C208">
        <f t="shared" si="8"/>
        <v>10</v>
      </c>
    </row>
    <row r="209" spans="1:3" x14ac:dyDescent="0.2">
      <c r="A209">
        <f t="shared" si="8"/>
        <v>15</v>
      </c>
      <c r="B209">
        <v>3</v>
      </c>
      <c r="C209">
        <f t="shared" si="8"/>
        <v>15</v>
      </c>
    </row>
    <row r="210" spans="1:3" x14ac:dyDescent="0.2">
      <c r="A210">
        <f t="shared" si="8"/>
        <v>20</v>
      </c>
      <c r="B210">
        <v>5</v>
      </c>
      <c r="C210">
        <f t="shared" si="8"/>
        <v>20</v>
      </c>
    </row>
    <row r="211" spans="1:3" x14ac:dyDescent="0.2">
      <c r="A211">
        <f t="shared" si="8"/>
        <v>25</v>
      </c>
      <c r="B211">
        <v>3</v>
      </c>
      <c r="C211">
        <f t="shared" si="8"/>
        <v>25</v>
      </c>
    </row>
    <row r="212" spans="1:3" x14ac:dyDescent="0.2">
      <c r="A212">
        <f t="shared" si="8"/>
        <v>30</v>
      </c>
      <c r="B212">
        <v>5</v>
      </c>
      <c r="C212">
        <f t="shared" si="8"/>
        <v>30</v>
      </c>
    </row>
    <row r="213" spans="1:3" x14ac:dyDescent="0.2">
      <c r="A213">
        <f t="shared" si="8"/>
        <v>35</v>
      </c>
      <c r="B213">
        <v>4</v>
      </c>
      <c r="C213">
        <f t="shared" si="8"/>
        <v>35</v>
      </c>
    </row>
    <row r="214" spans="1:3" x14ac:dyDescent="0.2">
      <c r="A214">
        <f t="shared" si="8"/>
        <v>40</v>
      </c>
      <c r="B214">
        <v>1</v>
      </c>
      <c r="C214">
        <f t="shared" si="8"/>
        <v>40</v>
      </c>
    </row>
    <row r="215" spans="1:3" x14ac:dyDescent="0.2">
      <c r="A215">
        <f t="shared" si="8"/>
        <v>45</v>
      </c>
      <c r="B215">
        <v>4</v>
      </c>
      <c r="C215">
        <f t="shared" si="8"/>
        <v>45</v>
      </c>
    </row>
    <row r="216" spans="1:3" x14ac:dyDescent="0.2">
      <c r="A216">
        <f t="shared" si="8"/>
        <v>50</v>
      </c>
      <c r="B216">
        <v>5</v>
      </c>
      <c r="C216">
        <f t="shared" si="8"/>
        <v>50</v>
      </c>
    </row>
    <row r="217" spans="1:3" x14ac:dyDescent="0.2">
      <c r="A217">
        <f t="shared" si="8"/>
        <v>55</v>
      </c>
      <c r="B217">
        <v>6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14</v>
      </c>
      <c r="C219">
        <f t="shared" si="8"/>
        <v>65</v>
      </c>
    </row>
    <row r="220" spans="1:3" x14ac:dyDescent="0.2">
      <c r="A220">
        <f t="shared" si="8"/>
        <v>70</v>
      </c>
      <c r="B220">
        <v>11</v>
      </c>
      <c r="C220">
        <f t="shared" si="8"/>
        <v>70</v>
      </c>
    </row>
    <row r="221" spans="1:3" x14ac:dyDescent="0.2">
      <c r="A221">
        <f t="shared" si="8"/>
        <v>75</v>
      </c>
      <c r="B221">
        <v>12</v>
      </c>
      <c r="C221">
        <f t="shared" si="8"/>
        <v>75</v>
      </c>
    </row>
    <row r="222" spans="1:3" x14ac:dyDescent="0.2">
      <c r="A222">
        <f t="shared" si="8"/>
        <v>80</v>
      </c>
      <c r="B222">
        <v>22</v>
      </c>
      <c r="C222">
        <f t="shared" si="8"/>
        <v>80</v>
      </c>
    </row>
    <row r="223" spans="1:3" x14ac:dyDescent="0.2">
      <c r="A223">
        <f t="shared" si="8"/>
        <v>85</v>
      </c>
      <c r="B223">
        <v>20</v>
      </c>
      <c r="C223">
        <f t="shared" si="8"/>
        <v>85</v>
      </c>
    </row>
    <row r="224" spans="1:3" x14ac:dyDescent="0.2">
      <c r="A224">
        <f t="shared" si="8"/>
        <v>90</v>
      </c>
      <c r="B224">
        <v>40</v>
      </c>
      <c r="C224">
        <f t="shared" si="8"/>
        <v>90</v>
      </c>
    </row>
    <row r="225" spans="1:8" x14ac:dyDescent="0.2">
      <c r="A225">
        <f>5+A224</f>
        <v>95</v>
      </c>
      <c r="B225">
        <v>40</v>
      </c>
      <c r="C225">
        <f>5+C224</f>
        <v>95</v>
      </c>
    </row>
    <row r="226" spans="1:8" x14ac:dyDescent="0.2">
      <c r="A226">
        <f t="shared" si="8"/>
        <v>100</v>
      </c>
      <c r="B226">
        <v>121</v>
      </c>
      <c r="C226">
        <f t="shared" si="8"/>
        <v>100</v>
      </c>
    </row>
    <row r="227" spans="1:8" ht="13.5" thickBot="1" x14ac:dyDescent="0.25">
      <c r="A227">
        <v>120</v>
      </c>
      <c r="B227">
        <v>189</v>
      </c>
      <c r="C227" s="75" t="s">
        <v>69</v>
      </c>
    </row>
    <row r="228" spans="1:8" x14ac:dyDescent="0.2">
      <c r="A228" t="s">
        <v>25</v>
      </c>
      <c r="B228" s="16">
        <f>SUM(B206:B227)</f>
        <v>515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3">
        <f>MIN('Winter 2018'!V9:'Winter 2018'!V607)/'Winter 2018'!$V$2*100</f>
        <v>2.3076923076923079</v>
      </c>
      <c r="F230" s="54" t="s">
        <v>14</v>
      </c>
      <c r="G230" s="3">
        <f>SUM(B225:B227)/B228*100</f>
        <v>67.961165048543691</v>
      </c>
    </row>
    <row r="231" spans="1:8" x14ac:dyDescent="0.2">
      <c r="A231" t="s">
        <v>21</v>
      </c>
      <c r="B231" s="83">
        <f>MAX('Winter 2018'!V9:'Winter 2018'!V607)/'Winter 2018'!$V$2*100</f>
        <v>104.61538461538463</v>
      </c>
      <c r="F231" s="54" t="s">
        <v>15</v>
      </c>
      <c r="G231" s="3">
        <f>SUM(B223:B224)/B228*100</f>
        <v>11.650485436893204</v>
      </c>
    </row>
    <row r="232" spans="1:8" x14ac:dyDescent="0.2">
      <c r="A232" t="s">
        <v>22</v>
      </c>
      <c r="B232" s="83">
        <f>MEDIAN('Winter 2018'!V9:'Winter 2018'!V607)/'Winter 2018'!$V$2*100</f>
        <v>98.461538461538467</v>
      </c>
      <c r="F232" s="54" t="s">
        <v>16</v>
      </c>
      <c r="G232" s="3">
        <f>SUM(B221:B222)/B228*100</f>
        <v>6.6019417475728162</v>
      </c>
    </row>
    <row r="233" spans="1:8" x14ac:dyDescent="0.2">
      <c r="A233" t="s">
        <v>30</v>
      </c>
      <c r="B233" s="83">
        <f>SUMIF('Winter 2018'!$V$9:'Winter 2018'!V607,"&gt;0")/COUNTIF('Winter 2018'!$V$9:'Winter 2018'!V607,"&gt;0")/'Winter 2018'!V2*100</f>
        <v>89.589245705750571</v>
      </c>
      <c r="F233" s="54" t="s">
        <v>18</v>
      </c>
      <c r="G233" s="3">
        <f>SUM(B219:B220)/B228*100</f>
        <v>4.8543689320388346</v>
      </c>
    </row>
    <row r="234" spans="1:8" x14ac:dyDescent="0.2">
      <c r="A234" s="54" t="s">
        <v>70</v>
      </c>
      <c r="B234" s="30">
        <f t="array" ref="B234">SUM(G230:G234*{4;3;2;1;0})/100</f>
        <v>3.2485436893203881</v>
      </c>
      <c r="F234" s="54" t="s">
        <v>27</v>
      </c>
      <c r="G234" s="3">
        <f>SUM(B206:B218)/B228*100</f>
        <v>8.9320388349514559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62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9">
        <v>2.5</v>
      </c>
      <c r="B2">
        <f t="array" ref="B2:B21">FREQUENCY('Winter 2018'!P9:P607,A2:A21)</f>
        <v>1</v>
      </c>
    </row>
    <row r="3" spans="1:2" hidden="1" x14ac:dyDescent="0.2">
      <c r="A3" s="69">
        <v>5</v>
      </c>
      <c r="B3">
        <v>0</v>
      </c>
    </row>
    <row r="4" spans="1:2" hidden="1" x14ac:dyDescent="0.2">
      <c r="A4" s="69">
        <v>7.5</v>
      </c>
      <c r="B4">
        <v>0</v>
      </c>
    </row>
    <row r="5" spans="1:2" hidden="1" x14ac:dyDescent="0.2">
      <c r="A5" s="69">
        <v>10</v>
      </c>
      <c r="B5">
        <v>0</v>
      </c>
    </row>
    <row r="6" spans="1:2" hidden="1" x14ac:dyDescent="0.2">
      <c r="A6" s="69">
        <v>12.5</v>
      </c>
      <c r="B6">
        <v>0</v>
      </c>
    </row>
    <row r="7" spans="1:2" hidden="1" x14ac:dyDescent="0.2">
      <c r="A7" s="69">
        <v>15</v>
      </c>
      <c r="B7">
        <v>0</v>
      </c>
    </row>
    <row r="8" spans="1:2" hidden="1" x14ac:dyDescent="0.2">
      <c r="A8" s="69">
        <v>17.5</v>
      </c>
      <c r="B8">
        <v>0</v>
      </c>
    </row>
    <row r="9" spans="1:2" hidden="1" x14ac:dyDescent="0.2">
      <c r="A9" s="69">
        <v>20</v>
      </c>
      <c r="B9">
        <v>8</v>
      </c>
    </row>
    <row r="10" spans="1:2" hidden="1" x14ac:dyDescent="0.2">
      <c r="A10" s="69">
        <v>22.5</v>
      </c>
      <c r="B10">
        <v>0</v>
      </c>
    </row>
    <row r="11" spans="1:2" hidden="1" x14ac:dyDescent="0.2">
      <c r="A11" s="69">
        <v>25</v>
      </c>
      <c r="B11">
        <v>0</v>
      </c>
    </row>
    <row r="12" spans="1:2" hidden="1" x14ac:dyDescent="0.2">
      <c r="A12" s="69">
        <v>27.5</v>
      </c>
      <c r="B12">
        <v>0</v>
      </c>
    </row>
    <row r="13" spans="1:2" hidden="1" x14ac:dyDescent="0.2">
      <c r="A13" s="69">
        <v>30</v>
      </c>
      <c r="B13">
        <v>7</v>
      </c>
    </row>
    <row r="14" spans="1:2" hidden="1" x14ac:dyDescent="0.2">
      <c r="A14" s="69">
        <v>32.5</v>
      </c>
      <c r="B14">
        <v>0</v>
      </c>
    </row>
    <row r="15" spans="1:2" hidden="1" x14ac:dyDescent="0.2">
      <c r="A15" s="69">
        <v>35</v>
      </c>
      <c r="B15">
        <v>0</v>
      </c>
    </row>
    <row r="16" spans="1:2" hidden="1" x14ac:dyDescent="0.2">
      <c r="A16" s="69">
        <v>37.5</v>
      </c>
      <c r="B16">
        <v>0</v>
      </c>
    </row>
    <row r="17" spans="1:8" hidden="1" x14ac:dyDescent="0.2">
      <c r="A17" s="69">
        <v>40</v>
      </c>
      <c r="B17">
        <v>13</v>
      </c>
    </row>
    <row r="18" spans="1:8" hidden="1" x14ac:dyDescent="0.2">
      <c r="A18" s="69">
        <v>42.5</v>
      </c>
      <c r="B18">
        <v>0</v>
      </c>
    </row>
    <row r="19" spans="1:8" hidden="1" x14ac:dyDescent="0.2">
      <c r="A19" s="69">
        <v>45</v>
      </c>
      <c r="B19">
        <v>0</v>
      </c>
    </row>
    <row r="20" spans="1:8" hidden="1" x14ac:dyDescent="0.2">
      <c r="A20" s="69">
        <v>47.5</v>
      </c>
      <c r="B20">
        <v>0</v>
      </c>
    </row>
    <row r="21" spans="1:8" ht="13.5" hidden="1" thickBot="1" x14ac:dyDescent="0.25">
      <c r="A21" s="69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5" t="s">
        <v>29</v>
      </c>
      <c r="E23" s="75" t="s">
        <v>53</v>
      </c>
      <c r="F23" s="67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5" t="s">
        <v>46</v>
      </c>
      <c r="E24" s="3">
        <f>SUM(B20:B21)/B22*100</f>
        <v>3.3333333333333335</v>
      </c>
      <c r="F24">
        <v>4</v>
      </c>
      <c r="G24" s="3"/>
      <c r="H24" s="69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5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5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92.96055226824457</v>
      </c>
      <c r="D27" s="75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18.890103864465953</v>
      </c>
      <c r="D28" s="75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6"/>
      <c r="G29" s="69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9">
        <v>2.5</v>
      </c>
      <c r="B32">
        <f t="array" ref="B32:B51">FREQUENCY('Winter 2018'!Q9:Q607,A32:A50)</f>
        <v>0</v>
      </c>
    </row>
    <row r="33" spans="1:2" hidden="1" x14ac:dyDescent="0.2">
      <c r="A33" s="69">
        <v>5</v>
      </c>
      <c r="B33">
        <v>0</v>
      </c>
    </row>
    <row r="34" spans="1:2" hidden="1" x14ac:dyDescent="0.2">
      <c r="A34" s="69">
        <v>7.5</v>
      </c>
      <c r="B34">
        <v>0</v>
      </c>
    </row>
    <row r="35" spans="1:2" hidden="1" x14ac:dyDescent="0.2">
      <c r="A35" s="69">
        <v>10</v>
      </c>
      <c r="B35">
        <v>0</v>
      </c>
    </row>
    <row r="36" spans="1:2" hidden="1" x14ac:dyDescent="0.2">
      <c r="A36" s="69">
        <v>12.5</v>
      </c>
      <c r="B36">
        <v>0</v>
      </c>
    </row>
    <row r="37" spans="1:2" hidden="1" x14ac:dyDescent="0.2">
      <c r="A37" s="69">
        <v>15</v>
      </c>
      <c r="B37">
        <v>0</v>
      </c>
    </row>
    <row r="38" spans="1:2" hidden="1" x14ac:dyDescent="0.2">
      <c r="A38" s="69">
        <v>17.5</v>
      </c>
      <c r="B38">
        <v>0</v>
      </c>
    </row>
    <row r="39" spans="1:2" hidden="1" x14ac:dyDescent="0.2">
      <c r="A39" s="69">
        <v>20</v>
      </c>
      <c r="B39">
        <v>0</v>
      </c>
    </row>
    <row r="40" spans="1:2" hidden="1" x14ac:dyDescent="0.2">
      <c r="A40" s="69">
        <v>22.5</v>
      </c>
      <c r="B40">
        <v>0</v>
      </c>
    </row>
    <row r="41" spans="1:2" hidden="1" x14ac:dyDescent="0.2">
      <c r="A41" s="69">
        <v>25</v>
      </c>
      <c r="B41">
        <v>0</v>
      </c>
    </row>
    <row r="42" spans="1:2" hidden="1" x14ac:dyDescent="0.2">
      <c r="A42" s="69">
        <v>27.5</v>
      </c>
      <c r="B42">
        <v>0</v>
      </c>
    </row>
    <row r="43" spans="1:2" hidden="1" x14ac:dyDescent="0.2">
      <c r="A43" s="69">
        <v>30</v>
      </c>
      <c r="B43">
        <v>0</v>
      </c>
    </row>
    <row r="44" spans="1:2" hidden="1" x14ac:dyDescent="0.2">
      <c r="A44" s="69">
        <v>32.5</v>
      </c>
      <c r="B44">
        <v>0</v>
      </c>
    </row>
    <row r="45" spans="1:2" hidden="1" x14ac:dyDescent="0.2">
      <c r="A45" s="69">
        <v>35</v>
      </c>
      <c r="B45">
        <v>0</v>
      </c>
    </row>
    <row r="46" spans="1:2" hidden="1" x14ac:dyDescent="0.2">
      <c r="A46" s="69">
        <v>37.5</v>
      </c>
      <c r="B46">
        <v>0</v>
      </c>
    </row>
    <row r="47" spans="1:2" hidden="1" x14ac:dyDescent="0.2">
      <c r="A47" s="69">
        <v>40</v>
      </c>
      <c r="B47">
        <v>0</v>
      </c>
    </row>
    <row r="48" spans="1:2" hidden="1" x14ac:dyDescent="0.2">
      <c r="A48" s="69">
        <v>42.5</v>
      </c>
      <c r="B48">
        <v>0</v>
      </c>
    </row>
    <row r="49" spans="1:8" hidden="1" x14ac:dyDescent="0.2">
      <c r="A49" s="69">
        <v>45</v>
      </c>
      <c r="B49">
        <v>0</v>
      </c>
    </row>
    <row r="50" spans="1:8" hidden="1" x14ac:dyDescent="0.2">
      <c r="A50" s="69">
        <v>47.5</v>
      </c>
      <c r="B50">
        <v>0</v>
      </c>
    </row>
    <row r="51" spans="1:8" ht="13.5" hidden="1" thickBot="1" x14ac:dyDescent="0.25">
      <c r="A51" s="69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5" t="s">
        <v>29</v>
      </c>
      <c r="E53" s="75" t="s">
        <v>53</v>
      </c>
      <c r="F53" s="67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5" t="s">
        <v>46</v>
      </c>
      <c r="E54" s="3" t="e">
        <f>SUM(B50:B51)/B52*100</f>
        <v>#DIV/0!</v>
      </c>
      <c r="F54">
        <v>4</v>
      </c>
      <c r="G54" s="3"/>
      <c r="H54" s="69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5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5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5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5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0</v>
      </c>
      <c r="C67">
        <f t="shared" si="0"/>
        <v>25</v>
      </c>
    </row>
    <row r="68" spans="1:3" x14ac:dyDescent="0.2">
      <c r="A68">
        <v>29</v>
      </c>
      <c r="B68">
        <v>0</v>
      </c>
      <c r="C68">
        <f t="shared" si="0"/>
        <v>30</v>
      </c>
    </row>
    <row r="69" spans="1:3" x14ac:dyDescent="0.2">
      <c r="A69">
        <v>34</v>
      </c>
      <c r="B69">
        <v>0</v>
      </c>
      <c r="C69">
        <f t="shared" si="0"/>
        <v>35</v>
      </c>
    </row>
    <row r="70" spans="1:3" x14ac:dyDescent="0.2">
      <c r="A70">
        <v>39</v>
      </c>
      <c r="B70">
        <v>0</v>
      </c>
      <c r="C70">
        <f t="shared" si="0"/>
        <v>40</v>
      </c>
    </row>
    <row r="71" spans="1:3" x14ac:dyDescent="0.2">
      <c r="A71">
        <v>44</v>
      </c>
      <c r="B71">
        <v>0</v>
      </c>
      <c r="C71">
        <f t="shared" si="0"/>
        <v>45</v>
      </c>
    </row>
    <row r="72" spans="1:3" x14ac:dyDescent="0.2">
      <c r="A72">
        <v>49</v>
      </c>
      <c r="B72">
        <v>0</v>
      </c>
      <c r="C72">
        <f t="shared" si="0"/>
        <v>50</v>
      </c>
    </row>
    <row r="73" spans="1:3" x14ac:dyDescent="0.2">
      <c r="A73">
        <v>54</v>
      </c>
      <c r="B73">
        <v>0</v>
      </c>
      <c r="C73">
        <f t="shared" si="0"/>
        <v>55</v>
      </c>
    </row>
    <row r="74" spans="1:3" x14ac:dyDescent="0.2">
      <c r="A74">
        <v>59</v>
      </c>
      <c r="B74">
        <v>0</v>
      </c>
      <c r="C74">
        <f t="shared" si="0"/>
        <v>60</v>
      </c>
    </row>
    <row r="75" spans="1:3" x14ac:dyDescent="0.2">
      <c r="A75">
        <v>64</v>
      </c>
      <c r="B75">
        <v>0</v>
      </c>
      <c r="C75">
        <f t="shared" si="0"/>
        <v>65</v>
      </c>
    </row>
    <row r="76" spans="1:3" x14ac:dyDescent="0.2">
      <c r="A76">
        <v>69</v>
      </c>
      <c r="B76">
        <v>0</v>
      </c>
      <c r="C76">
        <f t="shared" si="0"/>
        <v>70</v>
      </c>
    </row>
    <row r="77" spans="1:3" x14ac:dyDescent="0.2">
      <c r="A77">
        <v>74</v>
      </c>
      <c r="B77">
        <v>0</v>
      </c>
      <c r="C77">
        <f t="shared" si="0"/>
        <v>75</v>
      </c>
    </row>
    <row r="78" spans="1:3" x14ac:dyDescent="0.2">
      <c r="A78">
        <v>79</v>
      </c>
      <c r="B78">
        <v>0</v>
      </c>
      <c r="C78">
        <f t="shared" si="0"/>
        <v>80</v>
      </c>
    </row>
    <row r="79" spans="1:3" x14ac:dyDescent="0.2">
      <c r="A79">
        <v>84</v>
      </c>
      <c r="B79">
        <v>0</v>
      </c>
      <c r="C79">
        <f t="shared" si="0"/>
        <v>85</v>
      </c>
    </row>
    <row r="80" spans="1:3" x14ac:dyDescent="0.2">
      <c r="A80">
        <v>89</v>
      </c>
      <c r="B80">
        <v>0</v>
      </c>
      <c r="C80">
        <f t="shared" si="0"/>
        <v>90</v>
      </c>
    </row>
    <row r="81" spans="1:7" x14ac:dyDescent="0.2">
      <c r="A81">
        <v>94</v>
      </c>
      <c r="B81">
        <v>0</v>
      </c>
      <c r="C81">
        <f t="shared" si="0"/>
        <v>95</v>
      </c>
    </row>
    <row r="82" spans="1:7" ht="13.5" thickBot="1" x14ac:dyDescent="0.25">
      <c r="A82" s="54" t="s">
        <v>81</v>
      </c>
      <c r="B82">
        <v>0</v>
      </c>
      <c r="C82" s="54" t="s">
        <v>80</v>
      </c>
    </row>
    <row r="83" spans="1:7" x14ac:dyDescent="0.2">
      <c r="A83" t="s">
        <v>25</v>
      </c>
      <c r="B83" s="16">
        <f>SUM(B63:B82)</f>
        <v>0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0</v>
      </c>
      <c r="E85" s="54" t="s">
        <v>14</v>
      </c>
      <c r="F85" s="3" t="e">
        <f>SUM(B81:B82)/B83*100</f>
        <v>#DIV/0!</v>
      </c>
    </row>
    <row r="86" spans="1:7" x14ac:dyDescent="0.2">
      <c r="A86" t="s">
        <v>21</v>
      </c>
      <c r="B86" s="3">
        <f>MAX('Winter 2018'!$AP$9:'Winter 2018'!$AP$607)</f>
        <v>0</v>
      </c>
      <c r="E86" s="54" t="s">
        <v>15</v>
      </c>
      <c r="F86" s="3" t="e">
        <f>SUM(B79:B80)/B83*100</f>
        <v>#DIV/0!</v>
      </c>
    </row>
    <row r="87" spans="1:7" x14ac:dyDescent="0.2">
      <c r="A87" t="s">
        <v>39</v>
      </c>
      <c r="B87" s="3" t="e">
        <f>MEDIAN('Winter 2018'!$AP$9:'Winter 2018'!$AP$607)</f>
        <v>#NUM!</v>
      </c>
      <c r="E87" s="54" t="s">
        <v>16</v>
      </c>
      <c r="F87" s="3" t="e">
        <f>SUM(B77:B78)/B83*100</f>
        <v>#DIV/0!</v>
      </c>
    </row>
    <row r="88" spans="1:7" x14ac:dyDescent="0.2">
      <c r="A88" t="s">
        <v>38</v>
      </c>
      <c r="B88" s="3" t="e">
        <f>SUMIF('Winter 2018'!$AP$9:'Winter 2018'!$AP$607,"&gt;0")/COUNTIF('Winter 2018'!$AP$9:'Winter 2018'!$AP$607,"&gt;0")</f>
        <v>#DIV/0!</v>
      </c>
      <c r="E88" s="54" t="s">
        <v>18</v>
      </c>
      <c r="F88" s="3" t="e">
        <f>SUM(B75:B76)/B83*100</f>
        <v>#DIV/0!</v>
      </c>
    </row>
    <row r="89" spans="1:7" x14ac:dyDescent="0.2">
      <c r="A89" s="54" t="s">
        <v>70</v>
      </c>
      <c r="B89" s="30" t="e">
        <f t="array" ref="B89">SUM(F85:F89*{4;3;2;1;0})/100</f>
        <v>#DIV/0!</v>
      </c>
      <c r="E89" s="54" t="s">
        <v>27</v>
      </c>
      <c r="F89" s="3" t="e">
        <f>SUM(B63:B74)/B83*100</f>
        <v>#DIV/0!</v>
      </c>
      <c r="G89" s="3" t="e">
        <f>SUM(F85:F89)</f>
        <v>#DIV/0!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0</v>
      </c>
      <c r="C129">
        <f t="shared" si="1"/>
        <v>25</v>
      </c>
    </row>
    <row r="130" spans="1:3" x14ac:dyDescent="0.2">
      <c r="A130">
        <v>29</v>
      </c>
      <c r="B130">
        <v>0</v>
      </c>
      <c r="C130">
        <f t="shared" si="1"/>
        <v>30</v>
      </c>
    </row>
    <row r="131" spans="1:3" x14ac:dyDescent="0.2">
      <c r="A131">
        <v>34</v>
      </c>
      <c r="B131">
        <v>0</v>
      </c>
      <c r="C131">
        <f t="shared" si="1"/>
        <v>35</v>
      </c>
    </row>
    <row r="132" spans="1:3" x14ac:dyDescent="0.2">
      <c r="A132">
        <v>39</v>
      </c>
      <c r="B132">
        <v>0</v>
      </c>
      <c r="C132">
        <f t="shared" si="1"/>
        <v>40</v>
      </c>
    </row>
    <row r="133" spans="1:3" x14ac:dyDescent="0.2">
      <c r="A133">
        <v>44</v>
      </c>
      <c r="B133">
        <v>0</v>
      </c>
      <c r="C133">
        <f t="shared" si="1"/>
        <v>45</v>
      </c>
    </row>
    <row r="134" spans="1:3" x14ac:dyDescent="0.2">
      <c r="A134">
        <v>49</v>
      </c>
      <c r="B134">
        <v>0</v>
      </c>
      <c r="C134">
        <f t="shared" si="1"/>
        <v>50</v>
      </c>
    </row>
    <row r="135" spans="1:3" x14ac:dyDescent="0.2">
      <c r="A135">
        <v>54</v>
      </c>
      <c r="B135">
        <v>0</v>
      </c>
      <c r="C135">
        <f t="shared" si="1"/>
        <v>55</v>
      </c>
    </row>
    <row r="136" spans="1:3" x14ac:dyDescent="0.2">
      <c r="A136">
        <v>59</v>
      </c>
      <c r="B136">
        <v>0</v>
      </c>
      <c r="C136">
        <f t="shared" si="1"/>
        <v>60</v>
      </c>
    </row>
    <row r="137" spans="1:3" x14ac:dyDescent="0.2">
      <c r="A137">
        <v>64</v>
      </c>
      <c r="B137">
        <v>0</v>
      </c>
      <c r="C137">
        <f t="shared" si="1"/>
        <v>65</v>
      </c>
    </row>
    <row r="138" spans="1:3" x14ac:dyDescent="0.2">
      <c r="A138">
        <v>69</v>
      </c>
      <c r="B138">
        <v>0</v>
      </c>
      <c r="C138">
        <f t="shared" si="1"/>
        <v>70</v>
      </c>
    </row>
    <row r="139" spans="1:3" x14ac:dyDescent="0.2">
      <c r="A139">
        <v>74</v>
      </c>
      <c r="B139">
        <v>0</v>
      </c>
      <c r="C139">
        <f t="shared" si="1"/>
        <v>75</v>
      </c>
    </row>
    <row r="140" spans="1:3" x14ac:dyDescent="0.2">
      <c r="A140">
        <v>79</v>
      </c>
      <c r="B140">
        <v>0</v>
      </c>
      <c r="C140">
        <f t="shared" si="1"/>
        <v>80</v>
      </c>
    </row>
    <row r="141" spans="1:3" x14ac:dyDescent="0.2">
      <c r="A141">
        <v>84</v>
      </c>
      <c r="B141">
        <v>0</v>
      </c>
      <c r="C141">
        <f t="shared" si="1"/>
        <v>85</v>
      </c>
    </row>
    <row r="142" spans="1:3" x14ac:dyDescent="0.2">
      <c r="A142">
        <v>89</v>
      </c>
      <c r="B142">
        <v>0</v>
      </c>
      <c r="C142">
        <f t="shared" si="1"/>
        <v>90</v>
      </c>
    </row>
    <row r="143" spans="1:3" x14ac:dyDescent="0.2">
      <c r="A143">
        <v>94</v>
      </c>
      <c r="B143">
        <v>0</v>
      </c>
      <c r="C143">
        <f t="shared" si="1"/>
        <v>95</v>
      </c>
    </row>
    <row r="144" spans="1:3" ht="13.5" thickBot="1" x14ac:dyDescent="0.25">
      <c r="A144" s="54" t="s">
        <v>81</v>
      </c>
      <c r="B144">
        <v>0</v>
      </c>
      <c r="C144" s="54" t="s">
        <v>80</v>
      </c>
    </row>
    <row r="145" spans="1:6" x14ac:dyDescent="0.2">
      <c r="A145" t="s">
        <v>25</v>
      </c>
      <c r="B145" s="16">
        <f>SUM(B125:B144)</f>
        <v>0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0</v>
      </c>
      <c r="E147" s="54" t="s">
        <v>14</v>
      </c>
      <c r="F147" s="3" t="e">
        <f>SUM(B143:B144)/$B$83*100</f>
        <v>#DIV/0!</v>
      </c>
    </row>
    <row r="148" spans="1:6" x14ac:dyDescent="0.2">
      <c r="A148" t="s">
        <v>21</v>
      </c>
      <c r="B148" s="3">
        <f>MAX('Winter 2018'!$AS$9:$AS$607)</f>
        <v>0</v>
      </c>
      <c r="E148" s="54" t="s">
        <v>15</v>
      </c>
      <c r="F148" s="3" t="e">
        <f>SUM(B141:B142)/$B$83*100</f>
        <v>#DIV/0!</v>
      </c>
    </row>
    <row r="149" spans="1:6" x14ac:dyDescent="0.2">
      <c r="A149" t="s">
        <v>22</v>
      </c>
      <c r="B149" s="3" t="e">
        <f>MEDIAN('Winter 2018'!$AS$9:$AS$607)</f>
        <v>#NUM!</v>
      </c>
      <c r="E149" s="54" t="s">
        <v>16</v>
      </c>
      <c r="F149" s="3" t="e">
        <f>SUM(B139:B140)/$B$83*100</f>
        <v>#DIV/0!</v>
      </c>
    </row>
    <row r="150" spans="1:6" x14ac:dyDescent="0.2">
      <c r="A150" t="s">
        <v>30</v>
      </c>
      <c r="B150" s="3" t="e">
        <f>SUMIF('Winter 2018'!$AS$9:'Winter 2018'!$AS$607,"&gt;0")/COUNTIF('Winter 2018'!$AS$9:'Winter 2018'!$AS$607,"&gt;0")</f>
        <v>#DIV/0!</v>
      </c>
      <c r="E150" s="54" t="s">
        <v>18</v>
      </c>
      <c r="F150" s="3" t="e">
        <f>SUM(B137:B138)/$B$83*100</f>
        <v>#DIV/0!</v>
      </c>
    </row>
    <row r="151" spans="1:6" x14ac:dyDescent="0.2">
      <c r="A151" s="54" t="s">
        <v>70</v>
      </c>
      <c r="B151" s="30" t="e">
        <f t="array" ref="B151">SUM(F147:F151*{4;3;2;1;0})/100</f>
        <v>#DIV/0!</v>
      </c>
      <c r="E151" s="54" t="s">
        <v>27</v>
      </c>
      <c r="F151" s="3" t="e">
        <f>SUM(B125:B136)/$B$83*100</f>
        <v>#DIV/0!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29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4</v>
      </c>
      <c r="C174">
        <f t="shared" si="2"/>
        <v>95</v>
      </c>
    </row>
    <row r="175" spans="1:3" ht="13.5" thickBot="1" x14ac:dyDescent="0.25">
      <c r="A175" s="54" t="s">
        <v>81</v>
      </c>
      <c r="B175">
        <v>411</v>
      </c>
      <c r="C175" s="54" t="s">
        <v>80</v>
      </c>
    </row>
    <row r="176" spans="1:3" x14ac:dyDescent="0.2">
      <c r="A176" t="s">
        <v>25</v>
      </c>
      <c r="B176" s="16">
        <f>SUM(B156:B175)</f>
        <v>508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81.69291338582677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5.7086614173228352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0.98425196850393704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92.96055226824457</v>
      </c>
      <c r="E181" s="54" t="s">
        <v>18</v>
      </c>
      <c r="F181" s="3">
        <f>SUM(B168:B169)/B176*100</f>
        <v>5.7086614173228352</v>
      </c>
    </row>
    <row r="182" spans="1:7" x14ac:dyDescent="0.2">
      <c r="A182" s="54" t="s">
        <v>70</v>
      </c>
      <c r="B182" s="30">
        <f t="array" ref="B182">SUM(F178:F182*{4;3;2;1;0})/100</f>
        <v>3.5157480314960634</v>
      </c>
      <c r="E182" s="54" t="s">
        <v>27</v>
      </c>
      <c r="F182" s="3">
        <f>SUM(B156:B167)/B176*100</f>
        <v>5.9055118110236222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29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4</v>
      </c>
      <c r="C236">
        <f t="shared" si="3"/>
        <v>95</v>
      </c>
    </row>
    <row r="237" spans="1:6" ht="13.5" thickBot="1" x14ac:dyDescent="0.25">
      <c r="A237" s="54" t="s">
        <v>81</v>
      </c>
      <c r="B237">
        <v>411</v>
      </c>
      <c r="C237" s="54" t="s">
        <v>80</v>
      </c>
    </row>
    <row r="238" spans="1:6" x14ac:dyDescent="0.2">
      <c r="A238" t="s">
        <v>25</v>
      </c>
      <c r="B238" s="16">
        <f>SUM(B218:B237)</f>
        <v>508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81.69291338582677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5.7086614173228352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0.98425196850393704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92.96055226824457</v>
      </c>
      <c r="E243" s="54" t="s">
        <v>18</v>
      </c>
      <c r="F243" s="3">
        <f>SUM(B230:B231)/$B$238*100</f>
        <v>5.7086614173228352</v>
      </c>
    </row>
    <row r="244" spans="1:7" x14ac:dyDescent="0.2">
      <c r="A244" s="54" t="s">
        <v>70</v>
      </c>
      <c r="B244" s="30">
        <f t="array" ref="B244">SUM(F240:F244*{4;3;2;1;0})/100</f>
        <v>3.5157480314960634</v>
      </c>
      <c r="E244" s="54" t="s">
        <v>27</v>
      </c>
      <c r="F244" s="3">
        <f>SUM(B218:B229)/$B$238*100</f>
        <v>5.9055118110236222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1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1</v>
      </c>
      <c r="C283">
        <f t="shared" si="4"/>
        <v>20</v>
      </c>
    </row>
    <row r="284" spans="1:3" x14ac:dyDescent="0.2">
      <c r="A284">
        <v>24</v>
      </c>
      <c r="B284">
        <v>7</v>
      </c>
      <c r="C284">
        <f t="shared" si="4"/>
        <v>25</v>
      </c>
    </row>
    <row r="285" spans="1:3" x14ac:dyDescent="0.2">
      <c r="A285">
        <v>29</v>
      </c>
      <c r="B285">
        <v>0</v>
      </c>
      <c r="C285">
        <f t="shared" si="4"/>
        <v>30</v>
      </c>
    </row>
    <row r="286" spans="1:3" x14ac:dyDescent="0.2">
      <c r="A286">
        <v>34</v>
      </c>
      <c r="B286">
        <v>7</v>
      </c>
      <c r="C286">
        <f t="shared" si="4"/>
        <v>35</v>
      </c>
    </row>
    <row r="287" spans="1:3" x14ac:dyDescent="0.2">
      <c r="A287">
        <v>39</v>
      </c>
      <c r="B287">
        <v>0</v>
      </c>
      <c r="C287">
        <f t="shared" si="4"/>
        <v>40</v>
      </c>
    </row>
    <row r="288" spans="1:3" x14ac:dyDescent="0.2">
      <c r="A288">
        <v>44</v>
      </c>
      <c r="B288">
        <v>13</v>
      </c>
      <c r="C288">
        <f t="shared" si="4"/>
        <v>45</v>
      </c>
    </row>
    <row r="289" spans="1:6" x14ac:dyDescent="0.2">
      <c r="A289">
        <v>49</v>
      </c>
      <c r="B289">
        <v>0</v>
      </c>
      <c r="C289">
        <f t="shared" si="4"/>
        <v>50</v>
      </c>
    </row>
    <row r="290" spans="1:6" x14ac:dyDescent="0.2">
      <c r="A290">
        <v>54</v>
      </c>
      <c r="B290">
        <v>1</v>
      </c>
      <c r="C290">
        <f t="shared" si="4"/>
        <v>55</v>
      </c>
    </row>
    <row r="291" spans="1:6" x14ac:dyDescent="0.2">
      <c r="A291">
        <v>59</v>
      </c>
      <c r="B291">
        <v>0</v>
      </c>
      <c r="C291">
        <f t="shared" si="4"/>
        <v>60</v>
      </c>
    </row>
    <row r="292" spans="1:6" x14ac:dyDescent="0.2">
      <c r="A292">
        <v>64</v>
      </c>
      <c r="B292">
        <v>29</v>
      </c>
      <c r="C292">
        <f t="shared" si="4"/>
        <v>65</v>
      </c>
    </row>
    <row r="293" spans="1:6" x14ac:dyDescent="0.2">
      <c r="A293">
        <v>69</v>
      </c>
      <c r="B293">
        <v>0</v>
      </c>
      <c r="C293">
        <f t="shared" si="4"/>
        <v>70</v>
      </c>
    </row>
    <row r="294" spans="1:6" x14ac:dyDescent="0.2">
      <c r="A294">
        <v>74</v>
      </c>
      <c r="B294">
        <v>3</v>
      </c>
      <c r="C294">
        <f t="shared" si="4"/>
        <v>75</v>
      </c>
    </row>
    <row r="295" spans="1:6" x14ac:dyDescent="0.2">
      <c r="A295">
        <v>79</v>
      </c>
      <c r="B295">
        <v>2</v>
      </c>
      <c r="C295">
        <f t="shared" si="4"/>
        <v>80</v>
      </c>
    </row>
    <row r="296" spans="1:6" x14ac:dyDescent="0.2">
      <c r="A296">
        <v>84</v>
      </c>
      <c r="B296">
        <v>29</v>
      </c>
      <c r="C296">
        <f t="shared" si="4"/>
        <v>85</v>
      </c>
    </row>
    <row r="297" spans="1:6" x14ac:dyDescent="0.2">
      <c r="A297">
        <v>89</v>
      </c>
      <c r="B297">
        <v>0</v>
      </c>
      <c r="C297">
        <f t="shared" si="4"/>
        <v>90</v>
      </c>
    </row>
    <row r="298" spans="1:6" x14ac:dyDescent="0.2">
      <c r="A298">
        <v>94</v>
      </c>
      <c r="B298">
        <v>4</v>
      </c>
      <c r="C298">
        <f t="shared" si="4"/>
        <v>95</v>
      </c>
    </row>
    <row r="299" spans="1:6" ht="13.5" thickBot="1" x14ac:dyDescent="0.25">
      <c r="A299" s="54" t="s">
        <v>81</v>
      </c>
      <c r="B299">
        <v>411</v>
      </c>
      <c r="C299" s="54" t="s">
        <v>80</v>
      </c>
    </row>
    <row r="300" spans="1:6" x14ac:dyDescent="0.2">
      <c r="A300" t="s">
        <v>25</v>
      </c>
      <c r="B300" s="16">
        <f>SUM(B280:B299)</f>
        <v>508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0</v>
      </c>
      <c r="E302" s="54" t="s">
        <v>14</v>
      </c>
      <c r="F302" s="3">
        <f>SUM(B298:B299)/$B$300*100</f>
        <v>81.69291338582677</v>
      </c>
    </row>
    <row r="303" spans="1:6" x14ac:dyDescent="0.2">
      <c r="A303" t="s">
        <v>21</v>
      </c>
      <c r="B303" s="3">
        <f>MAX('Winter 2018'!$AT$9:$AT$607)</f>
        <v>101</v>
      </c>
      <c r="E303" s="54" t="s">
        <v>15</v>
      </c>
      <c r="F303" s="3">
        <f>SUM(B296:B297)/$B$300*100</f>
        <v>5.7086614173228352</v>
      </c>
    </row>
    <row r="304" spans="1:6" x14ac:dyDescent="0.2">
      <c r="A304" t="s">
        <v>22</v>
      </c>
      <c r="B304" s="3">
        <f>MEDIAN('Winter 2018'!$AT$9:$AT$607)</f>
        <v>101</v>
      </c>
      <c r="E304" s="54" t="s">
        <v>16</v>
      </c>
      <c r="F304" s="3">
        <f>SUM(B294:B295)/$B$300*100</f>
        <v>0.98425196850393704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92.96055226824457</v>
      </c>
      <c r="E305" s="54" t="s">
        <v>18</v>
      </c>
      <c r="F305" s="3">
        <f>SUM(B292:B293)/$B$300*100</f>
        <v>5.7086614173228352</v>
      </c>
    </row>
    <row r="306" spans="1:6" x14ac:dyDescent="0.2">
      <c r="A306" s="54" t="s">
        <v>70</v>
      </c>
      <c r="B306" s="30">
        <f t="array" ref="B306">SUM(F302:F306*{4;3;2;1;0})/100</f>
        <v>3.5157480314960634</v>
      </c>
      <c r="E306" s="54" t="s">
        <v>27</v>
      </c>
      <c r="F306" s="3">
        <f>SUM(B280:B291)/$B$300*100</f>
        <v>5.9055118110236222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1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8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7</v>
      </c>
    </row>
    <row r="320" spans="1:6" hidden="1" x14ac:dyDescent="0.2">
      <c r="A320">
        <v>35</v>
      </c>
      <c r="B320">
        <v>0</v>
      </c>
    </row>
    <row r="321" spans="1:3" hidden="1" x14ac:dyDescent="0.2">
      <c r="A321">
        <v>40</v>
      </c>
      <c r="B321">
        <v>13</v>
      </c>
    </row>
    <row r="322" spans="1:3" hidden="1" x14ac:dyDescent="0.2">
      <c r="A322">
        <v>45</v>
      </c>
      <c r="B322">
        <v>0</v>
      </c>
    </row>
    <row r="323" spans="1:3" hidden="1" x14ac:dyDescent="0.2">
      <c r="A323">
        <v>50</v>
      </c>
      <c r="B323">
        <v>1</v>
      </c>
    </row>
    <row r="324" spans="1:3" hidden="1" x14ac:dyDescent="0.2">
      <c r="A324">
        <v>55</v>
      </c>
      <c r="B324">
        <v>0</v>
      </c>
    </row>
    <row r="325" spans="1:3" hidden="1" x14ac:dyDescent="0.2">
      <c r="A325">
        <v>60</v>
      </c>
      <c r="B325">
        <v>29</v>
      </c>
    </row>
    <row r="326" spans="1:3" hidden="1" x14ac:dyDescent="0.2">
      <c r="A326">
        <v>65</v>
      </c>
      <c r="B326">
        <v>0</v>
      </c>
    </row>
    <row r="327" spans="1:3" hidden="1" x14ac:dyDescent="0.2">
      <c r="A327">
        <v>70</v>
      </c>
      <c r="B327">
        <v>3</v>
      </c>
    </row>
    <row r="328" spans="1:3" hidden="1" x14ac:dyDescent="0.2">
      <c r="A328">
        <v>75</v>
      </c>
      <c r="B328">
        <v>0</v>
      </c>
    </row>
    <row r="329" spans="1:3" hidden="1" x14ac:dyDescent="0.2">
      <c r="A329">
        <v>80</v>
      </c>
      <c r="B329">
        <v>30</v>
      </c>
    </row>
    <row r="330" spans="1:3" hidden="1" x14ac:dyDescent="0.2">
      <c r="A330">
        <v>85</v>
      </c>
      <c r="B330">
        <v>1</v>
      </c>
    </row>
    <row r="331" spans="1:3" hidden="1" x14ac:dyDescent="0.2">
      <c r="A331">
        <v>90</v>
      </c>
      <c r="B331">
        <v>1</v>
      </c>
    </row>
    <row r="332" spans="1:3" hidden="1" x14ac:dyDescent="0.2">
      <c r="A332">
        <v>95</v>
      </c>
      <c r="B332">
        <v>3</v>
      </c>
    </row>
    <row r="333" spans="1:3" ht="13.5" hidden="1" thickBot="1" x14ac:dyDescent="0.25">
      <c r="A333">
        <v>103</v>
      </c>
      <c r="B333">
        <v>411</v>
      </c>
    </row>
    <row r="334" spans="1:3" hidden="1" x14ac:dyDescent="0.2">
      <c r="A334" t="s">
        <v>25</v>
      </c>
      <c r="B334" s="16">
        <f>SUM(B314:B333)</f>
        <v>508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0</v>
      </c>
      <c r="C336" s="3"/>
    </row>
    <row r="337" spans="1:3" hidden="1" x14ac:dyDescent="0.2">
      <c r="A337" t="s">
        <v>21</v>
      </c>
      <c r="B337" s="3">
        <f>MAX('Winter 2018'!$AT$9:$AT$607)</f>
        <v>101</v>
      </c>
      <c r="C337" s="3"/>
    </row>
    <row r="338" spans="1:3" hidden="1" x14ac:dyDescent="0.2">
      <c r="A338" t="s">
        <v>22</v>
      </c>
      <c r="B338" s="3">
        <f>MEDIAN('Winter 2018'!$AT$9:$AT$607)</f>
        <v>101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92.96055226824457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2018-02-08T15:17:48Z</dcterms:modified>
</cp:coreProperties>
</file>